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0" windowWidth="13560" windowHeight="15600" activeTab="1"/>
  </bookViews>
  <sheets>
    <sheet name="Video &amp; Instruction " sheetId="2" r:id="rId1"/>
    <sheet name="CSD V1.1 (Updated 21-08-2023)" sheetId="1" r:id="rId2"/>
  </sheets>
  <externalReferences>
    <externalReference r:id="rId3"/>
  </externalReferences>
  <definedNames>
    <definedName name="framesystem">[1]Sheet3!$B$39:$B$45</definedName>
  </definedNames>
  <calcPr calcId="162913"/>
</workbook>
</file>

<file path=xl/calcChain.xml><?xml version="1.0" encoding="utf-8"?>
<calcChain xmlns="http://schemas.openxmlformats.org/spreadsheetml/2006/main">
  <c r="L29" i="1" l="1"/>
  <c r="L28" i="1"/>
  <c r="L22" i="1"/>
  <c r="C27" i="1"/>
  <c r="D18" i="1"/>
  <c r="G27" i="1" l="1"/>
  <c r="O5" i="1" s="1"/>
  <c r="D19" i="1"/>
  <c r="S8" i="1"/>
  <c r="G16" i="1"/>
  <c r="N11" i="1"/>
  <c r="D7" i="1" l="1"/>
  <c r="D6" i="1"/>
  <c r="D20" i="1" l="1"/>
  <c r="E7" i="1"/>
  <c r="E6" i="1"/>
  <c r="D21" i="1" l="1"/>
  <c r="L24" i="1"/>
  <c r="L23" i="1"/>
  <c r="L25" i="1" l="1"/>
  <c r="L26" i="1" s="1"/>
  <c r="C26" i="1" s="1"/>
  <c r="G26" i="1" s="1"/>
  <c r="L5" i="1" s="1"/>
  <c r="L27" i="1" l="1"/>
  <c r="D22" i="1" s="1"/>
  <c r="F22" i="1" l="1"/>
  <c r="F18" i="1"/>
</calcChain>
</file>

<file path=xl/sharedStrings.xml><?xml version="1.0" encoding="utf-8"?>
<sst xmlns="http://schemas.openxmlformats.org/spreadsheetml/2006/main" count="73" uniqueCount="59">
  <si>
    <t>Materials Properties:</t>
  </si>
  <si>
    <t>Converted Data</t>
  </si>
  <si>
    <t>Main Data</t>
  </si>
  <si>
    <t>psi</t>
  </si>
  <si>
    <t>f'c =</t>
  </si>
  <si>
    <t xml:space="preserve">fy = </t>
  </si>
  <si>
    <t>Given data(PSI)</t>
  </si>
  <si>
    <t>ft</t>
  </si>
  <si>
    <t>in</t>
  </si>
  <si>
    <t>psf</t>
  </si>
  <si>
    <t>Live Load ,L.L=</t>
  </si>
  <si>
    <t>Dead Load,DL=</t>
  </si>
  <si>
    <t>Total Load, W =</t>
  </si>
  <si>
    <t>lb-ft</t>
  </si>
  <si>
    <t>n=</t>
  </si>
  <si>
    <t>r=</t>
  </si>
  <si>
    <t>k=</t>
  </si>
  <si>
    <t>j=</t>
  </si>
  <si>
    <t>R=</t>
  </si>
  <si>
    <r>
      <t xml:space="preserve">d </t>
    </r>
    <r>
      <rPr>
        <sz val="8"/>
        <color theme="1"/>
        <rFont val="Calibri"/>
        <family val="2"/>
        <scheme val="minor"/>
      </rPr>
      <t>(provided)</t>
    </r>
    <r>
      <rPr>
        <sz val="11"/>
        <color theme="1"/>
        <rFont val="Calibri"/>
        <family val="2"/>
        <scheme val="minor"/>
      </rPr>
      <t>=</t>
    </r>
  </si>
  <si>
    <t>Reinforcement Calculation:</t>
  </si>
  <si>
    <t>in^2</t>
  </si>
  <si>
    <t>SDL (FF)=</t>
  </si>
  <si>
    <t>#</t>
  </si>
  <si>
    <t>Slab Thickness (Trail)=</t>
  </si>
  <si>
    <t>length ,L =</t>
  </si>
  <si>
    <t>Length L=</t>
  </si>
  <si>
    <t>t=</t>
  </si>
  <si>
    <t>&gt;=</t>
  </si>
  <si>
    <t>Max Moment, M max=</t>
  </si>
  <si>
    <t>Depth Check, d(requred)=</t>
  </si>
  <si>
    <t>Main Rebar=</t>
  </si>
  <si>
    <t>Distributed Rebar=</t>
  </si>
  <si>
    <t>in^3</t>
  </si>
  <si>
    <t>Smax=</t>
  </si>
  <si>
    <t>Main Bar=</t>
  </si>
  <si>
    <t>Distributed Bar=</t>
  </si>
  <si>
    <t>Main Bar Area=</t>
  </si>
  <si>
    <t xml:space="preserve">Distributed Bar= </t>
  </si>
  <si>
    <t>By Engr Hedaetullah &amp; Nj Disha</t>
  </si>
  <si>
    <t>This is the product of qLearnify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</si>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</sst>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5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center" wrapText="1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1" fillId="0" borderId="1" xfId="0" applyFont="1" applyBorder="1" applyAlignment="1" applyProtection="1">
      <alignment horizontal="right"/>
      <protection hidden="1"/>
    </xf>
    <xf numFmtId="0" fontId="0" fillId="7" borderId="0" xfId="0" applyFill="1" applyProtection="1">
      <protection hidden="1"/>
    </xf>
    <xf numFmtId="0" fontId="0" fillId="0" borderId="0" xfId="0" applyAlignment="1" applyProtection="1">
      <alignment horizontal="right" vertical="center"/>
      <protection hidden="1"/>
    </xf>
    <xf numFmtId="0" fontId="0" fillId="5" borderId="0" xfId="0" applyFill="1" applyAlignment="1" applyProtection="1">
      <alignment horizontal="right"/>
      <protection hidden="1"/>
    </xf>
    <xf numFmtId="0" fontId="0" fillId="5" borderId="0" xfId="0" applyFill="1" applyAlignment="1" applyProtection="1">
      <alignment horizontal="center"/>
      <protection hidden="1"/>
    </xf>
    <xf numFmtId="0" fontId="0" fillId="5" borderId="0" xfId="0" applyFill="1" applyProtection="1">
      <protection hidden="1"/>
    </xf>
    <xf numFmtId="164" fontId="0" fillId="0" borderId="0" xfId="0" applyNumberFormat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1" fillId="7" borderId="0" xfId="0" applyFont="1" applyFill="1" applyProtection="1">
      <protection hidden="1"/>
    </xf>
    <xf numFmtId="0" fontId="0" fillId="0" borderId="0" xfId="0" applyAlignment="1" applyProtection="1">
      <alignment vertical="center"/>
      <protection hidden="1"/>
    </xf>
    <xf numFmtId="2" fontId="0" fillId="2" borderId="0" xfId="0" applyNumberFormat="1" applyFill="1" applyAlignment="1" applyProtection="1">
      <alignment vertical="center"/>
      <protection hidden="1"/>
    </xf>
    <xf numFmtId="2" fontId="0" fillId="0" borderId="0" xfId="0" applyNumberFormat="1" applyAlignment="1" applyProtection="1">
      <alignment vertical="center"/>
      <protection hidden="1"/>
    </xf>
    <xf numFmtId="2" fontId="0" fillId="0" borderId="0" xfId="0" applyNumberFormat="1" applyAlignment="1" applyProtection="1">
      <alignment horizontal="right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2" fontId="0" fillId="0" borderId="0" xfId="0" applyNumberFormat="1" applyProtection="1">
      <protection hidden="1"/>
    </xf>
    <xf numFmtId="165" fontId="0" fillId="0" borderId="0" xfId="0" applyNumberFormat="1" applyProtection="1">
      <protection hidden="1"/>
    </xf>
    <xf numFmtId="0" fontId="6" fillId="4" borderId="1" xfId="0" applyFont="1" applyFill="1" applyBorder="1" applyAlignment="1" applyProtection="1">
      <alignment horizontal="right"/>
      <protection locked="0"/>
    </xf>
    <xf numFmtId="0" fontId="6" fillId="4" borderId="1" xfId="0" applyFont="1" applyFill="1" applyBorder="1" applyProtection="1">
      <protection locked="0"/>
    </xf>
    <xf numFmtId="0" fontId="0" fillId="6" borderId="1" xfId="0" applyFill="1" applyBorder="1" applyAlignment="1" applyProtection="1">
      <alignment vertical="center"/>
      <protection locked="0"/>
    </xf>
    <xf numFmtId="0" fontId="2" fillId="0" borderId="0" xfId="0" applyFont="1" applyProtection="1">
      <protection hidden="1"/>
    </xf>
    <xf numFmtId="1" fontId="2" fillId="0" borderId="0" xfId="0" applyNumberFormat="1" applyFont="1" applyProtection="1">
      <protection hidden="1"/>
    </xf>
    <xf numFmtId="2" fontId="2" fillId="0" borderId="0" xfId="0" applyNumberFormat="1" applyFont="1" applyProtection="1">
      <protection hidden="1"/>
    </xf>
    <xf numFmtId="166" fontId="2" fillId="0" borderId="0" xfId="0" applyNumberFormat="1" applyFont="1" applyProtection="1">
      <protection hidden="1"/>
    </xf>
    <xf numFmtId="165" fontId="2" fillId="0" borderId="0" xfId="0" applyNumberFormat="1" applyFont="1" applyProtection="1">
      <protection hidden="1"/>
    </xf>
    <xf numFmtId="0" fontId="11" fillId="0" borderId="0" xfId="0" applyFont="1" applyProtection="1"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9" fillId="0" borderId="0" xfId="1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8" fillId="3" borderId="0" xfId="0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2" xfId="0" applyBorder="1" applyAlignment="1" applyProtection="1">
      <alignment horizontal="right"/>
      <protection hidden="1"/>
    </xf>
    <xf numFmtId="0" fontId="0" fillId="0" borderId="0" xfId="0" applyAlignment="1" applyProtection="1">
      <alignment horizontal="right" vertical="center"/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1" fillId="0" borderId="0" xfId="0" applyFont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CF85E0-1724-4BCE-BC0A-5BC8E8D38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E437930C-0BA2-4152-B8F2-6D35421F7C6E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105650" y="2500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43296</xdr:colOff>
      <xdr:row>9</xdr:row>
      <xdr:rowOff>86591</xdr:rowOff>
    </xdr:from>
    <xdr:to>
      <xdr:col>16</xdr:col>
      <xdr:colOff>51954</xdr:colOff>
      <xdr:row>9</xdr:row>
      <xdr:rowOff>95250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38ABD6F-A39C-ACA7-21FA-C06954A6AFDB}"/>
            </a:ext>
          </a:extLst>
        </xdr:cNvPr>
        <xdr:cNvCxnSpPr/>
      </xdr:nvCxnSpPr>
      <xdr:spPr>
        <a:xfrm>
          <a:off x="6459682" y="2822864"/>
          <a:ext cx="3394363" cy="865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86591</xdr:colOff>
      <xdr:row>6</xdr:row>
      <xdr:rowOff>17318</xdr:rowOff>
    </xdr:from>
    <xdr:to>
      <xdr:col>16</xdr:col>
      <xdr:colOff>95250</xdr:colOff>
      <xdr:row>9</xdr:row>
      <xdr:rowOff>25977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69E9510-512D-7891-7324-C86ED933ECFB}"/>
            </a:ext>
          </a:extLst>
        </xdr:cNvPr>
        <xdr:cNvCxnSpPr/>
      </xdr:nvCxnSpPr>
      <xdr:spPr>
        <a:xfrm>
          <a:off x="9888682" y="2173432"/>
          <a:ext cx="8659" cy="58881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510886</xdr:colOff>
      <xdr:row>6</xdr:row>
      <xdr:rowOff>103909</xdr:rowOff>
    </xdr:from>
    <xdr:to>
      <xdr:col>15</xdr:col>
      <xdr:colOff>528204</xdr:colOff>
      <xdr:row>6</xdr:row>
      <xdr:rowOff>121227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E14A4E4-F36F-5583-5636-9A61B7CFA617}"/>
            </a:ext>
          </a:extLst>
        </xdr:cNvPr>
        <xdr:cNvCxnSpPr/>
      </xdr:nvCxnSpPr>
      <xdr:spPr>
        <a:xfrm flipH="1">
          <a:off x="6060234" y="1926083"/>
          <a:ext cx="4050948" cy="1731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415637</xdr:colOff>
      <xdr:row>6</xdr:row>
      <xdr:rowOff>138546</xdr:rowOff>
    </xdr:from>
    <xdr:to>
      <xdr:col>15</xdr:col>
      <xdr:colOff>477115</xdr:colOff>
      <xdr:row>7</xdr:row>
      <xdr:rowOff>12989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781D0D1-84DB-79B7-0027-4512DA7402D5}"/>
            </a:ext>
          </a:extLst>
        </xdr:cNvPr>
        <xdr:cNvSpPr/>
      </xdr:nvSpPr>
      <xdr:spPr>
        <a:xfrm>
          <a:off x="9975273" y="1956955"/>
          <a:ext cx="61478" cy="6494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56284</xdr:colOff>
      <xdr:row>6</xdr:row>
      <xdr:rowOff>142876</xdr:rowOff>
    </xdr:from>
    <xdr:to>
      <xdr:col>15</xdr:col>
      <xdr:colOff>117762</xdr:colOff>
      <xdr:row>7</xdr:row>
      <xdr:rowOff>17319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FA8C50B-360A-8C64-967A-F655450CE461}"/>
            </a:ext>
          </a:extLst>
        </xdr:cNvPr>
        <xdr:cNvSpPr/>
      </xdr:nvSpPr>
      <xdr:spPr>
        <a:xfrm>
          <a:off x="9615920" y="1961285"/>
          <a:ext cx="61478" cy="6494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282288</xdr:colOff>
      <xdr:row>6</xdr:row>
      <xdr:rowOff>139404</xdr:rowOff>
    </xdr:from>
    <xdr:to>
      <xdr:col>14</xdr:col>
      <xdr:colOff>343766</xdr:colOff>
      <xdr:row>7</xdr:row>
      <xdr:rowOff>13847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86BACFF9-3BD5-4421-95F9-451A257564F6}"/>
            </a:ext>
          </a:extLst>
        </xdr:cNvPr>
        <xdr:cNvSpPr/>
      </xdr:nvSpPr>
      <xdr:spPr>
        <a:xfrm>
          <a:off x="9231458" y="1957813"/>
          <a:ext cx="61478" cy="6494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273628</xdr:colOff>
      <xdr:row>6</xdr:row>
      <xdr:rowOff>143734</xdr:rowOff>
    </xdr:from>
    <xdr:to>
      <xdr:col>13</xdr:col>
      <xdr:colOff>335106</xdr:colOff>
      <xdr:row>7</xdr:row>
      <xdr:rowOff>18177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ED4D59E2-4669-4CA5-99E6-4615AE2FECF2}"/>
            </a:ext>
          </a:extLst>
        </xdr:cNvPr>
        <xdr:cNvSpPr/>
      </xdr:nvSpPr>
      <xdr:spPr>
        <a:xfrm>
          <a:off x="8872105" y="1962143"/>
          <a:ext cx="61478" cy="6494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516083</xdr:colOff>
      <xdr:row>6</xdr:row>
      <xdr:rowOff>143742</xdr:rowOff>
    </xdr:from>
    <xdr:to>
      <xdr:col>12</xdr:col>
      <xdr:colOff>577561</xdr:colOff>
      <xdr:row>7</xdr:row>
      <xdr:rowOff>18185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EC1B316-995E-448B-8C66-512F08EB44C4}"/>
            </a:ext>
          </a:extLst>
        </xdr:cNvPr>
        <xdr:cNvSpPr/>
      </xdr:nvSpPr>
      <xdr:spPr>
        <a:xfrm>
          <a:off x="8504094" y="1962151"/>
          <a:ext cx="61478" cy="6494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156730</xdr:colOff>
      <xdr:row>6</xdr:row>
      <xdr:rowOff>148072</xdr:rowOff>
    </xdr:from>
    <xdr:to>
      <xdr:col>12</xdr:col>
      <xdr:colOff>218208</xdr:colOff>
      <xdr:row>7</xdr:row>
      <xdr:rowOff>22515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DEDBC07-1A3F-4206-B33E-1C1FD6F6FEF6}"/>
            </a:ext>
          </a:extLst>
        </xdr:cNvPr>
        <xdr:cNvSpPr/>
      </xdr:nvSpPr>
      <xdr:spPr>
        <a:xfrm>
          <a:off x="8144741" y="1966481"/>
          <a:ext cx="61478" cy="6494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382734</xdr:colOff>
      <xdr:row>6</xdr:row>
      <xdr:rowOff>144600</xdr:rowOff>
    </xdr:from>
    <xdr:to>
      <xdr:col>11</xdr:col>
      <xdr:colOff>444212</xdr:colOff>
      <xdr:row>7</xdr:row>
      <xdr:rowOff>19043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E23318B-2D5B-4842-B305-9C4398C3627D}"/>
            </a:ext>
          </a:extLst>
        </xdr:cNvPr>
        <xdr:cNvSpPr/>
      </xdr:nvSpPr>
      <xdr:spPr>
        <a:xfrm>
          <a:off x="7760279" y="1963009"/>
          <a:ext cx="61478" cy="6494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23381</xdr:colOff>
      <xdr:row>6</xdr:row>
      <xdr:rowOff>148930</xdr:rowOff>
    </xdr:from>
    <xdr:to>
      <xdr:col>11</xdr:col>
      <xdr:colOff>84859</xdr:colOff>
      <xdr:row>7</xdr:row>
      <xdr:rowOff>23373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9F0B5B6-2280-4314-97FE-4969BCF823F5}"/>
            </a:ext>
          </a:extLst>
        </xdr:cNvPr>
        <xdr:cNvSpPr/>
      </xdr:nvSpPr>
      <xdr:spPr>
        <a:xfrm>
          <a:off x="7400926" y="1967339"/>
          <a:ext cx="61478" cy="6494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261506</xdr:colOff>
      <xdr:row>6</xdr:row>
      <xdr:rowOff>153259</xdr:rowOff>
    </xdr:from>
    <xdr:to>
      <xdr:col>10</xdr:col>
      <xdr:colOff>322984</xdr:colOff>
      <xdr:row>7</xdr:row>
      <xdr:rowOff>27702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15FB142-968E-EE5A-CF6C-0EA8E14EBFBD}"/>
            </a:ext>
          </a:extLst>
        </xdr:cNvPr>
        <xdr:cNvSpPr/>
      </xdr:nvSpPr>
      <xdr:spPr>
        <a:xfrm>
          <a:off x="7028586" y="1971668"/>
          <a:ext cx="61478" cy="6494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281609</xdr:colOff>
      <xdr:row>4</xdr:row>
      <xdr:rowOff>372718</xdr:rowOff>
    </xdr:from>
    <xdr:to>
      <xdr:col>11</xdr:col>
      <xdr:colOff>414130</xdr:colOff>
      <xdr:row>6</xdr:row>
      <xdr:rowOff>74544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388A3F0-A774-2849-D3CD-3F7B78AA9429}"/>
            </a:ext>
          </a:extLst>
        </xdr:cNvPr>
        <xdr:cNvCxnSpPr/>
      </xdr:nvCxnSpPr>
      <xdr:spPr>
        <a:xfrm flipH="1">
          <a:off x="7669696" y="1615109"/>
          <a:ext cx="132521" cy="273326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322366</xdr:colOff>
      <xdr:row>4</xdr:row>
      <xdr:rowOff>356153</xdr:rowOff>
    </xdr:from>
    <xdr:to>
      <xdr:col>14</xdr:col>
      <xdr:colOff>323022</xdr:colOff>
      <xdr:row>6</xdr:row>
      <xdr:rowOff>152884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CD05FD7-718F-54A4-A9AE-748C3C02B125}"/>
            </a:ext>
          </a:extLst>
        </xdr:cNvPr>
        <xdr:cNvCxnSpPr/>
      </xdr:nvCxnSpPr>
      <xdr:spPr>
        <a:xfrm flipH="1">
          <a:off x="9292431" y="1598544"/>
          <a:ext cx="656" cy="368231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M8" sqref="M8"/>
    </sheetView>
  </sheetViews>
  <sheetFormatPr defaultRowHeight="15" x14ac:dyDescent="0.25"/>
  <cols>
    <col min="1" max="1" width="9.140625" style="1" customWidth="1"/>
    <col min="2" max="16384" width="9.140625" style="1"/>
  </cols>
  <sheetData>
    <row r="14" spans="2:10" ht="15" customHeight="1" x14ac:dyDescent="0.25">
      <c r="B14" s="36" t="s">
        <v>41</v>
      </c>
      <c r="C14" s="36"/>
      <c r="D14" s="36"/>
      <c r="E14" s="36"/>
      <c r="F14" s="36"/>
      <c r="G14" s="36"/>
      <c r="H14" s="36"/>
      <c r="I14" s="36"/>
      <c r="J14" s="36"/>
    </row>
    <row r="15" spans="2:10" ht="15" customHeight="1" x14ac:dyDescent="0.25">
      <c r="B15" s="36"/>
      <c r="C15" s="36"/>
      <c r="D15" s="36"/>
      <c r="E15" s="36"/>
      <c r="F15" s="36"/>
      <c r="G15" s="36"/>
      <c r="H15" s="36"/>
      <c r="I15" s="36"/>
      <c r="J15" s="36"/>
    </row>
    <row r="16" spans="2:10" x14ac:dyDescent="0.25">
      <c r="B16" s="36"/>
      <c r="C16" s="36"/>
      <c r="D16" s="36"/>
      <c r="E16" s="36"/>
      <c r="F16" s="36"/>
      <c r="G16" s="36"/>
      <c r="H16" s="36"/>
      <c r="I16" s="36"/>
      <c r="J16" s="36"/>
    </row>
    <row r="17" spans="2:10" x14ac:dyDescent="0.25">
      <c r="C17" s="35" t="s">
        <v>42</v>
      </c>
      <c r="D17" s="35"/>
      <c r="E17" s="34" t="s">
        <v>43</v>
      </c>
      <c r="F17" s="34"/>
      <c r="G17" s="34"/>
      <c r="H17" s="34"/>
      <c r="I17" s="34"/>
      <c r="J17" s="34"/>
    </row>
    <row r="18" spans="2:10" x14ac:dyDescent="0.25">
      <c r="C18" s="35" t="s">
        <v>44</v>
      </c>
      <c r="D18" s="35"/>
      <c r="E18" s="34" t="s">
        <v>45</v>
      </c>
      <c r="F18" s="34"/>
      <c r="G18" s="34"/>
      <c r="H18" s="34"/>
      <c r="I18" s="34"/>
      <c r="J18" s="34"/>
    </row>
    <row r="19" spans="2:10" x14ac:dyDescent="0.25">
      <c r="C19" s="35" t="s">
        <v>46</v>
      </c>
      <c r="D19" s="35"/>
      <c r="E19" s="34" t="s">
        <v>47</v>
      </c>
      <c r="F19" s="34"/>
      <c r="G19" s="34"/>
      <c r="H19" s="34"/>
      <c r="I19" s="34"/>
      <c r="J19" s="34"/>
    </row>
    <row r="20" spans="2:10" x14ac:dyDescent="0.25">
      <c r="C20" s="35" t="s">
        <v>48</v>
      </c>
      <c r="D20" s="35"/>
      <c r="E20" s="34" t="s">
        <v>49</v>
      </c>
      <c r="F20" s="34"/>
      <c r="G20" s="34"/>
      <c r="H20" s="34"/>
      <c r="I20" s="34"/>
      <c r="J20" s="34"/>
    </row>
    <row r="21" spans="2:10" x14ac:dyDescent="0.25">
      <c r="C21" s="35" t="s">
        <v>50</v>
      </c>
      <c r="D21" s="35"/>
      <c r="E21" s="34" t="s">
        <v>51</v>
      </c>
      <c r="F21" s="34"/>
      <c r="G21" s="34"/>
      <c r="H21" s="34"/>
      <c r="I21" s="34"/>
      <c r="J21" s="34"/>
    </row>
    <row r="22" spans="2:10" x14ac:dyDescent="0.25">
      <c r="C22" s="35" t="s">
        <v>52</v>
      </c>
      <c r="D22" s="35"/>
      <c r="E22" s="34" t="s">
        <v>53</v>
      </c>
      <c r="F22" s="34"/>
      <c r="G22" s="34"/>
      <c r="H22" s="34"/>
      <c r="I22" s="34"/>
      <c r="J22" s="34"/>
    </row>
    <row r="24" spans="2:10" ht="15" customHeight="1" x14ac:dyDescent="0.25">
      <c r="B24" s="33" t="s">
        <v>54</v>
      </c>
      <c r="C24" s="33"/>
      <c r="D24" s="33"/>
      <c r="E24" s="33"/>
      <c r="F24" s="33"/>
      <c r="G24" s="33"/>
      <c r="H24" s="33"/>
      <c r="I24" s="33"/>
      <c r="J24" s="33"/>
    </row>
    <row r="25" spans="2:10" ht="15" customHeight="1" x14ac:dyDescent="0.25">
      <c r="B25" s="33"/>
      <c r="C25" s="33"/>
      <c r="D25" s="33"/>
      <c r="E25" s="33"/>
      <c r="F25" s="33"/>
      <c r="G25" s="33"/>
      <c r="H25" s="33"/>
      <c r="I25" s="33"/>
      <c r="J25" s="33"/>
    </row>
    <row r="26" spans="2:10" ht="15" customHeight="1" x14ac:dyDescent="0.25">
      <c r="B26" s="33"/>
      <c r="C26" s="33"/>
      <c r="D26" s="33"/>
      <c r="E26" s="33"/>
      <c r="F26" s="33"/>
      <c r="G26" s="33"/>
      <c r="H26" s="33"/>
      <c r="I26" s="33"/>
      <c r="J26" s="33"/>
    </row>
    <row r="27" spans="2:10" x14ac:dyDescent="0.25">
      <c r="B27" s="33"/>
      <c r="C27" s="33"/>
      <c r="D27" s="33"/>
      <c r="E27" s="33"/>
      <c r="F27" s="33"/>
      <c r="G27" s="33"/>
      <c r="H27" s="33"/>
      <c r="I27" s="33"/>
      <c r="J27" s="33"/>
    </row>
    <row r="34" spans="1:13" ht="15.75" x14ac:dyDescent="0.25">
      <c r="A34" s="32" t="s">
        <v>55</v>
      </c>
      <c r="B34" s="34" t="s">
        <v>56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</row>
    <row r="35" spans="1:13" ht="15.75" x14ac:dyDescent="0.25">
      <c r="A35" s="32"/>
    </row>
    <row r="36" spans="1:13" ht="15.75" x14ac:dyDescent="0.25">
      <c r="A36" s="32" t="s">
        <v>57</v>
      </c>
      <c r="B36" s="34" t="s">
        <v>58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C19:D19"/>
    <mergeCell ref="E19:J19"/>
    <mergeCell ref="B14:J16"/>
    <mergeCell ref="C17:D17"/>
    <mergeCell ref="E17:J17"/>
    <mergeCell ref="C18:D18"/>
    <mergeCell ref="E18:J18"/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9"/>
  <sheetViews>
    <sheetView tabSelected="1" zoomScale="115" zoomScaleNormal="115" workbookViewId="0">
      <selection activeCell="E8" sqref="E8"/>
    </sheetView>
  </sheetViews>
  <sheetFormatPr defaultRowHeight="15" x14ac:dyDescent="0.25"/>
  <cols>
    <col min="1" max="1" width="1.85546875" style="1" customWidth="1"/>
    <col min="2" max="2" width="24.28515625" style="1" bestFit="1" customWidth="1"/>
    <col min="3" max="3" width="11.7109375" style="1" customWidth="1"/>
    <col min="4" max="4" width="13.42578125" style="1" customWidth="1"/>
    <col min="5" max="5" width="8.7109375" style="1" customWidth="1"/>
    <col min="6" max="6" width="4.85546875" style="1" customWidth="1"/>
    <col min="7" max="13" width="9.140625" style="1"/>
    <col min="14" max="14" width="5.28515625" style="1" customWidth="1"/>
    <col min="15" max="16" width="9.140625" style="1"/>
    <col min="17" max="17" width="3.140625" style="1" customWidth="1"/>
    <col min="18" max="18" width="3" style="1" customWidth="1"/>
    <col min="19" max="19" width="4.28515625" style="1" customWidth="1"/>
    <col min="20" max="20" width="3.5703125" style="1" customWidth="1"/>
    <col min="21" max="16384" width="9.140625" style="1"/>
  </cols>
  <sheetData>
    <row r="1" spans="2:20" ht="33.75" x14ac:dyDescent="0.5">
      <c r="B1" s="37" t="s">
        <v>40</v>
      </c>
      <c r="C1" s="38"/>
      <c r="D1" s="38"/>
      <c r="E1" s="38"/>
      <c r="F1" s="38"/>
      <c r="G1" s="38"/>
      <c r="H1" s="38"/>
      <c r="I1" s="38"/>
      <c r="J1" s="38"/>
      <c r="K1" s="38"/>
    </row>
    <row r="2" spans="2:20" ht="33.75" x14ac:dyDescent="0.5">
      <c r="B2" s="38" t="s">
        <v>39</v>
      </c>
      <c r="C2" s="38"/>
      <c r="D2" s="38"/>
      <c r="E2" s="38"/>
      <c r="F2" s="38"/>
      <c r="G2" s="38"/>
      <c r="H2" s="38"/>
      <c r="I2" s="38"/>
      <c r="J2" s="38"/>
      <c r="K2" s="38"/>
    </row>
    <row r="4" spans="2:20" x14ac:dyDescent="0.25">
      <c r="B4" s="40" t="s">
        <v>0</v>
      </c>
      <c r="C4" s="40"/>
      <c r="D4" s="40"/>
    </row>
    <row r="5" spans="2:20" ht="30" x14ac:dyDescent="0.25">
      <c r="B5" s="2"/>
      <c r="C5" s="3" t="s">
        <v>6</v>
      </c>
      <c r="D5" s="3" t="s">
        <v>1</v>
      </c>
      <c r="E5" s="4" t="s">
        <v>2</v>
      </c>
      <c r="L5" s="1" t="str">
        <f>CONCATENATE("Use"," ","#",E12," ","@"," ", G26,," ","c/c")</f>
        <v>Use #3.15 @ 5.5 c/c</v>
      </c>
      <c r="O5" s="1" t="str">
        <f>CONCATENATE("Use"," ","#",E13," ","@"," ", G27,," ","c/c")</f>
        <v>Use #3.15 @ 10 c/c</v>
      </c>
    </row>
    <row r="6" spans="2:20" x14ac:dyDescent="0.25">
      <c r="B6" s="5"/>
      <c r="C6" s="6"/>
      <c r="D6" s="6">
        <f>0.4*E9</f>
        <v>24000</v>
      </c>
      <c r="E6" s="7">
        <f>IF(C6&gt;0,C6,IF(D6&gt;0,D6))</f>
        <v>24000</v>
      </c>
      <c r="F6" s="1" t="s">
        <v>3</v>
      </c>
    </row>
    <row r="7" spans="2:20" x14ac:dyDescent="0.25">
      <c r="C7" s="6"/>
      <c r="D7" s="6">
        <f>0.45*E8</f>
        <v>1260</v>
      </c>
      <c r="E7" s="7">
        <f t="shared" ref="E7" si="0">IF(C7&gt;0,C7,IF(D7&gt;0,D7))</f>
        <v>1260</v>
      </c>
      <c r="F7" s="1" t="s">
        <v>3</v>
      </c>
      <c r="I7" s="8"/>
      <c r="J7" s="8"/>
      <c r="K7" s="8"/>
      <c r="L7" s="8"/>
      <c r="M7" s="8"/>
      <c r="N7" s="8"/>
      <c r="O7" s="8"/>
      <c r="P7" s="8"/>
    </row>
    <row r="8" spans="2:20" x14ac:dyDescent="0.25">
      <c r="B8" s="6"/>
      <c r="C8" s="9"/>
      <c r="D8" s="6" t="s">
        <v>4</v>
      </c>
      <c r="E8" s="24">
        <v>2800</v>
      </c>
      <c r="F8" s="1" t="s">
        <v>3</v>
      </c>
      <c r="I8" s="8"/>
      <c r="J8" s="8"/>
      <c r="K8" s="8"/>
      <c r="L8" s="8"/>
      <c r="M8" s="8"/>
      <c r="N8" s="8"/>
      <c r="O8" s="8"/>
      <c r="P8" s="8"/>
      <c r="R8" s="10" t="s">
        <v>27</v>
      </c>
      <c r="S8" s="11">
        <f>E16</f>
        <v>6</v>
      </c>
      <c r="T8" s="12" t="s">
        <v>8</v>
      </c>
    </row>
    <row r="9" spans="2:20" x14ac:dyDescent="0.25">
      <c r="B9" s="6"/>
      <c r="C9" s="6"/>
      <c r="D9" s="6" t="s">
        <v>5</v>
      </c>
      <c r="E9" s="24">
        <v>60000</v>
      </c>
      <c r="F9" s="1" t="s">
        <v>3</v>
      </c>
      <c r="I9" s="8"/>
      <c r="J9" s="8"/>
      <c r="K9" s="8"/>
      <c r="L9" s="8"/>
      <c r="M9" s="8"/>
      <c r="N9" s="8"/>
      <c r="O9" s="8"/>
      <c r="P9" s="8"/>
    </row>
    <row r="10" spans="2:20" x14ac:dyDescent="0.25">
      <c r="B10" s="35" t="s">
        <v>22</v>
      </c>
      <c r="C10" s="35"/>
      <c r="D10" s="41"/>
      <c r="E10" s="24">
        <v>115</v>
      </c>
      <c r="F10" s="1" t="s">
        <v>9</v>
      </c>
      <c r="I10" s="8"/>
      <c r="J10" s="8"/>
    </row>
    <row r="11" spans="2:20" x14ac:dyDescent="0.25">
      <c r="B11" s="42" t="s">
        <v>10</v>
      </c>
      <c r="C11" s="42"/>
      <c r="D11" s="42"/>
      <c r="E11" s="24">
        <v>100</v>
      </c>
      <c r="F11" s="1" t="s">
        <v>9</v>
      </c>
      <c r="I11" s="8"/>
      <c r="J11" s="8"/>
      <c r="M11" s="12" t="s">
        <v>26</v>
      </c>
      <c r="N11" s="11">
        <f>E14</f>
        <v>4</v>
      </c>
      <c r="O11" s="12" t="s">
        <v>7</v>
      </c>
    </row>
    <row r="12" spans="2:20" x14ac:dyDescent="0.25">
      <c r="B12" s="35" t="s">
        <v>35</v>
      </c>
      <c r="C12" s="35"/>
      <c r="D12" s="35"/>
      <c r="E12" s="25">
        <v>3.15</v>
      </c>
      <c r="F12" s="13" t="s">
        <v>23</v>
      </c>
      <c r="I12" s="8"/>
      <c r="J12" s="8"/>
    </row>
    <row r="13" spans="2:20" x14ac:dyDescent="0.25">
      <c r="B13" s="35" t="s">
        <v>36</v>
      </c>
      <c r="C13" s="35"/>
      <c r="D13" s="35"/>
      <c r="E13" s="25">
        <v>3.15</v>
      </c>
      <c r="F13" s="13" t="s">
        <v>23</v>
      </c>
      <c r="I13" s="8"/>
      <c r="J13" s="8"/>
    </row>
    <row r="14" spans="2:20" ht="15" customHeight="1" x14ac:dyDescent="0.25">
      <c r="B14" s="35" t="s">
        <v>25</v>
      </c>
      <c r="C14" s="35"/>
      <c r="D14" s="41"/>
      <c r="E14" s="25">
        <v>4</v>
      </c>
      <c r="F14" s="13" t="s">
        <v>7</v>
      </c>
      <c r="I14" s="8"/>
      <c r="J14" s="8"/>
    </row>
    <row r="15" spans="2:20" s="15" customFormat="1" x14ac:dyDescent="0.25">
      <c r="B15" s="14"/>
      <c r="C15" s="45"/>
      <c r="D15" s="45"/>
      <c r="E15" s="45"/>
      <c r="F15" s="45"/>
      <c r="I15" s="16"/>
      <c r="J15" s="16"/>
    </row>
    <row r="16" spans="2:20" x14ac:dyDescent="0.25">
      <c r="C16" s="17" t="s">
        <v>24</v>
      </c>
      <c r="D16" s="17"/>
      <c r="E16" s="26">
        <v>6</v>
      </c>
      <c r="F16" s="2" t="s">
        <v>28</v>
      </c>
      <c r="G16" s="18">
        <f>E14/10*12</f>
        <v>4.8000000000000007</v>
      </c>
      <c r="H16" s="1" t="s">
        <v>8</v>
      </c>
    </row>
    <row r="17" spans="2:12" x14ac:dyDescent="0.25">
      <c r="C17" s="17"/>
      <c r="D17" s="17"/>
      <c r="E17" s="17"/>
      <c r="F17" s="2"/>
      <c r="G17" s="19"/>
    </row>
    <row r="18" spans="2:12" x14ac:dyDescent="0.25">
      <c r="B18" s="6"/>
      <c r="C18" s="9" t="s">
        <v>19</v>
      </c>
      <c r="D18" s="20">
        <f>E16-0.75-(E12/16)</f>
        <v>5.0531249999999996</v>
      </c>
      <c r="E18" s="21" t="s">
        <v>8</v>
      </c>
      <c r="F18" s="43" t="str">
        <f>IF(D22&lt;D18,"","Please Increase Slab Thickness")</f>
        <v/>
      </c>
      <c r="G18" s="43"/>
      <c r="H18" s="43"/>
      <c r="I18" s="43"/>
      <c r="J18" s="43"/>
    </row>
    <row r="19" spans="2:12" x14ac:dyDescent="0.25">
      <c r="B19" s="35" t="s">
        <v>11</v>
      </c>
      <c r="C19" s="35"/>
      <c r="D19" s="22">
        <f>((E16/12)*150)+E10</f>
        <v>190</v>
      </c>
      <c r="E19" s="1" t="s">
        <v>9</v>
      </c>
    </row>
    <row r="20" spans="2:12" x14ac:dyDescent="0.25">
      <c r="B20" s="35" t="s">
        <v>12</v>
      </c>
      <c r="C20" s="35"/>
      <c r="D20" s="22">
        <f>E11+D19</f>
        <v>290</v>
      </c>
      <c r="E20" s="1" t="s">
        <v>9</v>
      </c>
    </row>
    <row r="21" spans="2:12" x14ac:dyDescent="0.25">
      <c r="B21" s="42" t="s">
        <v>29</v>
      </c>
      <c r="C21" s="42"/>
      <c r="D21" s="22">
        <f>D20*E14^2/2</f>
        <v>2320</v>
      </c>
      <c r="E21" s="1" t="s">
        <v>13</v>
      </c>
    </row>
    <row r="22" spans="2:12" x14ac:dyDescent="0.25">
      <c r="B22" s="35" t="s">
        <v>30</v>
      </c>
      <c r="C22" s="35"/>
      <c r="D22" s="22">
        <f>SQRT((D21*12)/(L27*12))</f>
        <v>3.5848025376826214</v>
      </c>
      <c r="E22" s="1" t="s">
        <v>8</v>
      </c>
      <c r="F22" s="44" t="str">
        <f>IF(D18&gt;D22,"Depth Check Is ok!","Depth Check Is not Ok! Pls Try Again")</f>
        <v>Depth Check Is ok!</v>
      </c>
      <c r="G22" s="44"/>
      <c r="H22" s="44"/>
      <c r="I22" s="44"/>
      <c r="J22" s="44"/>
      <c r="K22" s="27"/>
      <c r="L22" s="27">
        <f>(29*10^6)/(57000*SQRT(E8))</f>
        <v>9.6148857169013944</v>
      </c>
    </row>
    <row r="23" spans="2:12" x14ac:dyDescent="0.25">
      <c r="D23" s="22"/>
      <c r="F23" s="5"/>
      <c r="G23" s="5"/>
      <c r="H23" s="5"/>
      <c r="I23" s="5"/>
      <c r="J23" s="5"/>
      <c r="K23" s="27" t="s">
        <v>14</v>
      </c>
      <c r="L23" s="28">
        <f>IF(L22&gt;15,15,IF(L22&gt;14,14,IF(L22&gt;13,13,IF(L22&gt;12,12,IF(L22&gt;11,11,IF(L22&gt;10,10,IF(L22&gt;9,9,IF(L22&gt;8,8,IF(L22&gt;7,7,IF(L22&gt;6,6,0))))))))))</f>
        <v>9</v>
      </c>
    </row>
    <row r="24" spans="2:12" ht="21" x14ac:dyDescent="0.35">
      <c r="B24" s="39" t="s">
        <v>20</v>
      </c>
      <c r="C24" s="39"/>
      <c r="D24" s="39"/>
      <c r="E24" s="39"/>
      <c r="F24" s="39"/>
      <c r="G24" s="39"/>
      <c r="H24" s="39"/>
      <c r="I24" s="5"/>
      <c r="J24" s="5"/>
      <c r="K24" s="27" t="s">
        <v>15</v>
      </c>
      <c r="L24" s="29">
        <f>(0.4*E9)/(0.45*E8)</f>
        <v>19.047619047619047</v>
      </c>
    </row>
    <row r="25" spans="2:12" x14ac:dyDescent="0.25">
      <c r="K25" s="27" t="s">
        <v>16</v>
      </c>
      <c r="L25" s="30">
        <f>L23/(L23+L24)</f>
        <v>0.32088285229202035</v>
      </c>
    </row>
    <row r="26" spans="2:12" x14ac:dyDescent="0.25">
      <c r="B26" s="1" t="s">
        <v>31</v>
      </c>
      <c r="C26" s="23">
        <f>(D21*12/(E6*L26*D18))</f>
        <v>0.2570558537967555</v>
      </c>
      <c r="D26" s="1" t="s">
        <v>21</v>
      </c>
      <c r="E26" s="1" t="s">
        <v>34</v>
      </c>
      <c r="G26" s="22">
        <f>_xlfn.FLOOR.MATH(IF((L28*12/C26)&gt;(2*E16),2*E16,(L28*12/C26)),0.25)</f>
        <v>5.5</v>
      </c>
      <c r="H26" s="1" t="s">
        <v>8</v>
      </c>
      <c r="K26" s="27" t="s">
        <v>17</v>
      </c>
      <c r="L26" s="31">
        <f>1-(L25/3)</f>
        <v>0.8930390492359932</v>
      </c>
    </row>
    <row r="27" spans="2:12" x14ac:dyDescent="0.25">
      <c r="B27" s="1" t="s">
        <v>32</v>
      </c>
      <c r="C27" s="1">
        <f>0.002*12*E16</f>
        <v>0.14400000000000002</v>
      </c>
      <c r="D27" s="1" t="s">
        <v>33</v>
      </c>
      <c r="E27" s="1" t="s">
        <v>34</v>
      </c>
      <c r="G27" s="22">
        <f>_xlfn.FLOOR.MATH(IF((L29*12/C27)&gt;(3*E16),3*E16,(L29*12/C27)),0.25)</f>
        <v>10</v>
      </c>
      <c r="H27" s="1" t="s">
        <v>8</v>
      </c>
      <c r="K27" s="27" t="s">
        <v>18</v>
      </c>
      <c r="L27" s="29">
        <f>0.5*0.45*E8*L26*L25</f>
        <v>180.53337791600967</v>
      </c>
    </row>
    <row r="28" spans="2:12" x14ac:dyDescent="0.25">
      <c r="K28" s="27" t="s">
        <v>37</v>
      </c>
      <c r="L28" s="30">
        <f>(PI()/4)*(E12/8)^2</f>
        <v>0.12176739494236219</v>
      </c>
    </row>
    <row r="29" spans="2:12" x14ac:dyDescent="0.25">
      <c r="K29" s="27" t="s">
        <v>38</v>
      </c>
      <c r="L29" s="30">
        <f>(PI()/4)*(E13/8)^2</f>
        <v>0.12176739494236219</v>
      </c>
    </row>
  </sheetData>
  <sheetProtection algorithmName="SHA-512" hashValue="kJpFFH/tE7/On0uzTPKN5zTH+EHwX/elZYITXsL1XFPy6zTE72ix/P1EWedqRziq7QazqN/JRo+k3IrXImZGlQ==" saltValue="QUL8hs3leVNPlCn/vp3S2A==" spinCount="100000" sheet="1" objects="1" scenarios="1" selectLockedCells="1"/>
  <mergeCells count="16">
    <mergeCell ref="B1:K1"/>
    <mergeCell ref="B22:C22"/>
    <mergeCell ref="B24:H24"/>
    <mergeCell ref="B13:D13"/>
    <mergeCell ref="B20:C20"/>
    <mergeCell ref="B4:D4"/>
    <mergeCell ref="B10:D10"/>
    <mergeCell ref="B11:D11"/>
    <mergeCell ref="B19:C19"/>
    <mergeCell ref="B21:C21"/>
    <mergeCell ref="F18:J18"/>
    <mergeCell ref="F22:J22"/>
    <mergeCell ref="B12:D12"/>
    <mergeCell ref="B14:D14"/>
    <mergeCell ref="C15:F15"/>
    <mergeCell ref="B2:K2"/>
  </mergeCells>
  <phoneticPr fontId="7" type="noConversion"/>
  <conditionalFormatting sqref="C15:F15">
    <cfRule type="containsText" dxfId="1" priority="7" operator="containsText" text="You have Input Slab Length Incorrectly. Check it.">
      <formula>NOT(ISERROR(SEARCH("You have Input Slab Length Incorrectly. Check it.",C15)))</formula>
    </cfRule>
  </conditionalFormatting>
  <conditionalFormatting sqref="F18">
    <cfRule type="containsText" dxfId="0" priority="1" operator="containsText" text="Please Increase Slab Thickness">
      <formula>NOT(ISERROR(SEARCH("Please Increase Slab Thickness",F18)))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 &amp; Instruction </vt:lpstr>
      <vt:lpstr>CSD V1.1 (Updated 21-08-2023)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2025-08-02T17:10:48Z</dcterms:modified>
</cp:coreProperties>
</file>