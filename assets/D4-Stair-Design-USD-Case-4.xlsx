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48A4CFC9-B451-48CA-A411-114791710186}" xr6:coauthVersionLast="47" xr6:coauthVersionMax="47" xr10:uidLastSave="{00000000-0000-0000-0000-000000000000}"/>
  <bookViews>
    <workbookView xWindow="765" yWindow="975" windowWidth="15405" windowHeight="12555" xr2:uid="{00000000-000D-0000-FFFF-FFFF00000000}"/>
  </bookViews>
  <sheets>
    <sheet name="Video &amp; Instruction " sheetId="6" r:id="rId1"/>
    <sheet name="Input Data" sheetId="1" r:id="rId2"/>
    <sheet name="Load Calculation" sheetId="2" r:id="rId3"/>
    <sheet name="SFD &amp; BMD" sheetId="3" r:id="rId4"/>
    <sheet name="Design Calculation" sheetId="4" r:id="rId5"/>
    <sheet name="Detailing" sheetId="5" r:id="rId6"/>
  </sheets>
  <externalReferences>
    <externalReference r:id="rId7"/>
  </externalReferences>
  <definedNames>
    <definedName name="a">'Design Calculation'!$V$3</definedName>
    <definedName name="a.">'Design Calculation'!$V$3</definedName>
    <definedName name="af">'Design Calculation'!$V$11</definedName>
    <definedName name="As">'Design Calculation'!$P$4</definedName>
    <definedName name="As.">'Design Calculation'!$P$6</definedName>
    <definedName name="Asl">'Design Calculation'!$K$20</definedName>
    <definedName name="Ass">'Design Calculation'!$P$15</definedName>
    <definedName name="b">'Design Calculation'!$V$4</definedName>
    <definedName name="bf">'Design Calculation'!$V$12</definedName>
    <definedName name="bw">'Input Data'!$E$9</definedName>
    <definedName name="bws">'Input Data'!$E$10</definedName>
    <definedName name="c.">'Design Calculation'!$V$5</definedName>
    <definedName name="CC">'Input Data'!$E$17</definedName>
    <definedName name="cf">'Design Calculation'!$V$13</definedName>
    <definedName name="Cosθ">'Load Calculation'!$F$6</definedName>
    <definedName name="DL">'Input Data'!$E$7</definedName>
    <definedName name="dreq">'Design Calculation'!$E$13</definedName>
    <definedName name="Effective_Depth">'Load Calculation'!$F$10</definedName>
    <definedName name="Effective_Length_of_Stair">'Load Calculation'!$F$8</definedName>
    <definedName name="End_Landing_Length">'Input Data'!$E$12</definedName>
    <definedName name="fc">'Input Data'!$E$5</definedName>
    <definedName name="framesystem">[1]Sheet3!$B$39:$B$45</definedName>
    <definedName name="fy">'Input Data'!$E$6</definedName>
    <definedName name="Horizontal_Length_of_Stair_Flight">'Load Calculation'!$F$3</definedName>
    <definedName name="Inclined_Length_of_Stair">'Load Calculation'!$F$7</definedName>
    <definedName name="L1.">'SFD &amp; BMD'!$E$5</definedName>
    <definedName name="L2.">'SFD &amp; BMD'!$G$5</definedName>
    <definedName name="L3.">'SFD &amp; BMD'!$L$5</definedName>
    <definedName name="LL">'Input Data'!$E$8</definedName>
    <definedName name="Main_Bar_Dia">'Input Data'!$E$18</definedName>
    <definedName name="Mu">'SFD &amp; BMD'!$H$15</definedName>
    <definedName name="Mu.">'Design Calculation'!$E$9</definedName>
    <definedName name="Nos_of_Riser">'Input Data'!$E$16</definedName>
    <definedName name="Nos_of_Trade">'Input Data'!$E$15</definedName>
    <definedName name="Riser">'Input Data'!$E$14</definedName>
    <definedName name="Rv">'Design Calculation'!$E$12</definedName>
    <definedName name="S_f_Long">'Design Calculation'!$P$11</definedName>
    <definedName name="S_f_Shear">'Design Calculation'!$P$16</definedName>
    <definedName name="S_L_Long">'Design Calculation'!$K$27</definedName>
    <definedName name="S_L_shear">'Design Calculation'!$K$32</definedName>
    <definedName name="S_main_Long">'Design Calculation'!$P$11</definedName>
    <definedName name="S_main_Provided">'Design Calculation'!$P$11</definedName>
    <definedName name="S_Main_Shear">'Design Calculation'!$P$16</definedName>
    <definedName name="S_Shear">'Design Calculation'!$P$16</definedName>
    <definedName name="Shear_Bar_dia">'Input Data'!$E$19</definedName>
    <definedName name="Starting_Landing_Length">'Input Data'!$E$11</definedName>
    <definedName name="t">'Load Calculation'!$H$7</definedName>
    <definedName name="Total_DL">'Load Calculation'!$F$16</definedName>
    <definedName name="Trade">'Input Data'!$E$13</definedName>
    <definedName name="Vertical_height_of_Stair_Flight">'Load Calculation'!$F$4</definedName>
    <definedName name="W1.">'SFD &amp; BMD'!$E$3</definedName>
    <definedName name="W1s">'SFD &amp; BMD'!$E$3</definedName>
    <definedName name="W2.">'SFD &amp; BMD'!$G$2</definedName>
    <definedName name="W2s">'SFD &amp; BMD'!$G$2</definedName>
    <definedName name="W3.">'SFD &amp; BMD'!$L$3</definedName>
    <definedName name="W3s">'SFD &amp; BMD'!$L$3</definedName>
    <definedName name="Wfi">'Load Calculation'!$F$17</definedName>
    <definedName name="β">'Input Data'!$E$23</definedName>
    <definedName name="λ">'Input Data'!$E$22</definedName>
    <definedName name="ρ">'Design Calculation'!$E$10</definedName>
    <definedName name="ρmax">'Design Calculation'!$E$11</definedName>
    <definedName name="φ">'Input Data'!$E$20</definedName>
    <definedName name="φm">'Input Data'!$E$21</definedName>
    <definedName name="φs">'Input Data'!$E$20</definedName>
  </definedNames>
  <calcPr calcId="181029"/>
</workbook>
</file>

<file path=xl/calcChain.xml><?xml version="1.0" encoding="utf-8"?>
<calcChain xmlns="http://schemas.openxmlformats.org/spreadsheetml/2006/main">
  <c r="Q26" i="2" l="1"/>
  <c r="M26" i="2"/>
  <c r="F10" i="2" l="1"/>
  <c r="N13" i="5" l="1"/>
  <c r="D11" i="5"/>
  <c r="N11" i="5"/>
  <c r="N9" i="5"/>
  <c r="D13" i="5"/>
  <c r="N15" i="5"/>
  <c r="O15" i="5" s="1"/>
  <c r="K26" i="4" l="1"/>
  <c r="V11" i="4"/>
  <c r="K31" i="4"/>
  <c r="P15" i="4"/>
  <c r="P16" i="4" s="1"/>
  <c r="O13" i="5" s="1"/>
  <c r="Q13" i="5" s="1"/>
  <c r="P10" i="4"/>
  <c r="V3" i="4"/>
  <c r="K32" i="4" l="1"/>
  <c r="E10" i="4"/>
  <c r="E11" i="4" s="1"/>
  <c r="E12" i="4" s="1"/>
  <c r="O9" i="5" l="1"/>
  <c r="Q9" i="5" s="1"/>
  <c r="E13" i="5"/>
  <c r="G13" i="5" s="1"/>
  <c r="F14" i="2"/>
  <c r="F4" i="2"/>
  <c r="F3" i="2"/>
  <c r="L5" i="3"/>
  <c r="E5" i="3"/>
  <c r="F20" i="2" l="1"/>
  <c r="E3" i="3" s="1"/>
  <c r="L3" i="3" s="1"/>
  <c r="F5" i="2"/>
  <c r="O20" i="2" s="1"/>
  <c r="O26" i="2"/>
  <c r="F8" i="2" s="1"/>
  <c r="Q17" i="2"/>
  <c r="K21" i="4" l="1"/>
  <c r="V12" i="4"/>
  <c r="E5" i="4"/>
  <c r="V4" i="4"/>
  <c r="P5" i="4"/>
  <c r="F7" i="2"/>
  <c r="N16" i="2" s="1"/>
  <c r="F9" i="2"/>
  <c r="G5" i="3"/>
  <c r="F6" i="2" l="1"/>
  <c r="I5" i="5"/>
  <c r="K5" i="5" s="1"/>
  <c r="F15" i="2"/>
  <c r="F16" i="2" s="1"/>
  <c r="F17" i="2" l="1"/>
  <c r="F18" i="2" s="1"/>
  <c r="G2" i="3" s="1"/>
  <c r="E6" i="3" s="1"/>
  <c r="C8" i="3" s="1"/>
  <c r="G8" i="3" s="1"/>
  <c r="E16" i="3" l="1"/>
  <c r="J13" i="3"/>
  <c r="E4" i="4" s="1"/>
  <c r="L6" i="3"/>
  <c r="H12" i="3" l="1"/>
  <c r="J9" i="3" s="1"/>
  <c r="L8" i="3"/>
  <c r="N11" i="3" s="1"/>
  <c r="H15" i="3" l="1"/>
  <c r="K23" i="3" s="1"/>
  <c r="N19" i="3" s="1"/>
  <c r="E6" i="4"/>
  <c r="F6" i="4" s="1"/>
  <c r="K30" i="4"/>
  <c r="L30" i="4" s="1"/>
  <c r="P14" i="4"/>
  <c r="Q14" i="4" s="1"/>
  <c r="E9" i="4" l="1"/>
  <c r="V5" i="4" s="1"/>
  <c r="V7" i="4" s="1"/>
  <c r="V13" i="4"/>
  <c r="V15" i="4" s="1"/>
  <c r="V14" i="4" l="1"/>
  <c r="K20" i="4" s="1"/>
  <c r="K25" i="4" s="1"/>
  <c r="K27" i="4" s="1"/>
  <c r="E11" i="5" s="1"/>
  <c r="G11" i="5" s="1"/>
  <c r="V6" i="4"/>
  <c r="E13" i="4"/>
  <c r="E14" i="4" s="1"/>
  <c r="P4" i="4"/>
  <c r="P6" i="4" s="1"/>
  <c r="P9" i="4" s="1"/>
  <c r="P11" i="4" s="1"/>
  <c r="O11" i="5" s="1"/>
  <c r="Q11" i="5" s="1"/>
  <c r="K22" i="4" l="1"/>
</calcChain>
</file>

<file path=xl/sharedStrings.xml><?xml version="1.0" encoding="utf-8"?>
<sst xmlns="http://schemas.openxmlformats.org/spreadsheetml/2006/main" count="171" uniqueCount="110">
  <si>
    <t>Main Data</t>
  </si>
  <si>
    <t>psi</t>
  </si>
  <si>
    <t>f'c=</t>
  </si>
  <si>
    <t>fy=</t>
  </si>
  <si>
    <t>ExtraDL (SDL+FFL)</t>
  </si>
  <si>
    <t>psf</t>
  </si>
  <si>
    <t>Live Load ,L.L=</t>
  </si>
  <si>
    <t>in</t>
  </si>
  <si>
    <t>ft</t>
  </si>
  <si>
    <r>
      <t>(B &amp; T) 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</si>
  <si>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t>Starting Landing Length=</t>
  </si>
  <si>
    <t>End Landing Length=</t>
  </si>
  <si>
    <t>Trade=</t>
  </si>
  <si>
    <t>Riser=</t>
  </si>
  <si>
    <t>Nos of Trade=</t>
  </si>
  <si>
    <t>Nos of Riser=</t>
  </si>
  <si>
    <t>Horizontal Length of Stair Flight=</t>
  </si>
  <si>
    <t>Vertical height of Stair Flight=</t>
  </si>
  <si>
    <r>
      <t xml:space="preserve">Angle, </t>
    </r>
    <r>
      <rPr>
        <sz val="11"/>
        <color theme="1"/>
        <rFont val="Calibri"/>
        <family val="2"/>
      </rPr>
      <t>θ=</t>
    </r>
  </si>
  <si>
    <t>Deg</t>
  </si>
  <si>
    <r>
      <t xml:space="preserve">Cos </t>
    </r>
    <r>
      <rPr>
        <sz val="11"/>
        <color theme="1"/>
        <rFont val="Calibri"/>
        <family val="2"/>
      </rPr>
      <t>θ=</t>
    </r>
  </si>
  <si>
    <t>Inclined Length of Stair=</t>
  </si>
  <si>
    <t>Effective Length of Stair=</t>
  </si>
  <si>
    <t>Weist Slab Thickness (Minimum)=</t>
  </si>
  <si>
    <t>ACI 318-08 [Table-9.5(a)]</t>
  </si>
  <si>
    <t>Provide</t>
  </si>
  <si>
    <t>Weist Slab Thickness, t</t>
  </si>
  <si>
    <t>Clear Cover, CC=</t>
  </si>
  <si>
    <t>mm</t>
  </si>
  <si>
    <t>Transverse/Shear  Rebar Dia=</t>
  </si>
  <si>
    <t>Longitudinal/Main Rabar Dia=</t>
  </si>
  <si>
    <t>Effective Depth=</t>
  </si>
  <si>
    <t>deg</t>
  </si>
  <si>
    <r>
      <t>Width of Strainger Beam (b</t>
    </r>
    <r>
      <rPr>
        <sz val="8"/>
        <color theme="1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)=</t>
    </r>
  </si>
  <si>
    <t>Load Calculation</t>
  </si>
  <si>
    <t>Flight Load</t>
  </si>
  <si>
    <t>Self Weight of Weist Slab=</t>
  </si>
  <si>
    <t>lb/ft</t>
  </si>
  <si>
    <t>Self Weight of Steps=</t>
  </si>
  <si>
    <t>Totol DL=</t>
  </si>
  <si>
    <r>
      <t>Factored Load (Inclined), W</t>
    </r>
    <r>
      <rPr>
        <sz val="9"/>
        <color theme="1"/>
        <rFont val="Calibri"/>
        <family val="2"/>
        <scheme val="minor"/>
      </rPr>
      <t>fi=</t>
    </r>
  </si>
  <si>
    <r>
      <t>Factored Load (Horizontal), W</t>
    </r>
    <r>
      <rPr>
        <sz val="9"/>
        <color theme="1"/>
        <rFont val="Calibri"/>
        <family val="2"/>
        <scheme val="minor"/>
      </rPr>
      <t>fh=</t>
    </r>
  </si>
  <si>
    <t>Landing Load</t>
  </si>
  <si>
    <r>
      <t>Factor Load, W</t>
    </r>
    <r>
      <rPr>
        <sz val="8"/>
        <color theme="1"/>
        <rFont val="Calibri"/>
        <family val="2"/>
        <scheme val="minor"/>
      </rPr>
      <t>l=</t>
    </r>
  </si>
  <si>
    <t>LD</t>
  </si>
  <si>
    <t>SFD</t>
  </si>
  <si>
    <t>BMD</t>
  </si>
  <si>
    <t>Shear Check for Provided Effective Depth,d</t>
  </si>
  <si>
    <t>lb</t>
  </si>
  <si>
    <t>Maximum Shear, Vu=</t>
  </si>
  <si>
    <t>Allawable Shear, φVc=</t>
  </si>
  <si>
    <t>λ=</t>
  </si>
  <si>
    <t>Thickness check=</t>
  </si>
  <si>
    <t>Depth Check For Moment</t>
  </si>
  <si>
    <t>lb-ft</t>
  </si>
  <si>
    <t>β=</t>
  </si>
  <si>
    <t>ρ=</t>
  </si>
  <si>
    <t>ρmax=</t>
  </si>
  <si>
    <t>For Shear, φ =</t>
  </si>
  <si>
    <t>For Moment, φ =</t>
  </si>
  <si>
    <t>R=</t>
  </si>
  <si>
    <r>
      <t>d</t>
    </r>
    <r>
      <rPr>
        <sz val="8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</si>
  <si>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Depth Check=</t>
  </si>
  <si>
    <t xml:space="preserve"> </t>
  </si>
  <si>
    <t>a=</t>
  </si>
  <si>
    <t>b=</t>
  </si>
  <si>
    <t>c=</t>
  </si>
  <si>
    <t>X1=</t>
  </si>
  <si>
    <t>X2=</t>
  </si>
  <si>
    <t>Mu=</t>
  </si>
  <si>
    <t>Main reinforcement for Flight, As=</t>
  </si>
  <si>
    <t>in^2</t>
  </si>
  <si>
    <t>Minimum reinforcement for Flight, As=</t>
  </si>
  <si>
    <t>Provided Reinforcement for Flight, As=</t>
  </si>
  <si>
    <t>Spacing Calculation</t>
  </si>
  <si>
    <t>Main Reinforcement Calculation For Flight</t>
  </si>
  <si>
    <t>in C/C</t>
  </si>
  <si>
    <t>Spacing For Logn Bar, S=</t>
  </si>
  <si>
    <t>Maximum Spacing For Crack Control, Smax=</t>
  </si>
  <si>
    <r>
      <t>Provided Spacing, S</t>
    </r>
    <r>
      <rPr>
        <sz val="8"/>
        <color theme="1"/>
        <rFont val="Calibri"/>
        <family val="2"/>
        <scheme val="minor"/>
      </rPr>
      <t>provided</t>
    </r>
    <r>
      <rPr>
        <sz val="11"/>
        <color theme="1"/>
        <rFont val="Calibri"/>
        <family val="2"/>
        <scheme val="minor"/>
      </rPr>
      <t>)=</t>
    </r>
  </si>
  <si>
    <t>Shear (Transverse) Reinforcement Calculation for Flight</t>
  </si>
  <si>
    <t>Is Shear Reinforcement required? =</t>
  </si>
  <si>
    <t>Minimum Required=</t>
  </si>
  <si>
    <t>Spacing=</t>
  </si>
  <si>
    <t>Main Reinforcement Calculation For Landing</t>
  </si>
  <si>
    <t>Main reinforcement for Landing, As=</t>
  </si>
  <si>
    <t>Minimum reinforcement for Landing, As=</t>
  </si>
  <si>
    <t>Provided Reinforcement for Landing, As=</t>
  </si>
  <si>
    <t>W. Slab=</t>
  </si>
  <si>
    <t>This Excel Sheet is Created By Engr Hedaetullah &amp; NJ Disha</t>
  </si>
  <si>
    <t>YT: School of Civil Engineering/ SOCE BD</t>
  </si>
  <si>
    <t>Stay Connected and support Us.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</si>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</sst>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000"/>
    <numFmt numFmtId="165" formatCode="0.00\ &quot;ft&quot;"/>
    <numFmt numFmtId="166" formatCode="0.00\ &quot;in&quot;"/>
    <numFmt numFmtId="167" formatCode="0.00\ &quot;lb/ft&quot;"/>
    <numFmt numFmtId="168" formatCode="0.00\ &quot;lb&quot;"/>
    <numFmt numFmtId="169" formatCode="&quot;R1=&quot;\ 0.00\ &quot;lb&quot;"/>
    <numFmt numFmtId="170" formatCode="&quot;R2=&quot;\ 0.00\ &quot;lb&quot;"/>
    <numFmt numFmtId="171" formatCode="0.00\ &quot;lb-ft&quot;"/>
    <numFmt numFmtId="172" formatCode="0.0"/>
    <numFmt numFmtId="173" formatCode="0.000"/>
    <numFmt numFmtId="174" formatCode="0.00000"/>
    <numFmt numFmtId="175" formatCode="0.00\ &quot;In&quot;"/>
    <numFmt numFmtId="176" formatCode="&quot;or&quot;0\ &quot;mm&quot;"/>
    <numFmt numFmtId="177" formatCode="0\ &quot;mm Φ&quot;"/>
    <numFmt numFmtId="178" formatCode="&quot;@&quot;0.00\ &quot;in C/C or&quot;"/>
    <numFmt numFmtId="179" formatCode="&quot;@&quot;0\ &quot;mm C/C&quot;"/>
    <numFmt numFmtId="180" formatCode="&quot;L/3=&quot;\ 0\ &quot;in or&quot;"/>
    <numFmt numFmtId="181" formatCode="0\ &quot;mm&quot;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Protection="1">
      <protection locked="0"/>
    </xf>
    <xf numFmtId="177" fontId="0" fillId="0" borderId="0" xfId="0" applyNumberFormat="1" applyProtection="1">
      <protection locked="0"/>
    </xf>
    <xf numFmtId="178" fontId="0" fillId="0" borderId="0" xfId="0" applyNumberFormat="1" applyProtection="1">
      <protection locked="0"/>
    </xf>
    <xf numFmtId="179" fontId="0" fillId="0" borderId="0" xfId="0" applyNumberFormat="1" applyProtection="1">
      <protection locked="0"/>
    </xf>
    <xf numFmtId="177" fontId="2" fillId="5" borderId="17" xfId="0" applyNumberFormat="1" applyFont="1" applyFill="1" applyBorder="1" applyProtection="1">
      <protection locked="0"/>
    </xf>
    <xf numFmtId="177" fontId="0" fillId="6" borderId="17" xfId="0" applyNumberFormat="1" applyFill="1" applyBorder="1" applyProtection="1">
      <protection locked="0"/>
    </xf>
    <xf numFmtId="0" fontId="4" fillId="0" borderId="0" xfId="0" applyFont="1" applyProtection="1">
      <protection locked="0"/>
    </xf>
    <xf numFmtId="177" fontId="0" fillId="5" borderId="17" xfId="0" applyNumberFormat="1" applyFill="1" applyBorder="1" applyProtection="1">
      <protection locked="0"/>
    </xf>
    <xf numFmtId="0" fontId="0" fillId="5" borderId="0" xfId="0" applyFill="1" applyProtection="1">
      <protection locked="0"/>
    </xf>
    <xf numFmtId="175" fontId="0" fillId="5" borderId="0" xfId="0" applyNumberFormat="1" applyFill="1" applyAlignment="1" applyProtection="1">
      <alignment horizontal="center" vertical="center"/>
      <protection locked="0"/>
    </xf>
    <xf numFmtId="176" fontId="0" fillId="5" borderId="0" xfId="0" applyNumberFormat="1" applyFill="1" applyAlignment="1" applyProtection="1">
      <alignment horizontal="center" vertical="center"/>
      <protection locked="0"/>
    </xf>
    <xf numFmtId="0" fontId="8" fillId="0" borderId="7" xfId="0" applyFont="1" applyBorder="1" applyProtection="1">
      <protection locked="0"/>
    </xf>
    <xf numFmtId="0" fontId="8" fillId="0" borderId="6" xfId="0" applyFon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172" fontId="0" fillId="0" borderId="0" xfId="0" applyNumberFormat="1" applyProtection="1">
      <protection locked="0"/>
    </xf>
    <xf numFmtId="173" fontId="0" fillId="0" borderId="0" xfId="0" applyNumberFormat="1" applyProtection="1">
      <protection locked="0"/>
    </xf>
    <xf numFmtId="172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73" fontId="0" fillId="4" borderId="0" xfId="0" applyNumberFormat="1" applyFill="1" applyProtection="1">
      <protection locked="0"/>
    </xf>
    <xf numFmtId="0" fontId="8" fillId="0" borderId="12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174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0" fillId="0" borderId="0" xfId="0" applyNumberFormat="1" applyProtection="1">
      <protection locked="0"/>
    </xf>
    <xf numFmtId="2" fontId="0" fillId="4" borderId="0" xfId="0" applyNumberFormat="1" applyFill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 vertical="top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2" fillId="2" borderId="1" xfId="0" applyFont="1" applyFill="1" applyBorder="1" applyAlignment="1" applyProtection="1">
      <alignment horizontal="right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2" fillId="2" borderId="1" xfId="0" applyFont="1" applyFill="1" applyBorder="1" applyProtection="1">
      <protection locked="0"/>
    </xf>
    <xf numFmtId="164" fontId="0" fillId="0" borderId="0" xfId="0" applyNumberFormat="1" applyProtection="1">
      <protection locked="0"/>
    </xf>
    <xf numFmtId="0" fontId="2" fillId="3" borderId="1" xfId="0" applyFont="1" applyFill="1" applyBorder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181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2" xfId="0" applyBorder="1" applyAlignment="1" applyProtection="1">
      <alignment horizontal="right"/>
      <protection locked="0"/>
    </xf>
    <xf numFmtId="0" fontId="1" fillId="6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0" borderId="0" xfId="0" applyAlignment="1" applyProtection="1">
      <alignment horizontal="righ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166" fontId="0" fillId="2" borderId="3" xfId="0" applyNumberFormat="1" applyFill="1" applyBorder="1" applyAlignment="1" applyProtection="1">
      <alignment horizontal="center"/>
      <protection locked="0"/>
    </xf>
    <xf numFmtId="166" fontId="0" fillId="2" borderId="4" xfId="0" applyNumberFormat="1" applyFill="1" applyBorder="1" applyAlignment="1" applyProtection="1">
      <alignment horizontal="center"/>
      <protection locked="0"/>
    </xf>
    <xf numFmtId="166" fontId="0" fillId="2" borderId="5" xfId="0" applyNumberFormat="1" applyFill="1" applyBorder="1" applyAlignment="1" applyProtection="1">
      <alignment horizontal="center"/>
      <protection locked="0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right"/>
      <protection locked="0"/>
    </xf>
    <xf numFmtId="168" fontId="0" fillId="0" borderId="0" xfId="0" applyNumberFormat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71" fontId="0" fillId="0" borderId="0" xfId="0" applyNumberForma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left"/>
      <protection locked="0"/>
    </xf>
    <xf numFmtId="170" fontId="0" fillId="0" borderId="0" xfId="0" applyNumberFormat="1" applyAlignment="1" applyProtection="1">
      <alignment horizontal="left"/>
      <protection locked="0"/>
    </xf>
    <xf numFmtId="171" fontId="0" fillId="0" borderId="0" xfId="0" applyNumberFormat="1" applyAlignment="1" applyProtection="1">
      <alignment horizontal="right"/>
      <protection locked="0"/>
    </xf>
    <xf numFmtId="171" fontId="0" fillId="0" borderId="0" xfId="0" applyNumberFormat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right"/>
      <protection locked="0"/>
    </xf>
    <xf numFmtId="0" fontId="0" fillId="0" borderId="13" xfId="0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right"/>
      <protection locked="0"/>
    </xf>
    <xf numFmtId="179" fontId="0" fillId="5" borderId="18" xfId="0" applyNumberFormat="1" applyFill="1" applyBorder="1" applyAlignment="1" applyProtection="1">
      <alignment horizontal="left"/>
      <protection locked="0"/>
    </xf>
    <xf numFmtId="179" fontId="0" fillId="5" borderId="19" xfId="0" applyNumberFormat="1" applyFill="1" applyBorder="1" applyAlignment="1" applyProtection="1">
      <alignment horizontal="left"/>
      <protection locked="0"/>
    </xf>
    <xf numFmtId="178" fontId="2" fillId="5" borderId="18" xfId="0" applyNumberFormat="1" applyFont="1" applyFill="1" applyBorder="1" applyAlignment="1" applyProtection="1">
      <alignment horizontal="center"/>
      <protection locked="0"/>
    </xf>
    <xf numFmtId="179" fontId="2" fillId="5" borderId="18" xfId="0" applyNumberFormat="1" applyFont="1" applyFill="1" applyBorder="1" applyAlignment="1" applyProtection="1">
      <alignment horizontal="left"/>
      <protection locked="0"/>
    </xf>
    <xf numFmtId="179" fontId="2" fillId="5" borderId="19" xfId="0" applyNumberFormat="1" applyFont="1" applyFill="1" applyBorder="1" applyAlignment="1" applyProtection="1">
      <alignment horizontal="left"/>
      <protection locked="0"/>
    </xf>
    <xf numFmtId="178" fontId="0" fillId="6" borderId="18" xfId="0" applyNumberFormat="1" applyFill="1" applyBorder="1" applyAlignment="1" applyProtection="1">
      <alignment horizontal="center"/>
      <protection locked="0"/>
    </xf>
    <xf numFmtId="179" fontId="0" fillId="6" borderId="18" xfId="0" applyNumberFormat="1" applyFill="1" applyBorder="1" applyAlignment="1" applyProtection="1">
      <alignment horizontal="left"/>
      <protection locked="0"/>
    </xf>
    <xf numFmtId="179" fontId="0" fillId="6" borderId="19" xfId="0" applyNumberFormat="1" applyFill="1" applyBorder="1" applyAlignment="1" applyProtection="1">
      <alignment horizontal="left"/>
      <protection locked="0"/>
    </xf>
    <xf numFmtId="178" fontId="0" fillId="5" borderId="18" xfId="0" applyNumberFormat="1" applyFill="1" applyBorder="1" applyAlignment="1" applyProtection="1">
      <alignment horizontal="center"/>
      <protection locked="0"/>
    </xf>
    <xf numFmtId="180" fontId="0" fillId="0" borderId="0" xfId="0" applyNumberFormat="1" applyAlignment="1" applyProtection="1">
      <alignment horizontal="right"/>
      <protection locked="0"/>
    </xf>
    <xf numFmtId="0" fontId="11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10" fillId="0" borderId="0" xfId="1" applyAlignment="1" applyProtection="1">
      <alignment horizontal="left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92373-720D-4D9B-8203-E138AE8C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34FEE322-BBE7-4AA6-879E-0BB4E8EA8230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171450</xdr:rowOff>
    </xdr:from>
    <xdr:to>
      <xdr:col>12</xdr:col>
      <xdr:colOff>409575</xdr:colOff>
      <xdr:row>27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495800" y="171450"/>
          <a:ext cx="4067175" cy="4991100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24</xdr:row>
      <xdr:rowOff>57150</xdr:rowOff>
    </xdr:from>
    <xdr:to>
      <xdr:col>11</xdr:col>
      <xdr:colOff>266701</xdr:colOff>
      <xdr:row>26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5" t="90649" r="3266" b="1909"/>
        <a:stretch/>
      </xdr:blipFill>
      <xdr:spPr>
        <a:xfrm>
          <a:off x="4657725" y="4629150"/>
          <a:ext cx="3152776" cy="371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233795</xdr:colOff>
      <xdr:row>19</xdr:row>
      <xdr:rowOff>155864</xdr:rowOff>
    </xdr:from>
    <xdr:to>
      <xdr:col>13</xdr:col>
      <xdr:colOff>8659</xdr:colOff>
      <xdr:row>20</xdr:row>
      <xdr:rowOff>164523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01295" y="4346864"/>
          <a:ext cx="987137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253614</xdr:colOff>
      <xdr:row>15</xdr:row>
      <xdr:rowOff>160354</xdr:rowOff>
    </xdr:from>
    <xdr:to>
      <xdr:col>16</xdr:col>
      <xdr:colOff>344456</xdr:colOff>
      <xdr:row>16</xdr:row>
      <xdr:rowOff>145724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9223137">
          <a:off x="7527250" y="3589354"/>
          <a:ext cx="2515388" cy="17587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602673</xdr:colOff>
      <xdr:row>11</xdr:row>
      <xdr:rowOff>132773</xdr:rowOff>
    </xdr:from>
    <xdr:to>
      <xdr:col>17</xdr:col>
      <xdr:colOff>377537</xdr:colOff>
      <xdr:row>12</xdr:row>
      <xdr:rowOff>141432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46673" y="2799773"/>
          <a:ext cx="994064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207818</xdr:colOff>
      <xdr:row>21</xdr:row>
      <xdr:rowOff>3464</xdr:rowOff>
    </xdr:from>
    <xdr:to>
      <xdr:col>11</xdr:col>
      <xdr:colOff>322984</xdr:colOff>
      <xdr:row>23</xdr:row>
      <xdr:rowOff>17319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840682" y="4601441"/>
          <a:ext cx="115166" cy="39485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16453</xdr:colOff>
      <xdr:row>13</xdr:row>
      <xdr:rowOff>42431</xdr:rowOff>
    </xdr:from>
    <xdr:to>
      <xdr:col>16</xdr:col>
      <xdr:colOff>103910</xdr:colOff>
      <xdr:row>15</xdr:row>
      <xdr:rowOff>60615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679998" y="3116408"/>
          <a:ext cx="87457" cy="39918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252413</xdr:colOff>
      <xdr:row>24</xdr:row>
      <xdr:rowOff>114300</xdr:rowOff>
    </xdr:from>
    <xdr:to>
      <xdr:col>17</xdr:col>
      <xdr:colOff>333375</xdr:colOff>
      <xdr:row>24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958013" y="5257800"/>
          <a:ext cx="3738562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23</xdr:row>
      <xdr:rowOff>171450</xdr:rowOff>
    </xdr:from>
    <xdr:to>
      <xdr:col>13</xdr:col>
      <xdr:colOff>0</xdr:colOff>
      <xdr:row>25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7915275" y="5124450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23</xdr:row>
      <xdr:rowOff>161925</xdr:rowOff>
    </xdr:from>
    <xdr:to>
      <xdr:col>16</xdr:col>
      <xdr:colOff>19050</xdr:colOff>
      <xdr:row>25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9763125" y="5114925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12</xdr:row>
      <xdr:rowOff>161925</xdr:rowOff>
    </xdr:from>
    <xdr:to>
      <xdr:col>15</xdr:col>
      <xdr:colOff>600075</xdr:colOff>
      <xdr:row>20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9744075" y="3019425"/>
          <a:ext cx="0" cy="14954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20</xdr:row>
      <xdr:rowOff>142875</xdr:rowOff>
    </xdr:from>
    <xdr:to>
      <xdr:col>16</xdr:col>
      <xdr:colOff>323850</xdr:colOff>
      <xdr:row>20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9477375" y="4524375"/>
          <a:ext cx="60007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523875</xdr:colOff>
      <xdr:row>11</xdr:row>
      <xdr:rowOff>104775</xdr:rowOff>
    </xdr:from>
    <xdr:to>
      <xdr:col>15</xdr:col>
      <xdr:colOff>533400</xdr:colOff>
      <xdr:row>19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7839075" y="2771775"/>
          <a:ext cx="1838325" cy="14763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587485</xdr:colOff>
      <xdr:row>20</xdr:row>
      <xdr:rowOff>152867</xdr:rowOff>
    </xdr:from>
    <xdr:to>
      <xdr:col>14</xdr:col>
      <xdr:colOff>549519</xdr:colOff>
      <xdr:row>20</xdr:row>
      <xdr:rowOff>153865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7848466" y="4556348"/>
          <a:ext cx="1178303" cy="998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67807</xdr:colOff>
      <xdr:row>18</xdr:row>
      <xdr:rowOff>169855</xdr:rowOff>
    </xdr:from>
    <xdr:to>
      <xdr:col>13</xdr:col>
      <xdr:colOff>586477</xdr:colOff>
      <xdr:row>21</xdr:row>
      <xdr:rowOff>129101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314170">
          <a:off x="7936922" y="4192336"/>
          <a:ext cx="518670" cy="530746"/>
        </a:xfrm>
        <a:prstGeom prst="arc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48492</xdr:colOff>
      <xdr:row>0</xdr:row>
      <xdr:rowOff>161052</xdr:rowOff>
    </xdr:from>
    <xdr:to>
      <xdr:col>17</xdr:col>
      <xdr:colOff>277091</xdr:colOff>
      <xdr:row>10</xdr:row>
      <xdr:rowOff>187031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8" t="58466" r="2431" b="2672"/>
        <a:stretch/>
      </xdr:blipFill>
      <xdr:spPr>
        <a:xfrm flipH="1">
          <a:off x="6681356" y="161052"/>
          <a:ext cx="3865417" cy="1956956"/>
        </a:xfrm>
        <a:prstGeom prst="rect">
          <a:avLst/>
        </a:prstGeom>
      </xdr:spPr>
    </xdr:pic>
    <xdr:clientData/>
  </xdr:twoCellAnchor>
  <xdr:twoCellAnchor editAs="oneCell">
    <xdr:from>
      <xdr:col>11</xdr:col>
      <xdr:colOff>112567</xdr:colOff>
      <xdr:row>9</xdr:row>
      <xdr:rowOff>0</xdr:rowOff>
    </xdr:from>
    <xdr:to>
      <xdr:col>16</xdr:col>
      <xdr:colOff>268433</xdr:colOff>
      <xdr:row>11</xdr:row>
      <xdr:rowOff>8659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4" t="89418" r="2430" b="2672"/>
        <a:stretch/>
      </xdr:blipFill>
      <xdr:spPr>
        <a:xfrm>
          <a:off x="6745431" y="1740477"/>
          <a:ext cx="3186547" cy="3983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9525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38400" y="762000"/>
          <a:ext cx="5495925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</xdr:row>
      <xdr:rowOff>6350</xdr:rowOff>
    </xdr:from>
    <xdr:to>
      <xdr:col>10</xdr:col>
      <xdr:colOff>600075</xdr:colOff>
      <xdr:row>3</xdr:row>
      <xdr:rowOff>184150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57600" y="577850"/>
          <a:ext cx="3038475" cy="368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6351</xdr:colOff>
      <xdr:row>7</xdr:row>
      <xdr:rowOff>139727</xdr:rowOff>
    </xdr:from>
    <xdr:to>
      <xdr:col>11</xdr:col>
      <xdr:colOff>25489</xdr:colOff>
      <xdr:row>12</xdr:row>
      <xdr:rowOff>82549</xdr:rowOff>
    </xdr:to>
    <xdr:sp macro="" textlink="">
      <xdr:nvSpPr>
        <xdr:cNvPr id="6" name="Flowchart: Colla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6200000">
          <a:off x="4727634" y="297361"/>
          <a:ext cx="895322" cy="303538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4975 w 10000"/>
            <a:gd name="connsiteY0" fmla="*/ 116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75 w 10000"/>
            <a:gd name="connsiteY6" fmla="*/ 116 h 10000"/>
            <a:gd name="connsiteX0" fmla="*/ 4925 w 10000"/>
            <a:gd name="connsiteY0" fmla="*/ 12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25 w 10000"/>
            <a:gd name="connsiteY6" fmla="*/ 12 h 10000"/>
            <a:gd name="connsiteX0" fmla="*/ 4925 w 8358"/>
            <a:gd name="connsiteY0" fmla="*/ 12 h 10000"/>
            <a:gd name="connsiteX1" fmla="*/ 8358 w 8358"/>
            <a:gd name="connsiteY1" fmla="*/ 0 h 10000"/>
            <a:gd name="connsiteX2" fmla="*/ 5000 w 8358"/>
            <a:gd name="connsiteY2" fmla="*/ 5000 h 10000"/>
            <a:gd name="connsiteX3" fmla="*/ 4975 w 8358"/>
            <a:gd name="connsiteY3" fmla="*/ 9942 h 10000"/>
            <a:gd name="connsiteX4" fmla="*/ 0 w 8358"/>
            <a:gd name="connsiteY4" fmla="*/ 10000 h 10000"/>
            <a:gd name="connsiteX5" fmla="*/ 5000 w 8358"/>
            <a:gd name="connsiteY5" fmla="*/ 5000 h 10000"/>
            <a:gd name="connsiteX6" fmla="*/ 4925 w 8358"/>
            <a:gd name="connsiteY6" fmla="*/ 12 h 10000"/>
            <a:gd name="connsiteX0" fmla="*/ 3810 w 7917"/>
            <a:gd name="connsiteY0" fmla="*/ 12 h 9979"/>
            <a:gd name="connsiteX1" fmla="*/ 7917 w 7917"/>
            <a:gd name="connsiteY1" fmla="*/ 0 h 9979"/>
            <a:gd name="connsiteX2" fmla="*/ 3899 w 7917"/>
            <a:gd name="connsiteY2" fmla="*/ 5000 h 9979"/>
            <a:gd name="connsiteX3" fmla="*/ 3869 w 7917"/>
            <a:gd name="connsiteY3" fmla="*/ 9942 h 9979"/>
            <a:gd name="connsiteX4" fmla="*/ 0 w 7917"/>
            <a:gd name="connsiteY4" fmla="*/ 9979 h 9979"/>
            <a:gd name="connsiteX5" fmla="*/ 3899 w 7917"/>
            <a:gd name="connsiteY5" fmla="*/ 5000 h 9979"/>
            <a:gd name="connsiteX6" fmla="*/ 3810 w 7917"/>
            <a:gd name="connsiteY6" fmla="*/ 12 h 9979"/>
            <a:gd name="connsiteX0" fmla="*/ 4812 w 10000"/>
            <a:gd name="connsiteY0" fmla="*/ 12 h 10046"/>
            <a:gd name="connsiteX1" fmla="*/ 10000 w 10000"/>
            <a:gd name="connsiteY1" fmla="*/ 0 h 10046"/>
            <a:gd name="connsiteX2" fmla="*/ 4925 w 10000"/>
            <a:gd name="connsiteY2" fmla="*/ 5011 h 10046"/>
            <a:gd name="connsiteX3" fmla="*/ 4812 w 10000"/>
            <a:gd name="connsiteY3" fmla="*/ 10046 h 10046"/>
            <a:gd name="connsiteX4" fmla="*/ 0 w 10000"/>
            <a:gd name="connsiteY4" fmla="*/ 10000 h 10046"/>
            <a:gd name="connsiteX5" fmla="*/ 4925 w 10000"/>
            <a:gd name="connsiteY5" fmla="*/ 5011 h 10046"/>
            <a:gd name="connsiteX6" fmla="*/ 4812 w 10000"/>
            <a:gd name="connsiteY6" fmla="*/ 12 h 10046"/>
            <a:gd name="connsiteX0" fmla="*/ 5413 w 10601"/>
            <a:gd name="connsiteY0" fmla="*/ 12 h 10063"/>
            <a:gd name="connsiteX1" fmla="*/ 10601 w 10601"/>
            <a:gd name="connsiteY1" fmla="*/ 0 h 10063"/>
            <a:gd name="connsiteX2" fmla="*/ 5526 w 10601"/>
            <a:gd name="connsiteY2" fmla="*/ 5011 h 10063"/>
            <a:gd name="connsiteX3" fmla="*/ 5413 w 10601"/>
            <a:gd name="connsiteY3" fmla="*/ 10046 h 10063"/>
            <a:gd name="connsiteX4" fmla="*/ 0 w 10601"/>
            <a:gd name="connsiteY4" fmla="*/ 10063 h 10063"/>
            <a:gd name="connsiteX5" fmla="*/ 5526 w 10601"/>
            <a:gd name="connsiteY5" fmla="*/ 5011 h 10063"/>
            <a:gd name="connsiteX6" fmla="*/ 5413 w 10601"/>
            <a:gd name="connsiteY6" fmla="*/ 12 h 100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601" h="10063">
              <a:moveTo>
                <a:pt x="5413" y="12"/>
              </a:moveTo>
              <a:lnTo>
                <a:pt x="10601" y="0"/>
              </a:lnTo>
              <a:lnTo>
                <a:pt x="5526" y="5011"/>
              </a:lnTo>
              <a:cubicBezTo>
                <a:pt x="5514" y="6661"/>
                <a:pt x="5426" y="8395"/>
                <a:pt x="5413" y="10046"/>
              </a:cubicBezTo>
              <a:lnTo>
                <a:pt x="0" y="10063"/>
              </a:lnTo>
              <a:lnTo>
                <a:pt x="5526" y="5011"/>
              </a:lnTo>
              <a:cubicBezTo>
                <a:pt x="5514" y="3379"/>
                <a:pt x="5425" y="1643"/>
                <a:pt x="5413" y="12"/>
              </a:cubicBezTo>
              <a:close/>
            </a:path>
          </a:pathLst>
        </a:cu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603250</xdr:colOff>
      <xdr:row>4</xdr:row>
      <xdr:rowOff>21167</xdr:rowOff>
    </xdr:from>
    <xdr:to>
      <xdr:col>4</xdr:col>
      <xdr:colOff>0</xdr:colOff>
      <xdr:row>5</xdr:row>
      <xdr:rowOff>129117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rot="10800000">
          <a:off x="2428875" y="677334"/>
          <a:ext cx="5292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1058</xdr:colOff>
      <xdr:row>4</xdr:row>
      <xdr:rowOff>77258</xdr:rowOff>
    </xdr:from>
    <xdr:to>
      <xdr:col>11</xdr:col>
      <xdr:colOff>7408</xdr:colOff>
      <xdr:row>5</xdr:row>
      <xdr:rowOff>185208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rot="10800000">
          <a:off x="6668558" y="733425"/>
          <a:ext cx="6350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16</xdr:row>
      <xdr:rowOff>57150</xdr:rowOff>
    </xdr:from>
    <xdr:to>
      <xdr:col>6</xdr:col>
      <xdr:colOff>12700</xdr:colOff>
      <xdr:row>18</xdr:row>
      <xdr:rowOff>171450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V="1">
          <a:off x="3663950" y="2999317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14</xdr:row>
      <xdr:rowOff>177868</xdr:rowOff>
    </xdr:from>
    <xdr:to>
      <xdr:col>8</xdr:col>
      <xdr:colOff>311150</xdr:colOff>
      <xdr:row>19</xdr:row>
      <xdr:rowOff>25400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5181600" y="2743268"/>
          <a:ext cx="6350" cy="800032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16</xdr:row>
      <xdr:rowOff>101600</xdr:rowOff>
    </xdr:from>
    <xdr:to>
      <xdr:col>11</xdr:col>
      <xdr:colOff>0</xdr:colOff>
      <xdr:row>19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 flipV="1">
          <a:off x="6673850" y="3048000"/>
          <a:ext cx="6350" cy="4699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351692</xdr:colOff>
      <xdr:row>18</xdr:row>
      <xdr:rowOff>151305</xdr:rowOff>
    </xdr:from>
    <xdr:to>
      <xdr:col>11</xdr:col>
      <xdr:colOff>7327</xdr:colOff>
      <xdr:row>21</xdr:row>
      <xdr:rowOff>117231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824904" y="3477728"/>
          <a:ext cx="842596" cy="537426"/>
        </a:xfrm>
        <a:custGeom>
          <a:avLst/>
          <a:gdLst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0 w 587375"/>
            <a:gd name="connsiteY3" fmla="*/ 465666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87375" h="465666">
              <a:moveTo>
                <a:pt x="0" y="0"/>
              </a:moveTo>
              <a:lnTo>
                <a:pt x="587375" y="0"/>
              </a:lnTo>
              <a:lnTo>
                <a:pt x="587375" y="465666"/>
              </a:lnTo>
              <a:cubicBezTo>
                <a:pt x="508000" y="368652"/>
                <a:pt x="465666" y="276929"/>
                <a:pt x="349250" y="174624"/>
              </a:cubicBezTo>
              <a:cubicBezTo>
                <a:pt x="238125" y="84666"/>
                <a:pt x="116417" y="58208"/>
                <a:pt x="0" y="0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290</xdr:colOff>
      <xdr:row>18</xdr:row>
      <xdr:rowOff>162690</xdr:rowOff>
    </xdr:from>
    <xdr:to>
      <xdr:col>13</xdr:col>
      <xdr:colOff>21980</xdr:colOff>
      <xdr:row>21</xdr:row>
      <xdr:rowOff>95250</xdr:rowOff>
    </xdr:to>
    <xdr:sp macro="" textlink="">
      <xdr:nvSpPr>
        <xdr:cNvPr id="14" name="Right Triangl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 flipV="1">
          <a:off x="6660463" y="3489113"/>
          <a:ext cx="1237959" cy="504060"/>
        </a:xfrm>
        <a:custGeom>
          <a:avLst/>
          <a:gdLst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317498 w 317498"/>
            <a:gd name="connsiteY2" fmla="*/ 359831 h 359831"/>
            <a:gd name="connsiteX3" fmla="*/ 0 w 317498"/>
            <a:gd name="connsiteY3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183398 w 317498"/>
            <a:gd name="connsiteY2" fmla="*/ 225425 h 359831"/>
            <a:gd name="connsiteX3" fmla="*/ 317498 w 317498"/>
            <a:gd name="connsiteY3" fmla="*/ 359831 h 359831"/>
            <a:gd name="connsiteX4" fmla="*/ 0 w 317498"/>
            <a:gd name="connsiteY4" fmla="*/ 359831 h 359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7498" h="359831">
              <a:moveTo>
                <a:pt x="0" y="359831"/>
              </a:moveTo>
              <a:lnTo>
                <a:pt x="0" y="0"/>
              </a:lnTo>
              <a:cubicBezTo>
                <a:pt x="51152" y="54680"/>
                <a:pt x="71488" y="109785"/>
                <a:pt x="183398" y="225425"/>
              </a:cubicBezTo>
              <a:lnTo>
                <a:pt x="317498" y="359831"/>
              </a:lnTo>
              <a:lnTo>
                <a:pt x="0" y="359831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14655</xdr:colOff>
      <xdr:row>16</xdr:row>
      <xdr:rowOff>25300</xdr:rowOff>
    </xdr:from>
    <xdr:to>
      <xdr:col>9</xdr:col>
      <xdr:colOff>542192</xdr:colOff>
      <xdr:row>19</xdr:row>
      <xdr:rowOff>0</xdr:rowOff>
    </xdr:to>
    <xdr:sp macro="" textlink="">
      <xdr:nvSpPr>
        <xdr:cNvPr id="15" name="Freeform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459405" y="2970113"/>
          <a:ext cx="3583475" cy="546200"/>
        </a:xfrm>
        <a:custGeom>
          <a:avLst/>
          <a:gdLst>
            <a:gd name="connsiteX0" fmla="*/ 0 w 3025589"/>
            <a:gd name="connsiteY0" fmla="*/ 700371 h 700371"/>
            <a:gd name="connsiteX1" fmla="*/ 1524000 w 3025589"/>
            <a:gd name="connsiteY1" fmla="*/ 4 h 700371"/>
            <a:gd name="connsiteX2" fmla="*/ 3025589 w 3025589"/>
            <a:gd name="connsiteY2" fmla="*/ 689165 h 700371"/>
            <a:gd name="connsiteX0" fmla="*/ 0 w 3025589"/>
            <a:gd name="connsiteY0" fmla="*/ 644787 h 644787"/>
            <a:gd name="connsiteX1" fmla="*/ 999449 w 3025589"/>
            <a:gd name="connsiteY1" fmla="*/ 6 h 644787"/>
            <a:gd name="connsiteX2" fmla="*/ 3025589 w 3025589"/>
            <a:gd name="connsiteY2" fmla="*/ 633581 h 644787"/>
            <a:gd name="connsiteX0" fmla="*/ 0 w 3025589"/>
            <a:gd name="connsiteY0" fmla="*/ 667874 h 667874"/>
            <a:gd name="connsiteX1" fmla="*/ 2111523 w 3025589"/>
            <a:gd name="connsiteY1" fmla="*/ 4 h 667874"/>
            <a:gd name="connsiteX2" fmla="*/ 3025589 w 3025589"/>
            <a:gd name="connsiteY2" fmla="*/ 656668 h 667874"/>
            <a:gd name="connsiteX0" fmla="*/ 0 w 3025589"/>
            <a:gd name="connsiteY0" fmla="*/ 697246 h 697246"/>
            <a:gd name="connsiteX1" fmla="*/ 2111523 w 3025589"/>
            <a:gd name="connsiteY1" fmla="*/ 29376 h 697246"/>
            <a:gd name="connsiteX2" fmla="*/ 3025589 w 3025589"/>
            <a:gd name="connsiteY2" fmla="*/ 686040 h 697246"/>
            <a:gd name="connsiteX0" fmla="*/ 0 w 3025589"/>
            <a:gd name="connsiteY0" fmla="*/ 697246 h 697246"/>
            <a:gd name="connsiteX1" fmla="*/ 2111523 w 3025589"/>
            <a:gd name="connsiteY1" fmla="*/ 29376 h 697246"/>
            <a:gd name="connsiteX2" fmla="*/ 3025589 w 3025589"/>
            <a:gd name="connsiteY2" fmla="*/ 686040 h 697246"/>
            <a:gd name="connsiteX0" fmla="*/ 0 w 3025589"/>
            <a:gd name="connsiteY0" fmla="*/ 704576 h 704576"/>
            <a:gd name="connsiteX1" fmla="*/ 2291692 w 3025589"/>
            <a:gd name="connsiteY1" fmla="*/ 29010 h 704576"/>
            <a:gd name="connsiteX2" fmla="*/ 3025589 w 3025589"/>
            <a:gd name="connsiteY2" fmla="*/ 693370 h 704576"/>
            <a:gd name="connsiteX0" fmla="*/ 0 w 3025589"/>
            <a:gd name="connsiteY0" fmla="*/ 574307 h 574307"/>
            <a:gd name="connsiteX1" fmla="*/ 2161226 w 3025589"/>
            <a:gd name="connsiteY1" fmla="*/ 37276 h 574307"/>
            <a:gd name="connsiteX2" fmla="*/ 3025589 w 3025589"/>
            <a:gd name="connsiteY2" fmla="*/ 563101 h 574307"/>
            <a:gd name="connsiteX0" fmla="*/ 0 w 3025589"/>
            <a:gd name="connsiteY0" fmla="*/ 573742 h 573742"/>
            <a:gd name="connsiteX1" fmla="*/ 1093418 w 3025589"/>
            <a:gd name="connsiteY1" fmla="*/ 81815 h 573742"/>
            <a:gd name="connsiteX2" fmla="*/ 2161226 w 3025589"/>
            <a:gd name="connsiteY2" fmla="*/ 36711 h 573742"/>
            <a:gd name="connsiteX3" fmla="*/ 3025589 w 3025589"/>
            <a:gd name="connsiteY3" fmla="*/ 562536 h 5737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025589" h="573742">
              <a:moveTo>
                <a:pt x="0" y="573742"/>
              </a:moveTo>
              <a:cubicBezTo>
                <a:pt x="144260" y="509819"/>
                <a:pt x="733214" y="171320"/>
                <a:pt x="1093418" y="81815"/>
              </a:cubicBezTo>
              <a:cubicBezTo>
                <a:pt x="1453622" y="-7690"/>
                <a:pt x="1801221" y="-25344"/>
                <a:pt x="2161226" y="36711"/>
              </a:cubicBezTo>
              <a:cubicBezTo>
                <a:pt x="2628215" y="196466"/>
                <a:pt x="2783729" y="442073"/>
                <a:pt x="3025589" y="562536"/>
              </a:cubicBezTo>
            </a:path>
          </a:pathLst>
        </a:cu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7327</xdr:colOff>
      <xdr:row>7</xdr:row>
      <xdr:rowOff>29309</xdr:rowOff>
    </xdr:from>
    <xdr:to>
      <xdr:col>6</xdr:col>
      <xdr:colOff>20516</xdr:colOff>
      <xdr:row>10</xdr:row>
      <xdr:rowOff>7327</xdr:rowOff>
    </xdr:to>
    <xdr:sp macro="" textlink="">
      <xdr:nvSpPr>
        <xdr:cNvPr id="16" name="Flowchart: Manual Inpu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10800000" flipV="1">
          <a:off x="2439865" y="1260232"/>
          <a:ext cx="1229459" cy="549518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</xdr:row>
      <xdr:rowOff>175846</xdr:rowOff>
    </xdr:from>
    <xdr:to>
      <xdr:col>13</xdr:col>
      <xdr:colOff>36635</xdr:colOff>
      <xdr:row>10</xdr:row>
      <xdr:rowOff>0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660173" y="1406769"/>
          <a:ext cx="1252904" cy="395654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104774</xdr:colOff>
      <xdr:row>3</xdr:row>
      <xdr:rowOff>161925</xdr:rowOff>
    </xdr:from>
    <xdr:ext cx="1143001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l-GR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</m:oMath>
              </a14:m>
              <a:r>
                <a:rPr lang="en-US" sz="1100"/>
                <a:t> bd)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:r>
                <a:rPr lang="el-GR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𝑓^′ 𝑐</a:t>
              </a:r>
              <a:r>
                <a:rPr lang="el-GR" sz="1100" b="0" i="0">
                  <a:latin typeface="Cambria Math" panose="02040503050406030204" pitchFamily="18" charset="0"/>
                </a:rPr>
                <a:t>)</a:t>
              </a:r>
              <a:r>
                <a:rPr lang="en-US" sz="1100"/>
                <a:t> bd)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463826</xdr:colOff>
      <xdr:row>19</xdr:row>
      <xdr:rowOff>0</xdr:rowOff>
    </xdr:from>
    <xdr:to>
      <xdr:col>3</xdr:col>
      <xdr:colOff>19050</xdr:colOff>
      <xdr:row>24</xdr:row>
      <xdr:rowOff>24848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75014" y="3619500"/>
          <a:ext cx="547411" cy="97734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13608</xdr:colOff>
      <xdr:row>18</xdr:row>
      <xdr:rowOff>178075</xdr:rowOff>
    </xdr:from>
    <xdr:to>
      <xdr:col>7</xdr:col>
      <xdr:colOff>33129</xdr:colOff>
      <xdr:row>19</xdr:row>
      <xdr:rowOff>4536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17" idx="4"/>
        </xdr:cNvCxnSpPr>
      </xdr:nvCxnSpPr>
      <xdr:spPr>
        <a:xfrm flipV="1">
          <a:off x="1610179" y="3797575"/>
          <a:ext cx="2450664" cy="1696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13856</xdr:colOff>
      <xdr:row>22</xdr:row>
      <xdr:rowOff>13851</xdr:rowOff>
    </xdr:from>
    <xdr:to>
      <xdr:col>7</xdr:col>
      <xdr:colOff>254000</xdr:colOff>
      <xdr:row>22</xdr:row>
      <xdr:rowOff>18143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1610427" y="4395351"/>
          <a:ext cx="2671287" cy="429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25977</xdr:colOff>
      <xdr:row>2</xdr:row>
      <xdr:rowOff>26670</xdr:rowOff>
    </xdr:from>
    <xdr:to>
      <xdr:col>12</xdr:col>
      <xdr:colOff>571500</xdr:colOff>
      <xdr:row>18</xdr:row>
      <xdr:rowOff>181841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4064577" y="407670"/>
          <a:ext cx="3593523" cy="320317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53269</xdr:colOff>
      <xdr:row>1</xdr:row>
      <xdr:rowOff>119955</xdr:rowOff>
    </xdr:from>
    <xdr:to>
      <xdr:col>17</xdr:col>
      <xdr:colOff>509523</xdr:colOff>
      <xdr:row>1</xdr:row>
      <xdr:rowOff>134186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V="1">
          <a:off x="7765235" y="500955"/>
          <a:ext cx="2899909" cy="1423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248090</xdr:colOff>
      <xdr:row>4</xdr:row>
      <xdr:rowOff>157655</xdr:rowOff>
    </xdr:from>
    <xdr:to>
      <xdr:col>13</xdr:col>
      <xdr:colOff>289034</xdr:colOff>
      <xdr:row>22</xdr:row>
      <xdr:rowOff>16188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4294573" y="1110155"/>
          <a:ext cx="3706427" cy="3287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283066</xdr:colOff>
      <xdr:row>4</xdr:row>
      <xdr:rowOff>160256</xdr:rowOff>
    </xdr:from>
    <xdr:to>
      <xdr:col>17</xdr:col>
      <xdr:colOff>525517</xdr:colOff>
      <xdr:row>4</xdr:row>
      <xdr:rowOff>164224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7995032" y="1112756"/>
          <a:ext cx="2686106" cy="396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286812</xdr:colOff>
      <xdr:row>1</xdr:row>
      <xdr:rowOff>131878</xdr:rowOff>
    </xdr:from>
    <xdr:to>
      <xdr:col>14</xdr:col>
      <xdr:colOff>223036</xdr:colOff>
      <xdr:row>6</xdr:row>
      <xdr:rowOff>156726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002062" y="322378"/>
          <a:ext cx="547412" cy="977348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33129</xdr:colOff>
      <xdr:row>16</xdr:row>
      <xdr:rowOff>144945</xdr:rowOff>
    </xdr:from>
    <xdr:to>
      <xdr:col>7</xdr:col>
      <xdr:colOff>488673</xdr:colOff>
      <xdr:row>18</xdr:row>
      <xdr:rowOff>178075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5400000">
          <a:off x="4087466" y="3362738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491979</xdr:colOff>
      <xdr:row>14</xdr:row>
      <xdr:rowOff>115127</xdr:rowOff>
    </xdr:from>
    <xdr:to>
      <xdr:col>8</xdr:col>
      <xdr:colOff>338751</xdr:colOff>
      <xdr:row>16</xdr:row>
      <xdr:rowOff>148257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5400000">
          <a:off x="4546316" y="295192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351184</xdr:colOff>
      <xdr:row>12</xdr:row>
      <xdr:rowOff>81997</xdr:rowOff>
    </xdr:from>
    <xdr:to>
      <xdr:col>9</xdr:col>
      <xdr:colOff>197956</xdr:colOff>
      <xdr:row>14</xdr:row>
      <xdr:rowOff>115127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5400000">
          <a:off x="5014293" y="253779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201262</xdr:colOff>
      <xdr:row>10</xdr:row>
      <xdr:rowOff>52179</xdr:rowOff>
    </xdr:from>
    <xdr:to>
      <xdr:col>10</xdr:col>
      <xdr:colOff>48034</xdr:colOff>
      <xdr:row>12</xdr:row>
      <xdr:rowOff>85309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5400000">
          <a:off x="5473143" y="2126972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47429</xdr:colOff>
      <xdr:row>8</xdr:row>
      <xdr:rowOff>29280</xdr:rowOff>
    </xdr:from>
    <xdr:to>
      <xdr:col>10</xdr:col>
      <xdr:colOff>502973</xdr:colOff>
      <xdr:row>10</xdr:row>
      <xdr:rowOff>62410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rot="5400000">
          <a:off x="5922348" y="1723073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506279</xdr:colOff>
      <xdr:row>5</xdr:row>
      <xdr:rowOff>189962</xdr:rowOff>
    </xdr:from>
    <xdr:to>
      <xdr:col>11</xdr:col>
      <xdr:colOff>353051</xdr:colOff>
      <xdr:row>8</xdr:row>
      <xdr:rowOff>32592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5400000">
          <a:off x="6380879" y="131257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365484</xdr:colOff>
      <xdr:row>3</xdr:row>
      <xdr:rowOff>156832</xdr:rowOff>
    </xdr:from>
    <xdr:to>
      <xdr:col>12</xdr:col>
      <xdr:colOff>212255</xdr:colOff>
      <xdr:row>5</xdr:row>
      <xdr:rowOff>189962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5400000">
          <a:off x="6848218" y="89844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206738</xdr:colOff>
      <xdr:row>1</xdr:row>
      <xdr:rowOff>129420</xdr:rowOff>
    </xdr:from>
    <xdr:to>
      <xdr:col>13</xdr:col>
      <xdr:colOff>53511</xdr:colOff>
      <xdr:row>3</xdr:row>
      <xdr:rowOff>162550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5400000">
          <a:off x="7314460" y="298798"/>
          <a:ext cx="414130" cy="456373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588819</xdr:colOff>
      <xdr:row>19</xdr:row>
      <xdr:rowOff>79368</xdr:rowOff>
    </xdr:from>
    <xdr:to>
      <xdr:col>8</xdr:col>
      <xdr:colOff>47625</xdr:colOff>
      <xdr:row>19</xdr:row>
      <xdr:rowOff>82254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V="1">
          <a:off x="1197361" y="3889368"/>
          <a:ext cx="3491056" cy="288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598344</xdr:colOff>
      <xdr:row>21</xdr:row>
      <xdr:rowOff>114300</xdr:rowOff>
    </xdr:from>
    <xdr:to>
      <xdr:col>6</xdr:col>
      <xdr:colOff>252413</xdr:colOff>
      <xdr:row>21</xdr:row>
      <xdr:rowOff>118234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V="1">
          <a:off x="1207944" y="4305300"/>
          <a:ext cx="2473469" cy="393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90488</xdr:colOff>
      <xdr:row>2</xdr:row>
      <xdr:rowOff>30067</xdr:rowOff>
    </xdr:from>
    <xdr:to>
      <xdr:col>18</xdr:col>
      <xdr:colOff>317669</xdr:colOff>
      <xdr:row>2</xdr:row>
      <xdr:rowOff>38100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V="1">
          <a:off x="8396288" y="601567"/>
          <a:ext cx="2665581" cy="80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275167</xdr:colOff>
      <xdr:row>4</xdr:row>
      <xdr:rowOff>66047</xdr:rowOff>
    </xdr:from>
    <xdr:to>
      <xdr:col>18</xdr:col>
      <xdr:colOff>327194</xdr:colOff>
      <xdr:row>4</xdr:row>
      <xdr:rowOff>74083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7350125" y="1018547"/>
          <a:ext cx="3703277" cy="803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46871</xdr:colOff>
      <xdr:row>2</xdr:row>
      <xdr:rowOff>28375</xdr:rowOff>
    </xdr:from>
    <xdr:to>
      <xdr:col>14</xdr:col>
      <xdr:colOff>87814</xdr:colOff>
      <xdr:row>19</xdr:row>
      <xdr:rowOff>77408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V="1">
          <a:off x="4682371" y="599875"/>
          <a:ext cx="3687657" cy="32875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248923</xdr:colOff>
      <xdr:row>14</xdr:row>
      <xdr:rowOff>33618</xdr:rowOff>
    </xdr:from>
    <xdr:to>
      <xdr:col>8</xdr:col>
      <xdr:colOff>599515</xdr:colOff>
      <xdr:row>21</xdr:row>
      <xdr:rowOff>112044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3683526" y="2891118"/>
          <a:ext cx="1572033" cy="141192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89587</xdr:colOff>
      <xdr:row>19</xdr:row>
      <xdr:rowOff>91471</xdr:rowOff>
    </xdr:from>
    <xdr:to>
      <xdr:col>3</xdr:col>
      <xdr:colOff>162158</xdr:colOff>
      <xdr:row>19</xdr:row>
      <xdr:rowOff>164042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92962" y="39014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7841</xdr:colOff>
      <xdr:row>19</xdr:row>
      <xdr:rowOff>93058</xdr:rowOff>
    </xdr:from>
    <xdr:to>
      <xdr:col>4</xdr:col>
      <xdr:colOff>80412</xdr:colOff>
      <xdr:row>19</xdr:row>
      <xdr:rowOff>165629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222404" y="390305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365020</xdr:colOff>
      <xdr:row>21</xdr:row>
      <xdr:rowOff>33534</xdr:rowOff>
    </xdr:from>
    <xdr:to>
      <xdr:col>3</xdr:col>
      <xdr:colOff>437591</xdr:colOff>
      <xdr:row>21</xdr:row>
      <xdr:rowOff>106105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968395" y="42245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307088</xdr:colOff>
      <xdr:row>21</xdr:row>
      <xdr:rowOff>35121</xdr:rowOff>
    </xdr:from>
    <xdr:to>
      <xdr:col>4</xdr:col>
      <xdr:colOff>379659</xdr:colOff>
      <xdr:row>21</xdr:row>
      <xdr:rowOff>107692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2521651" y="422612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543718</xdr:colOff>
      <xdr:row>19</xdr:row>
      <xdr:rowOff>95244</xdr:rowOff>
    </xdr:from>
    <xdr:to>
      <xdr:col>5</xdr:col>
      <xdr:colOff>5102</xdr:colOff>
      <xdr:row>19</xdr:row>
      <xdr:rowOff>167815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758281" y="390524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533425</xdr:colOff>
      <xdr:row>19</xdr:row>
      <xdr:rowOff>96831</xdr:rowOff>
    </xdr:from>
    <xdr:to>
      <xdr:col>6</xdr:col>
      <xdr:colOff>605996</xdr:colOff>
      <xdr:row>19</xdr:row>
      <xdr:rowOff>169402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3970363" y="390683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165809</xdr:colOff>
      <xdr:row>21</xdr:row>
      <xdr:rowOff>32737</xdr:rowOff>
    </xdr:from>
    <xdr:to>
      <xdr:col>6</xdr:col>
      <xdr:colOff>238380</xdr:colOff>
      <xdr:row>21</xdr:row>
      <xdr:rowOff>105308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602747" y="422373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513569</xdr:colOff>
      <xdr:row>19</xdr:row>
      <xdr:rowOff>88885</xdr:rowOff>
    </xdr:from>
    <xdr:to>
      <xdr:col>5</xdr:col>
      <xdr:colOff>586140</xdr:colOff>
      <xdr:row>19</xdr:row>
      <xdr:rowOff>161456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339319" y="389888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213437</xdr:colOff>
      <xdr:row>21</xdr:row>
      <xdr:rowOff>36702</xdr:rowOff>
    </xdr:from>
    <xdr:to>
      <xdr:col>5</xdr:col>
      <xdr:colOff>286008</xdr:colOff>
      <xdr:row>21</xdr:row>
      <xdr:rowOff>109273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039187" y="422770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58322</xdr:colOff>
      <xdr:row>2</xdr:row>
      <xdr:rowOff>48990</xdr:rowOff>
    </xdr:from>
    <xdr:to>
      <xdr:col>14</xdr:col>
      <xdr:colOff>130893</xdr:colOff>
      <xdr:row>2</xdr:row>
      <xdr:rowOff>121561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8378690" y="62049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365074</xdr:colOff>
      <xdr:row>3</xdr:row>
      <xdr:rowOff>179966</xdr:rowOff>
    </xdr:from>
    <xdr:to>
      <xdr:col>13</xdr:col>
      <xdr:colOff>437645</xdr:colOff>
      <xdr:row>4</xdr:row>
      <xdr:rowOff>62037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8074721" y="94196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357569</xdr:colOff>
      <xdr:row>3</xdr:row>
      <xdr:rowOff>181553</xdr:rowOff>
    </xdr:from>
    <xdr:to>
      <xdr:col>14</xdr:col>
      <xdr:colOff>430140</xdr:colOff>
      <xdr:row>4</xdr:row>
      <xdr:rowOff>63624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8677937" y="94355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583906</xdr:colOff>
      <xdr:row>2</xdr:row>
      <xdr:rowOff>52763</xdr:rowOff>
    </xdr:from>
    <xdr:to>
      <xdr:col>17</xdr:col>
      <xdr:colOff>45757</xdr:colOff>
      <xdr:row>2</xdr:row>
      <xdr:rowOff>125334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125715" y="62426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289129</xdr:colOff>
      <xdr:row>3</xdr:row>
      <xdr:rowOff>179169</xdr:rowOff>
    </xdr:from>
    <xdr:to>
      <xdr:col>16</xdr:col>
      <xdr:colOff>361700</xdr:colOff>
      <xdr:row>4</xdr:row>
      <xdr:rowOff>61240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830938" y="94116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564050</xdr:colOff>
      <xdr:row>2</xdr:row>
      <xdr:rowOff>44817</xdr:rowOff>
    </xdr:from>
    <xdr:to>
      <xdr:col>16</xdr:col>
      <xdr:colOff>25900</xdr:colOff>
      <xdr:row>2</xdr:row>
      <xdr:rowOff>117388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495138" y="61631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263918</xdr:colOff>
      <xdr:row>3</xdr:row>
      <xdr:rowOff>183134</xdr:rowOff>
    </xdr:from>
    <xdr:to>
      <xdr:col>15</xdr:col>
      <xdr:colOff>336489</xdr:colOff>
      <xdr:row>4</xdr:row>
      <xdr:rowOff>65205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195006" y="9451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280147</xdr:colOff>
      <xdr:row>3</xdr:row>
      <xdr:rowOff>184897</xdr:rowOff>
    </xdr:from>
    <xdr:to>
      <xdr:col>17</xdr:col>
      <xdr:colOff>352718</xdr:colOff>
      <xdr:row>4</xdr:row>
      <xdr:rowOff>66968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432676" y="94689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349250</xdr:colOff>
      <xdr:row>4</xdr:row>
      <xdr:rowOff>73944</xdr:rowOff>
    </xdr:from>
    <xdr:to>
      <xdr:col>12</xdr:col>
      <xdr:colOff>281265</xdr:colOff>
      <xdr:row>9</xdr:row>
      <xdr:rowOff>127000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>
        <a:xfrm flipV="1">
          <a:off x="6230938" y="835944"/>
          <a:ext cx="1154390" cy="100555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604862</xdr:colOff>
      <xdr:row>17</xdr:row>
      <xdr:rowOff>1572</xdr:rowOff>
    </xdr:from>
    <xdr:to>
      <xdr:col>8</xdr:col>
      <xdr:colOff>66245</xdr:colOff>
      <xdr:row>17</xdr:row>
      <xdr:rowOff>74143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4652987" y="324007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197556</xdr:colOff>
      <xdr:row>18</xdr:row>
      <xdr:rowOff>167668</xdr:rowOff>
    </xdr:from>
    <xdr:to>
      <xdr:col>7</xdr:col>
      <xdr:colOff>270127</xdr:colOff>
      <xdr:row>19</xdr:row>
      <xdr:rowOff>49739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245681" y="359666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365137</xdr:colOff>
      <xdr:row>15</xdr:row>
      <xdr:rowOff>39086</xdr:rowOff>
    </xdr:from>
    <xdr:to>
      <xdr:col>8</xdr:col>
      <xdr:colOff>437708</xdr:colOff>
      <xdr:row>15</xdr:row>
      <xdr:rowOff>111657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024450" y="289658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408022</xdr:colOff>
      <xdr:row>17</xdr:row>
      <xdr:rowOff>3159</xdr:rowOff>
    </xdr:from>
    <xdr:to>
      <xdr:col>8</xdr:col>
      <xdr:colOff>480593</xdr:colOff>
      <xdr:row>17</xdr:row>
      <xdr:rowOff>75730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5067335" y="324165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716</xdr:colOff>
      <xdr:row>18</xdr:row>
      <xdr:rowOff>169255</xdr:rowOff>
    </xdr:from>
    <xdr:to>
      <xdr:col>8</xdr:col>
      <xdr:colOff>73287</xdr:colOff>
      <xdr:row>19</xdr:row>
      <xdr:rowOff>51326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4660029" y="359825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168298</xdr:colOff>
      <xdr:row>15</xdr:row>
      <xdr:rowOff>40673</xdr:rowOff>
    </xdr:from>
    <xdr:to>
      <xdr:col>9</xdr:col>
      <xdr:colOff>240869</xdr:colOff>
      <xdr:row>15</xdr:row>
      <xdr:rowOff>113244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438798" y="289817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362000</xdr:colOff>
      <xdr:row>11</xdr:row>
      <xdr:rowOff>107916</xdr:rowOff>
    </xdr:from>
    <xdr:to>
      <xdr:col>10</xdr:col>
      <xdr:colOff>434571</xdr:colOff>
      <xdr:row>11</xdr:row>
      <xdr:rowOff>180487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6243688" y="220341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565882</xdr:colOff>
      <xdr:row>13</xdr:row>
      <xdr:rowOff>83512</xdr:rowOff>
    </xdr:from>
    <xdr:to>
      <xdr:col>10</xdr:col>
      <xdr:colOff>27265</xdr:colOff>
      <xdr:row>13</xdr:row>
      <xdr:rowOff>156083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5836382" y="256001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122276</xdr:colOff>
      <xdr:row>9</xdr:row>
      <xdr:rowOff>145430</xdr:rowOff>
    </xdr:from>
    <xdr:to>
      <xdr:col>11</xdr:col>
      <xdr:colOff>194847</xdr:colOff>
      <xdr:row>10</xdr:row>
      <xdr:rowOff>27501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6615151" y="185993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320011</xdr:colOff>
      <xdr:row>6</xdr:row>
      <xdr:rowOff>25975</xdr:rowOff>
    </xdr:from>
    <xdr:to>
      <xdr:col>12</xdr:col>
      <xdr:colOff>392582</xdr:colOff>
      <xdr:row>6</xdr:row>
      <xdr:rowOff>98546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7424074" y="116897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523893</xdr:colOff>
      <xdr:row>8</xdr:row>
      <xdr:rowOff>1571</xdr:rowOff>
    </xdr:from>
    <xdr:to>
      <xdr:col>11</xdr:col>
      <xdr:colOff>596464</xdr:colOff>
      <xdr:row>8</xdr:row>
      <xdr:rowOff>74142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7016768" y="15255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72349</xdr:colOff>
      <xdr:row>4</xdr:row>
      <xdr:rowOff>79365</xdr:rowOff>
    </xdr:from>
    <xdr:to>
      <xdr:col>13</xdr:col>
      <xdr:colOff>144920</xdr:colOff>
      <xdr:row>4</xdr:row>
      <xdr:rowOff>151936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7787599" y="84136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399341</xdr:colOff>
      <xdr:row>6</xdr:row>
      <xdr:rowOff>113288</xdr:rowOff>
    </xdr:from>
    <xdr:to>
      <xdr:col>11</xdr:col>
      <xdr:colOff>471912</xdr:colOff>
      <xdr:row>6</xdr:row>
      <xdr:rowOff>185859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6892216" y="125628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611160</xdr:colOff>
      <xdr:row>8</xdr:row>
      <xdr:rowOff>73008</xdr:rowOff>
    </xdr:from>
    <xdr:to>
      <xdr:col>11</xdr:col>
      <xdr:colOff>72544</xdr:colOff>
      <xdr:row>8</xdr:row>
      <xdr:rowOff>145579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6492848" y="159700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262810</xdr:colOff>
      <xdr:row>4</xdr:row>
      <xdr:rowOff>79360</xdr:rowOff>
    </xdr:from>
    <xdr:to>
      <xdr:col>12</xdr:col>
      <xdr:colOff>335381</xdr:colOff>
      <xdr:row>4</xdr:row>
      <xdr:rowOff>151931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7366873" y="84136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430242</xdr:colOff>
      <xdr:row>11</xdr:row>
      <xdr:rowOff>68744</xdr:rowOff>
    </xdr:from>
    <xdr:to>
      <xdr:col>10</xdr:col>
      <xdr:colOff>214312</xdr:colOff>
      <xdr:row>13</xdr:row>
      <xdr:rowOff>119063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20" idx="5"/>
        </xdr:cNvCxnSpPr>
      </xdr:nvCxnSpPr>
      <xdr:spPr>
        <a:xfrm>
          <a:off x="5700742" y="2164244"/>
          <a:ext cx="395258" cy="4313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11905</xdr:colOff>
      <xdr:row>14</xdr:row>
      <xdr:rowOff>0</xdr:rowOff>
    </xdr:from>
    <xdr:to>
      <xdr:col>14</xdr:col>
      <xdr:colOff>841374</xdr:colOff>
      <xdr:row>15</xdr:row>
      <xdr:rowOff>7938</xdr:rowOff>
    </xdr:to>
    <xdr:sp macro="" textlink="">
      <xdr:nvSpPr>
        <xdr:cNvPr id="100" name="Line Callout 2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7072311" y="2667000"/>
          <a:ext cx="2043907" cy="198438"/>
        </a:xfrm>
        <a:prstGeom prst="borderCallout2">
          <a:avLst>
            <a:gd name="adj1" fmla="val 44083"/>
            <a:gd name="adj2" fmla="val -1740"/>
            <a:gd name="adj3" fmla="val -185582"/>
            <a:gd name="adj4" fmla="val -50069"/>
            <a:gd name="adj5" fmla="val -126833"/>
            <a:gd name="adj6" fmla="val -57265"/>
          </a:avLst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761441</xdr:colOff>
      <xdr:row>2</xdr:row>
      <xdr:rowOff>52142</xdr:rowOff>
    </xdr:from>
    <xdr:to>
      <xdr:col>14</xdr:col>
      <xdr:colOff>831426</xdr:colOff>
      <xdr:row>2</xdr:row>
      <xdr:rowOff>124713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9048191" y="433142"/>
          <a:ext cx="69985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582220</xdr:colOff>
      <xdr:row>19</xdr:row>
      <xdr:rowOff>52385</xdr:rowOff>
    </xdr:from>
    <xdr:to>
      <xdr:col>4</xdr:col>
      <xdr:colOff>113109</xdr:colOff>
      <xdr:row>20</xdr:row>
      <xdr:rowOff>5953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2177658" y="367188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270274</xdr:colOff>
      <xdr:row>21</xdr:row>
      <xdr:rowOff>2375</xdr:rowOff>
    </xdr:from>
    <xdr:to>
      <xdr:col>4</xdr:col>
      <xdr:colOff>408381</xdr:colOff>
      <xdr:row>21</xdr:row>
      <xdr:rowOff>146443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472930" y="400287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365778</xdr:colOff>
      <xdr:row>6</xdr:row>
      <xdr:rowOff>66813</xdr:rowOff>
    </xdr:from>
    <xdr:to>
      <xdr:col>11</xdr:col>
      <xdr:colOff>505208</xdr:colOff>
      <xdr:row>7</xdr:row>
      <xdr:rowOff>20381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6832195" y="1209813"/>
          <a:ext cx="139430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86905</xdr:colOff>
      <xdr:row>9</xdr:row>
      <xdr:rowOff>104781</xdr:rowOff>
    </xdr:from>
    <xdr:to>
      <xdr:col>11</xdr:col>
      <xdr:colOff>225012</xdr:colOff>
      <xdr:row>10</xdr:row>
      <xdr:rowOff>58349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6540093" y="1819281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726272</xdr:colOff>
      <xdr:row>2</xdr:row>
      <xdr:rowOff>11915</xdr:rowOff>
    </xdr:from>
    <xdr:to>
      <xdr:col>15</xdr:col>
      <xdr:colOff>19035</xdr:colOff>
      <xdr:row>2</xdr:row>
      <xdr:rowOff>155983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001116" y="39291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229777</xdr:colOff>
      <xdr:row>3</xdr:row>
      <xdr:rowOff>146452</xdr:rowOff>
    </xdr:from>
    <xdr:to>
      <xdr:col>15</xdr:col>
      <xdr:colOff>367884</xdr:colOff>
      <xdr:row>4</xdr:row>
      <xdr:rowOff>100020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9349965" y="717952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92535</xdr:colOff>
      <xdr:row>13</xdr:row>
      <xdr:rowOff>5292</xdr:rowOff>
    </xdr:from>
    <xdr:to>
      <xdr:col>5</xdr:col>
      <xdr:colOff>137585</xdr:colOff>
      <xdr:row>19</xdr:row>
      <xdr:rowOff>73483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endCxn id="102" idx="7"/>
        </xdr:cNvCxnSpPr>
      </xdr:nvCxnSpPr>
      <xdr:spPr>
        <a:xfrm flipH="1">
          <a:off x="2302335" y="2481792"/>
          <a:ext cx="654650" cy="121119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345288</xdr:colOff>
      <xdr:row>12</xdr:row>
      <xdr:rowOff>185208</xdr:rowOff>
    </xdr:from>
    <xdr:to>
      <xdr:col>5</xdr:col>
      <xdr:colOff>137583</xdr:colOff>
      <xdr:row>21</xdr:row>
      <xdr:rowOff>14289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/>
      </xdr:nvCxnSpPr>
      <xdr:spPr>
        <a:xfrm flipH="1">
          <a:off x="2551913" y="2471208"/>
          <a:ext cx="400837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204787</xdr:colOff>
      <xdr:row>10</xdr:row>
      <xdr:rowOff>37251</xdr:rowOff>
    </xdr:from>
    <xdr:to>
      <xdr:col>13</xdr:col>
      <xdr:colOff>2</xdr:colOff>
      <xdr:row>12</xdr:row>
      <xdr:rowOff>87315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105" idx="5"/>
        </xdr:cNvCxnSpPr>
      </xdr:nvCxnSpPr>
      <xdr:spPr>
        <a:xfrm flipH="1" flipV="1">
          <a:off x="6671204" y="1942251"/>
          <a:ext cx="1012298" cy="4310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505208</xdr:colOff>
      <xdr:row>6</xdr:row>
      <xdr:rowOff>138847</xdr:rowOff>
    </xdr:from>
    <xdr:to>
      <xdr:col>15</xdr:col>
      <xdr:colOff>74084</xdr:colOff>
      <xdr:row>8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endCxn id="104" idx="6"/>
        </xdr:cNvCxnSpPr>
      </xdr:nvCxnSpPr>
      <xdr:spPr>
        <a:xfrm flipH="1" flipV="1">
          <a:off x="6971625" y="1281847"/>
          <a:ext cx="2241167" cy="2421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346509</xdr:colOff>
      <xdr:row>12</xdr:row>
      <xdr:rowOff>185208</xdr:rowOff>
    </xdr:from>
    <xdr:to>
      <xdr:col>5</xdr:col>
      <xdr:colOff>138804</xdr:colOff>
      <xdr:row>21</xdr:row>
      <xdr:rowOff>14289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 flipH="1">
          <a:off x="2551913" y="2471208"/>
          <a:ext cx="400429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796949</xdr:colOff>
      <xdr:row>2</xdr:row>
      <xdr:rowOff>155983</xdr:rowOff>
    </xdr:from>
    <xdr:to>
      <xdr:col>15</xdr:col>
      <xdr:colOff>60613</xdr:colOff>
      <xdr:row>8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endCxn id="106" idx="4"/>
        </xdr:cNvCxnSpPr>
      </xdr:nvCxnSpPr>
      <xdr:spPr>
        <a:xfrm flipH="1" flipV="1">
          <a:off x="9057722" y="536983"/>
          <a:ext cx="112255" cy="98701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69272</xdr:colOff>
      <xdr:row>4</xdr:row>
      <xdr:rowOff>100020</xdr:rowOff>
    </xdr:from>
    <xdr:to>
      <xdr:col>15</xdr:col>
      <xdr:colOff>298831</xdr:colOff>
      <xdr:row>7</xdr:row>
      <xdr:rowOff>181842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endCxn id="107" idx="4"/>
        </xdr:cNvCxnSpPr>
      </xdr:nvCxnSpPr>
      <xdr:spPr>
        <a:xfrm flipV="1">
          <a:off x="9208626" y="862020"/>
          <a:ext cx="229559" cy="6533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9</xdr:row>
      <xdr:rowOff>63500</xdr:rowOff>
    </xdr:from>
    <xdr:to>
      <xdr:col>13</xdr:col>
      <xdr:colOff>0</xdr:colOff>
      <xdr:row>10</xdr:row>
      <xdr:rowOff>74543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/>
      </xdr:nvCxnSpPr>
      <xdr:spPr>
        <a:xfrm flipH="1" flipV="1">
          <a:off x="6864350" y="1778000"/>
          <a:ext cx="831850" cy="2015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430892</xdr:colOff>
      <xdr:row>8</xdr:row>
      <xdr:rowOff>148771</xdr:rowOff>
    </xdr:from>
    <xdr:to>
      <xdr:col>10</xdr:col>
      <xdr:colOff>524142</xdr:colOff>
      <xdr:row>9</xdr:row>
      <xdr:rowOff>61070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6322785" y="1672771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4763</xdr:colOff>
      <xdr:row>10</xdr:row>
      <xdr:rowOff>109538</xdr:rowOff>
    </xdr:from>
    <xdr:to>
      <xdr:col>8</xdr:col>
      <xdr:colOff>489897</xdr:colOff>
      <xdr:row>14</xdr:row>
      <xdr:rowOff>69482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endCxn id="162" idx="1"/>
        </xdr:cNvCxnSpPr>
      </xdr:nvCxnSpPr>
      <xdr:spPr>
        <a:xfrm>
          <a:off x="4652963" y="2014538"/>
          <a:ext cx="485134" cy="7219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6804</xdr:colOff>
      <xdr:row>9</xdr:row>
      <xdr:rowOff>9671</xdr:rowOff>
    </xdr:from>
    <xdr:to>
      <xdr:col>10</xdr:col>
      <xdr:colOff>430892</xdr:colOff>
      <xdr:row>10</xdr:row>
      <xdr:rowOff>108857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endCxn id="144" idx="2"/>
        </xdr:cNvCxnSpPr>
      </xdr:nvCxnSpPr>
      <xdr:spPr>
        <a:xfrm flipV="1">
          <a:off x="4674054" y="1724171"/>
          <a:ext cx="1648731" cy="2896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322036</xdr:colOff>
      <xdr:row>9</xdr:row>
      <xdr:rowOff>12699</xdr:rowOff>
    </xdr:from>
    <xdr:to>
      <xdr:col>11</xdr:col>
      <xdr:colOff>415286</xdr:colOff>
      <xdr:row>9</xdr:row>
      <xdr:rowOff>115498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6826250" y="1727199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476241</xdr:colOff>
      <xdr:row>14</xdr:row>
      <xdr:rowOff>54427</xdr:rowOff>
    </xdr:from>
    <xdr:to>
      <xdr:col>8</xdr:col>
      <xdr:colOff>569491</xdr:colOff>
      <xdr:row>14</xdr:row>
      <xdr:rowOff>157226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5143491" y="2721427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515938</xdr:colOff>
      <xdr:row>7</xdr:row>
      <xdr:rowOff>85746</xdr:rowOff>
    </xdr:from>
    <xdr:to>
      <xdr:col>10</xdr:col>
      <xdr:colOff>31750</xdr:colOff>
      <xdr:row>8</xdr:row>
      <xdr:rowOff>22246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 flipV="1">
          <a:off x="5786438" y="1435121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509586</xdr:colOff>
      <xdr:row>2</xdr:row>
      <xdr:rowOff>39687</xdr:rowOff>
    </xdr:from>
    <xdr:to>
      <xdr:col>12</xdr:col>
      <xdr:colOff>25398</xdr:colOff>
      <xdr:row>2</xdr:row>
      <xdr:rowOff>166687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 flipH="1" flipV="1">
          <a:off x="7002461" y="428625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2</xdr:row>
      <xdr:rowOff>109558</xdr:rowOff>
    </xdr:from>
    <xdr:to>
      <xdr:col>11</xdr:col>
      <xdr:colOff>555626</xdr:colOff>
      <xdr:row>7</xdr:row>
      <xdr:rowOff>141309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/>
      </xdr:nvCxnSpPr>
      <xdr:spPr>
        <a:xfrm flipV="1">
          <a:off x="5881689" y="498496"/>
          <a:ext cx="1166812" cy="99218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752D-7C1D-453C-B225-665030839022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110" customWidth="1"/>
    <col min="2" max="16384" width="9.140625" style="110"/>
  </cols>
  <sheetData>
    <row r="14" spans="2:10" ht="15" customHeight="1" x14ac:dyDescent="0.25">
      <c r="B14" s="109" t="s">
        <v>92</v>
      </c>
      <c r="C14" s="109"/>
      <c r="D14" s="109"/>
      <c r="E14" s="109"/>
      <c r="F14" s="109"/>
      <c r="G14" s="109"/>
      <c r="H14" s="109"/>
      <c r="I14" s="109"/>
      <c r="J14" s="109"/>
    </row>
    <row r="15" spans="2:10" ht="15" customHeight="1" x14ac:dyDescent="0.25">
      <c r="B15" s="109"/>
      <c r="C15" s="109"/>
      <c r="D15" s="109"/>
      <c r="E15" s="109"/>
      <c r="F15" s="109"/>
      <c r="G15" s="109"/>
      <c r="H15" s="109"/>
      <c r="I15" s="109"/>
      <c r="J15" s="109"/>
    </row>
    <row r="16" spans="2:10" x14ac:dyDescent="0.25">
      <c r="B16" s="109"/>
      <c r="C16" s="109"/>
      <c r="D16" s="109"/>
      <c r="E16" s="109"/>
      <c r="F16" s="109"/>
      <c r="G16" s="109"/>
      <c r="H16" s="109"/>
      <c r="I16" s="109"/>
      <c r="J16" s="109"/>
    </row>
    <row r="17" spans="2:10" x14ac:dyDescent="0.25">
      <c r="C17" s="111" t="s">
        <v>93</v>
      </c>
      <c r="D17" s="111"/>
      <c r="E17" s="112" t="s">
        <v>94</v>
      </c>
      <c r="F17" s="112"/>
      <c r="G17" s="112"/>
      <c r="H17" s="112"/>
      <c r="I17" s="112"/>
      <c r="J17" s="112"/>
    </row>
    <row r="18" spans="2:10" x14ac:dyDescent="0.25">
      <c r="C18" s="111" t="s">
        <v>95</v>
      </c>
      <c r="D18" s="111"/>
      <c r="E18" s="112" t="s">
        <v>96</v>
      </c>
      <c r="F18" s="112"/>
      <c r="G18" s="112"/>
      <c r="H18" s="112"/>
      <c r="I18" s="112"/>
      <c r="J18" s="112"/>
    </row>
    <row r="19" spans="2:10" x14ac:dyDescent="0.25">
      <c r="C19" s="111" t="s">
        <v>97</v>
      </c>
      <c r="D19" s="111"/>
      <c r="E19" s="112" t="s">
        <v>98</v>
      </c>
      <c r="F19" s="112"/>
      <c r="G19" s="112"/>
      <c r="H19" s="112"/>
      <c r="I19" s="112"/>
      <c r="J19" s="112"/>
    </row>
    <row r="20" spans="2:10" x14ac:dyDescent="0.25">
      <c r="C20" s="111" t="s">
        <v>99</v>
      </c>
      <c r="D20" s="111"/>
      <c r="E20" s="112" t="s">
        <v>100</v>
      </c>
      <c r="F20" s="112"/>
      <c r="G20" s="112"/>
      <c r="H20" s="112"/>
      <c r="I20" s="112"/>
      <c r="J20" s="112"/>
    </row>
    <row r="21" spans="2:10" x14ac:dyDescent="0.25">
      <c r="C21" s="111" t="s">
        <v>101</v>
      </c>
      <c r="D21" s="111"/>
      <c r="E21" s="112" t="s">
        <v>102</v>
      </c>
      <c r="F21" s="112"/>
      <c r="G21" s="112"/>
      <c r="H21" s="112"/>
      <c r="I21" s="112"/>
      <c r="J21" s="112"/>
    </row>
    <row r="22" spans="2:10" x14ac:dyDescent="0.25">
      <c r="C22" s="111" t="s">
        <v>103</v>
      </c>
      <c r="D22" s="111"/>
      <c r="E22" s="112" t="s">
        <v>104</v>
      </c>
      <c r="F22" s="112"/>
      <c r="G22" s="112"/>
      <c r="H22" s="112"/>
      <c r="I22" s="112"/>
      <c r="J22" s="112"/>
    </row>
    <row r="24" spans="2:10" ht="15" customHeight="1" x14ac:dyDescent="0.25">
      <c r="B24" s="113" t="s">
        <v>105</v>
      </c>
      <c r="C24" s="113"/>
      <c r="D24" s="113"/>
      <c r="E24" s="113"/>
      <c r="F24" s="113"/>
      <c r="G24" s="113"/>
      <c r="H24" s="113"/>
      <c r="I24" s="113"/>
      <c r="J24" s="113"/>
    </row>
    <row r="25" spans="2:10" ht="15" customHeight="1" x14ac:dyDescent="0.25">
      <c r="B25" s="113"/>
      <c r="C25" s="113"/>
      <c r="D25" s="113"/>
      <c r="E25" s="113"/>
      <c r="F25" s="113"/>
      <c r="G25" s="113"/>
      <c r="H25" s="113"/>
      <c r="I25" s="113"/>
      <c r="J25" s="113"/>
    </row>
    <row r="26" spans="2:10" ht="15" customHeight="1" x14ac:dyDescent="0.25">
      <c r="B26" s="113"/>
      <c r="C26" s="113"/>
      <c r="D26" s="113"/>
      <c r="E26" s="113"/>
      <c r="F26" s="113"/>
      <c r="G26" s="113"/>
      <c r="H26" s="113"/>
      <c r="I26" s="113"/>
      <c r="J26" s="113"/>
    </row>
    <row r="27" spans="2:10" x14ac:dyDescent="0.25">
      <c r="B27" s="113"/>
      <c r="C27" s="113"/>
      <c r="D27" s="113"/>
      <c r="E27" s="113"/>
      <c r="F27" s="113"/>
      <c r="G27" s="113"/>
      <c r="H27" s="113"/>
      <c r="I27" s="113"/>
      <c r="J27" s="113"/>
    </row>
    <row r="34" spans="1:13" ht="15.75" x14ac:dyDescent="0.25">
      <c r="A34" s="114" t="s">
        <v>106</v>
      </c>
      <c r="B34" s="112" t="s">
        <v>107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 ht="15.75" x14ac:dyDescent="0.25">
      <c r="A35" s="114"/>
    </row>
    <row r="36" spans="1:13" ht="15.75" x14ac:dyDescent="0.25">
      <c r="A36" s="114" t="s">
        <v>108</v>
      </c>
      <c r="B36" s="112" t="s">
        <v>109</v>
      </c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2C9BD5C4-B645-4DC3-80CC-548BB6F74F7A}"/>
    <hyperlink ref="E18" r:id="rId2" xr:uid="{E45B89C7-D049-4128-85D2-9D58A397076E}"/>
    <hyperlink ref="E19" r:id="rId3" xr:uid="{3B0E1C97-E4C4-4CFA-9CE7-9502328DF5B7}"/>
    <hyperlink ref="E21" r:id="rId4" xr:uid="{9D8AB3D8-B5F5-4813-BA01-617AAD9C4D64}"/>
    <hyperlink ref="E22" r:id="rId5" xr:uid="{399A734A-8D44-4591-8177-ED5B01A37349}"/>
    <hyperlink ref="B36" r:id="rId6" xr:uid="{32A23374-5936-4E74-918D-8DD2B493979C}"/>
    <hyperlink ref="B34" r:id="rId7" xr:uid="{E3A4873E-341B-4363-9978-6A5278870F1E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3"/>
  <sheetViews>
    <sheetView workbookViewId="0">
      <selection activeCell="E32" sqref="E32"/>
    </sheetView>
  </sheetViews>
  <sheetFormatPr defaultRowHeight="15" x14ac:dyDescent="0.25"/>
  <cols>
    <col min="1" max="2" width="9.140625" style="1"/>
    <col min="3" max="3" width="12.85546875" style="1" customWidth="1"/>
    <col min="4" max="4" width="18" style="1" customWidth="1"/>
    <col min="5" max="16384" width="9.140625" style="1"/>
  </cols>
  <sheetData>
    <row r="1" spans="2:6" x14ac:dyDescent="0.25">
      <c r="B1" s="55" t="s">
        <v>89</v>
      </c>
      <c r="C1" s="56"/>
      <c r="D1" s="56"/>
      <c r="E1" s="56"/>
      <c r="F1" s="57"/>
    </row>
    <row r="2" spans="2:6" x14ac:dyDescent="0.25">
      <c r="B2" s="58" t="s">
        <v>90</v>
      </c>
      <c r="C2" s="59"/>
      <c r="D2" s="59"/>
      <c r="E2" s="59"/>
      <c r="F2" s="60"/>
    </row>
    <row r="3" spans="2:6" ht="15.75" thickBot="1" x14ac:dyDescent="0.3">
      <c r="B3" s="61" t="s">
        <v>91</v>
      </c>
      <c r="C3" s="62"/>
      <c r="D3" s="62"/>
      <c r="E3" s="62"/>
      <c r="F3" s="63"/>
    </row>
    <row r="4" spans="2:6" ht="30" x14ac:dyDescent="0.25">
      <c r="B4" s="22"/>
      <c r="C4" s="43"/>
      <c r="D4" s="43"/>
      <c r="E4" s="44" t="s">
        <v>0</v>
      </c>
    </row>
    <row r="5" spans="2:6" x14ac:dyDescent="0.25">
      <c r="B5" s="28"/>
      <c r="C5" s="45"/>
      <c r="D5" s="45" t="s">
        <v>2</v>
      </c>
      <c r="E5" s="46">
        <v>3050</v>
      </c>
      <c r="F5" s="1" t="s">
        <v>1</v>
      </c>
    </row>
    <row r="6" spans="2:6" x14ac:dyDescent="0.25">
      <c r="B6" s="28"/>
      <c r="C6" s="28"/>
      <c r="D6" s="28" t="s">
        <v>3</v>
      </c>
      <c r="E6" s="46">
        <v>72500</v>
      </c>
      <c r="F6" s="1" t="s">
        <v>1</v>
      </c>
    </row>
    <row r="7" spans="2:6" x14ac:dyDescent="0.25">
      <c r="B7" s="53" t="s">
        <v>4</v>
      </c>
      <c r="C7" s="53"/>
      <c r="D7" s="54"/>
      <c r="E7" s="46">
        <v>60</v>
      </c>
      <c r="F7" s="1" t="s">
        <v>5</v>
      </c>
    </row>
    <row r="8" spans="2:6" x14ac:dyDescent="0.25">
      <c r="B8" s="64" t="s">
        <v>6</v>
      </c>
      <c r="C8" s="64"/>
      <c r="D8" s="64"/>
      <c r="E8" s="47">
        <v>100</v>
      </c>
      <c r="F8" s="1" t="s">
        <v>5</v>
      </c>
    </row>
    <row r="9" spans="2:6" x14ac:dyDescent="0.25">
      <c r="B9" s="45"/>
      <c r="C9" s="64" t="s">
        <v>9</v>
      </c>
      <c r="D9" s="65"/>
      <c r="E9" s="46">
        <v>10</v>
      </c>
      <c r="F9" s="1" t="s">
        <v>7</v>
      </c>
    </row>
    <row r="10" spans="2:6" x14ac:dyDescent="0.25">
      <c r="B10" s="45"/>
      <c r="C10" s="64" t="s">
        <v>33</v>
      </c>
      <c r="D10" s="65"/>
      <c r="E10" s="46">
        <v>10</v>
      </c>
      <c r="F10" s="1" t="s">
        <v>7</v>
      </c>
    </row>
    <row r="11" spans="2:6" x14ac:dyDescent="0.25">
      <c r="B11" s="53" t="s">
        <v>10</v>
      </c>
      <c r="C11" s="53"/>
      <c r="D11" s="53"/>
      <c r="E11" s="48">
        <v>5.4166999999999996</v>
      </c>
      <c r="F11" s="49" t="s">
        <v>8</v>
      </c>
    </row>
    <row r="12" spans="2:6" x14ac:dyDescent="0.25">
      <c r="B12" s="53" t="s">
        <v>11</v>
      </c>
      <c r="C12" s="53"/>
      <c r="D12" s="53"/>
      <c r="E12" s="48">
        <v>4</v>
      </c>
      <c r="F12" s="49" t="s">
        <v>8</v>
      </c>
    </row>
    <row r="13" spans="2:6" x14ac:dyDescent="0.25">
      <c r="B13" s="53" t="s">
        <v>12</v>
      </c>
      <c r="C13" s="53"/>
      <c r="D13" s="54"/>
      <c r="E13" s="50">
        <v>10</v>
      </c>
      <c r="F13" s="49" t="s">
        <v>7</v>
      </c>
    </row>
    <row r="14" spans="2:6" x14ac:dyDescent="0.25">
      <c r="B14" s="53" t="s">
        <v>13</v>
      </c>
      <c r="C14" s="53"/>
      <c r="D14" s="54"/>
      <c r="E14" s="50">
        <v>6</v>
      </c>
      <c r="F14" s="49" t="s">
        <v>7</v>
      </c>
    </row>
    <row r="15" spans="2:6" x14ac:dyDescent="0.25">
      <c r="B15" s="53" t="s">
        <v>14</v>
      </c>
      <c r="C15" s="53"/>
      <c r="D15" s="54"/>
      <c r="E15" s="48">
        <v>9</v>
      </c>
    </row>
    <row r="16" spans="2:6" x14ac:dyDescent="0.25">
      <c r="B16" s="53" t="s">
        <v>15</v>
      </c>
      <c r="C16" s="53"/>
      <c r="D16" s="54"/>
      <c r="E16" s="48">
        <v>10</v>
      </c>
    </row>
    <row r="17" spans="2:6" x14ac:dyDescent="0.25">
      <c r="B17" s="53" t="s">
        <v>27</v>
      </c>
      <c r="C17" s="53"/>
      <c r="D17" s="54"/>
      <c r="E17" s="48">
        <v>0.75</v>
      </c>
      <c r="F17" s="49" t="s">
        <v>7</v>
      </c>
    </row>
    <row r="18" spans="2:6" x14ac:dyDescent="0.25">
      <c r="B18" s="53" t="s">
        <v>30</v>
      </c>
      <c r="C18" s="53"/>
      <c r="D18" s="54"/>
      <c r="E18" s="48">
        <v>12</v>
      </c>
      <c r="F18" s="49" t="s">
        <v>28</v>
      </c>
    </row>
    <row r="19" spans="2:6" x14ac:dyDescent="0.25">
      <c r="B19" s="53" t="s">
        <v>29</v>
      </c>
      <c r="C19" s="53"/>
      <c r="D19" s="54"/>
      <c r="E19" s="48">
        <v>10</v>
      </c>
      <c r="F19" s="49" t="s">
        <v>28</v>
      </c>
    </row>
    <row r="20" spans="2:6" x14ac:dyDescent="0.25">
      <c r="D20" s="51" t="s">
        <v>58</v>
      </c>
      <c r="E20" s="50">
        <v>0.75</v>
      </c>
    </row>
    <row r="21" spans="2:6" x14ac:dyDescent="0.25">
      <c r="D21" s="51" t="s">
        <v>59</v>
      </c>
      <c r="E21" s="50">
        <v>0.9</v>
      </c>
    </row>
    <row r="22" spans="2:6" x14ac:dyDescent="0.25">
      <c r="D22" s="28" t="s">
        <v>51</v>
      </c>
      <c r="E22" s="50">
        <v>1</v>
      </c>
    </row>
    <row r="23" spans="2:6" x14ac:dyDescent="0.25">
      <c r="D23" s="28" t="s">
        <v>55</v>
      </c>
      <c r="E23" s="50">
        <v>0.85</v>
      </c>
    </row>
  </sheetData>
  <sheetProtection sheet="1" formatCells="0" formatColumns="0" formatRows="0" insertColumns="0" insertRows="0" insertHyperlinks="0" deleteColumns="0" deleteRows="0" selectLockedCells="1" sort="0" autoFilter="0" pivotTables="0"/>
  <mergeCells count="16">
    <mergeCell ref="B1:F1"/>
    <mergeCell ref="B2:F2"/>
    <mergeCell ref="B3:F3"/>
    <mergeCell ref="B12:D12"/>
    <mergeCell ref="B13:D13"/>
    <mergeCell ref="B7:D7"/>
    <mergeCell ref="B8:D8"/>
    <mergeCell ref="C9:D9"/>
    <mergeCell ref="C10:D10"/>
    <mergeCell ref="B11:D11"/>
    <mergeCell ref="B19:D19"/>
    <mergeCell ref="B14:D14"/>
    <mergeCell ref="B15:D15"/>
    <mergeCell ref="B16:D16"/>
    <mergeCell ref="B17:D17"/>
    <mergeCell ref="B18:D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26"/>
  <sheetViews>
    <sheetView topLeftCell="B1" zoomScale="110" zoomScaleNormal="110" workbookViewId="0">
      <selection activeCell="J13" sqref="J13"/>
    </sheetView>
  </sheetViews>
  <sheetFormatPr defaultRowHeight="15" x14ac:dyDescent="0.25"/>
  <cols>
    <col min="1" max="5" width="9.140625" style="1"/>
    <col min="6" max="6" width="8.5703125" style="1" customWidth="1"/>
    <col min="7" max="16384" width="9.140625" style="1"/>
  </cols>
  <sheetData>
    <row r="3" spans="1:14" x14ac:dyDescent="0.25">
      <c r="A3" s="79" t="s">
        <v>16</v>
      </c>
      <c r="B3" s="79"/>
      <c r="C3" s="79"/>
      <c r="D3" s="79"/>
      <c r="E3" s="79"/>
      <c r="F3" s="29">
        <f>(Trade*Nos_of_Trade)/12</f>
        <v>7.5</v>
      </c>
      <c r="G3" s="1" t="s">
        <v>8</v>
      </c>
    </row>
    <row r="4" spans="1:14" ht="15.75" thickBot="1" x14ac:dyDescent="0.3">
      <c r="A4" s="79" t="s">
        <v>17</v>
      </c>
      <c r="B4" s="79"/>
      <c r="C4" s="79"/>
      <c r="D4" s="79"/>
      <c r="E4" s="79"/>
      <c r="F4" s="29">
        <f>(Riser*Nos_of_Riser)/12</f>
        <v>5</v>
      </c>
      <c r="G4" s="1" t="s">
        <v>8</v>
      </c>
    </row>
    <row r="5" spans="1:14" x14ac:dyDescent="0.25">
      <c r="A5" s="79" t="s">
        <v>18</v>
      </c>
      <c r="B5" s="79"/>
      <c r="C5" s="79"/>
      <c r="D5" s="79"/>
      <c r="E5" s="79"/>
      <c r="F5" s="20">
        <f>(ATAN(Vertical_height_of_Stair_Flight/Horizontal_Length_of_Stair_Flight))*180/3.1416</f>
        <v>33.689988744131064</v>
      </c>
      <c r="G5" s="1" t="s">
        <v>19</v>
      </c>
      <c r="H5" s="66" t="s">
        <v>25</v>
      </c>
      <c r="I5" s="67"/>
      <c r="J5" s="68"/>
    </row>
    <row r="6" spans="1:14" ht="15.75" thickBot="1" x14ac:dyDescent="0.3">
      <c r="A6" s="79" t="s">
        <v>20</v>
      </c>
      <c r="B6" s="79"/>
      <c r="C6" s="79"/>
      <c r="D6" s="79"/>
      <c r="E6" s="79"/>
      <c r="F6" s="20">
        <f>O26/N16</f>
        <v>0.83205029433784372</v>
      </c>
      <c r="H6" s="69" t="s">
        <v>26</v>
      </c>
      <c r="I6" s="70"/>
      <c r="J6" s="71"/>
    </row>
    <row r="7" spans="1:14" ht="15.75" thickBot="1" x14ac:dyDescent="0.3">
      <c r="B7" s="79" t="s">
        <v>21</v>
      </c>
      <c r="C7" s="79"/>
      <c r="D7" s="79"/>
      <c r="E7" s="79"/>
      <c r="F7" s="29">
        <f>SQRT(O26^2+Q17^2)</f>
        <v>9.013878188659973</v>
      </c>
      <c r="G7" s="1" t="s">
        <v>8</v>
      </c>
      <c r="H7" s="72">
        <v>7</v>
      </c>
      <c r="I7" s="73"/>
      <c r="J7" s="74"/>
    </row>
    <row r="8" spans="1:14" x14ac:dyDescent="0.25">
      <c r="B8" s="79" t="s">
        <v>22</v>
      </c>
      <c r="C8" s="79"/>
      <c r="D8" s="79"/>
      <c r="E8" s="79"/>
      <c r="F8" s="29">
        <f>(bw/(2*12))+M26+O26</f>
        <v>13.750033333333334</v>
      </c>
      <c r="G8" s="1" t="s">
        <v>8</v>
      </c>
      <c r="H8" s="67"/>
      <c r="I8" s="67"/>
      <c r="J8" s="67"/>
    </row>
    <row r="9" spans="1:14" x14ac:dyDescent="0.25">
      <c r="B9" s="79" t="s">
        <v>23</v>
      </c>
      <c r="C9" s="79"/>
      <c r="D9" s="79"/>
      <c r="E9" s="79"/>
      <c r="F9" s="29">
        <f>0.85*(Effective_Length_of_Stair/20)*12</f>
        <v>7.012516999999999</v>
      </c>
      <c r="G9" s="1" t="s">
        <v>7</v>
      </c>
      <c r="H9" s="79" t="s">
        <v>24</v>
      </c>
      <c r="I9" s="79"/>
      <c r="J9" s="79"/>
    </row>
    <row r="10" spans="1:14" x14ac:dyDescent="0.25">
      <c r="B10" s="79" t="s">
        <v>31</v>
      </c>
      <c r="C10" s="79"/>
      <c r="D10" s="79"/>
      <c r="E10" s="79"/>
      <c r="F10" s="29">
        <f>H7-(('Input Data'!E18)/(25.4*2))-('Input Data'!E19/(25.4))-'Input Data'!E17</f>
        <v>5.6200787401574805</v>
      </c>
      <c r="G10" s="1" t="s">
        <v>7</v>
      </c>
    </row>
    <row r="11" spans="1:14" ht="15.75" thickBot="1" x14ac:dyDescent="0.3"/>
    <row r="12" spans="1:14" ht="14.25" customHeight="1" thickBot="1" x14ac:dyDescent="0.3">
      <c r="B12" s="80" t="s">
        <v>34</v>
      </c>
      <c r="C12" s="81"/>
      <c r="D12" s="81"/>
      <c r="E12" s="82"/>
    </row>
    <row r="13" spans="1:14" x14ac:dyDescent="0.25">
      <c r="B13" s="78" t="s">
        <v>35</v>
      </c>
      <c r="C13" s="78"/>
      <c r="D13" s="78"/>
      <c r="E13" s="78"/>
    </row>
    <row r="14" spans="1:14" x14ac:dyDescent="0.25">
      <c r="B14" s="79" t="s">
        <v>36</v>
      </c>
      <c r="C14" s="79"/>
      <c r="D14" s="79"/>
      <c r="E14" s="79"/>
      <c r="F14" s="29">
        <f>((t/12)*150*1)</f>
        <v>87.5</v>
      </c>
      <c r="G14" s="1" t="s">
        <v>37</v>
      </c>
    </row>
    <row r="15" spans="1:14" x14ac:dyDescent="0.25">
      <c r="B15" s="79" t="s">
        <v>38</v>
      </c>
      <c r="C15" s="79"/>
      <c r="D15" s="79"/>
      <c r="E15" s="79"/>
      <c r="F15" s="29">
        <f>((Nos_of_Trade*0.5*(Trade/12)*(Riser/12)*1*150))/Inclined_Length_of_Stair</f>
        <v>31.201886037669137</v>
      </c>
      <c r="G15" s="1" t="s">
        <v>37</v>
      </c>
    </row>
    <row r="16" spans="1:14" x14ac:dyDescent="0.25">
      <c r="B16" s="79" t="s">
        <v>39</v>
      </c>
      <c r="C16" s="79"/>
      <c r="D16" s="79"/>
      <c r="E16" s="79"/>
      <c r="F16" s="29">
        <f>(F14+F15+(1*DL))</f>
        <v>178.70188603766914</v>
      </c>
      <c r="G16" s="1" t="s">
        <v>37</v>
      </c>
      <c r="N16" s="38">
        <f>F7</f>
        <v>9.013878188659973</v>
      </c>
    </row>
    <row r="17" spans="2:17" x14ac:dyDescent="0.25">
      <c r="B17" s="79" t="s">
        <v>40</v>
      </c>
      <c r="C17" s="79"/>
      <c r="D17" s="79"/>
      <c r="E17" s="79"/>
      <c r="F17" s="1">
        <f>(1.2*Total_DL)+(1.6*LL)</f>
        <v>374.44226324520298</v>
      </c>
      <c r="G17" s="1" t="s">
        <v>37</v>
      </c>
      <c r="Q17" s="38">
        <f>F4</f>
        <v>5</v>
      </c>
    </row>
    <row r="18" spans="2:17" x14ac:dyDescent="0.25">
      <c r="B18" s="79" t="s">
        <v>41</v>
      </c>
      <c r="C18" s="79"/>
      <c r="D18" s="79"/>
      <c r="E18" s="79"/>
      <c r="F18" s="1">
        <f>Wfi/Cosθ</f>
        <v>450.02359327712145</v>
      </c>
      <c r="G18" s="1" t="s">
        <v>37</v>
      </c>
    </row>
    <row r="19" spans="2:17" x14ac:dyDescent="0.25">
      <c r="B19" s="78" t="s">
        <v>42</v>
      </c>
      <c r="C19" s="78"/>
      <c r="D19" s="78"/>
      <c r="E19" s="78"/>
    </row>
    <row r="20" spans="2:17" x14ac:dyDescent="0.25">
      <c r="B20" s="79" t="s">
        <v>43</v>
      </c>
      <c r="C20" s="79"/>
      <c r="D20" s="79"/>
      <c r="E20" s="79"/>
      <c r="F20" s="1">
        <f>1.2*(F14+DL)+1.6*(LL)</f>
        <v>337</v>
      </c>
      <c r="G20" s="1" t="s">
        <v>37</v>
      </c>
      <c r="O20" s="29">
        <f>F5</f>
        <v>33.689988744131064</v>
      </c>
      <c r="P20" s="39" t="s">
        <v>32</v>
      </c>
    </row>
    <row r="21" spans="2:17" ht="15.75" thickBot="1" x14ac:dyDescent="0.3"/>
    <row r="22" spans="2:17" x14ac:dyDescent="0.25">
      <c r="C22" s="75" t="s">
        <v>89</v>
      </c>
      <c r="D22" s="76"/>
      <c r="E22" s="76"/>
      <c r="F22" s="76"/>
      <c r="G22" s="77"/>
    </row>
    <row r="23" spans="2:17" x14ac:dyDescent="0.25">
      <c r="C23" s="58" t="s">
        <v>90</v>
      </c>
      <c r="D23" s="59"/>
      <c r="E23" s="59"/>
      <c r="F23" s="59"/>
      <c r="G23" s="60"/>
    </row>
    <row r="24" spans="2:17" ht="15.75" thickBot="1" x14ac:dyDescent="0.3">
      <c r="C24" s="61" t="s">
        <v>91</v>
      </c>
      <c r="D24" s="62"/>
      <c r="E24" s="62"/>
      <c r="F24" s="62"/>
      <c r="G24" s="63"/>
    </row>
    <row r="26" spans="2:17" x14ac:dyDescent="0.25">
      <c r="M26" s="40">
        <f>Starting_Landing_Length+(bw/(12*2))</f>
        <v>5.8333666666666666</v>
      </c>
      <c r="N26" s="35"/>
      <c r="O26" s="41">
        <f>F3</f>
        <v>7.5</v>
      </c>
      <c r="P26" s="35"/>
      <c r="Q26" s="42">
        <f>End_Landing_Length</f>
        <v>4</v>
      </c>
    </row>
  </sheetData>
  <sheetProtection algorithmName="SHA-512" hashValue="8h9EoDRqhDQtWN/dr6g/CG1r/mevejTI1SlZldxZ6qCQPss1AzqTxtkwfRq5USFXp6HZGFVF6mSXD/7v4Eafww==" saltValue="sYgEjlzgi7gBa/J1M0GuuQ==" spinCount="100000" sheet="1" formatCells="0" formatColumns="0" formatRows="0" insertColumns="0" insertRows="0" insertHyperlinks="0" deleteColumns="0" deleteRows="0" selectLockedCells="1" sort="0" autoFilter="0" pivotTables="0"/>
  <mergeCells count="25">
    <mergeCell ref="C23:G23"/>
    <mergeCell ref="C24:G24"/>
    <mergeCell ref="A3:E3"/>
    <mergeCell ref="A4:E4"/>
    <mergeCell ref="A5:E5"/>
    <mergeCell ref="A6:E6"/>
    <mergeCell ref="B7:E7"/>
    <mergeCell ref="B10:E10"/>
    <mergeCell ref="B9:E9"/>
    <mergeCell ref="B8:E8"/>
    <mergeCell ref="B17:E17"/>
    <mergeCell ref="B18:E18"/>
    <mergeCell ref="B19:E19"/>
    <mergeCell ref="B20:E20"/>
    <mergeCell ref="B12:E12"/>
    <mergeCell ref="H5:J5"/>
    <mergeCell ref="H6:J6"/>
    <mergeCell ref="H7:J7"/>
    <mergeCell ref="H8:J8"/>
    <mergeCell ref="C22:G22"/>
    <mergeCell ref="B13:E13"/>
    <mergeCell ref="B14:E14"/>
    <mergeCell ref="B15:E15"/>
    <mergeCell ref="B16:E16"/>
    <mergeCell ref="H9:J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S23"/>
  <sheetViews>
    <sheetView topLeftCell="B1" zoomScale="120" zoomScaleNormal="120" workbookViewId="0">
      <selection activeCell="N22" sqref="N22"/>
    </sheetView>
  </sheetViews>
  <sheetFormatPr defaultRowHeight="15" x14ac:dyDescent="0.25"/>
  <cols>
    <col min="1" max="9" width="9.140625" style="1"/>
    <col min="10" max="10" width="8.7109375" style="1" customWidth="1"/>
    <col min="11" max="13" width="9.140625" style="1"/>
    <col min="14" max="14" width="14.28515625" style="1" bestFit="1" customWidth="1"/>
    <col min="15" max="16384" width="9.140625" style="1"/>
  </cols>
  <sheetData>
    <row r="1" spans="3:14" ht="6.75" customHeight="1" x14ac:dyDescent="0.25"/>
    <row r="2" spans="3:14" x14ac:dyDescent="0.25">
      <c r="G2" s="87">
        <f>'Load Calculation'!F18</f>
        <v>450.02359327712145</v>
      </c>
      <c r="H2" s="87"/>
      <c r="I2" s="87"/>
      <c r="J2" s="87"/>
      <c r="K2" s="87"/>
    </row>
    <row r="3" spans="3:14" x14ac:dyDescent="0.25">
      <c r="E3" s="87">
        <f>'Load Calculation'!F20</f>
        <v>337</v>
      </c>
      <c r="F3" s="87"/>
      <c r="L3" s="87">
        <f>E3</f>
        <v>337</v>
      </c>
      <c r="M3" s="79"/>
    </row>
    <row r="4" spans="3:14" x14ac:dyDescent="0.25">
      <c r="D4" s="22" t="s">
        <v>44</v>
      </c>
    </row>
    <row r="5" spans="3:14" x14ac:dyDescent="0.25">
      <c r="E5" s="86">
        <f>'Load Calculation'!M26</f>
        <v>5.8333666666666666</v>
      </c>
      <c r="F5" s="86"/>
      <c r="G5" s="86">
        <f>'Load Calculation'!O26</f>
        <v>7.5</v>
      </c>
      <c r="H5" s="86"/>
      <c r="I5" s="86"/>
      <c r="J5" s="86"/>
      <c r="K5" s="86"/>
      <c r="L5" s="86">
        <f>'Load Calculation'!Q26</f>
        <v>4</v>
      </c>
      <c r="M5" s="86"/>
    </row>
    <row r="6" spans="3:14" x14ac:dyDescent="0.25">
      <c r="E6" s="89">
        <f>((W1.*L1.*((L1./2)+L2.))+(W2.*L2.*((L2./2)))-(W3.*L3.*L3./2))/(L1.+L2.)</f>
        <v>2282.8813348796325</v>
      </c>
      <c r="F6" s="89"/>
      <c r="L6" s="90">
        <f>(W1.*L1.)+(W2.*L2.)+(W3.*L3.)-E6</f>
        <v>4406.1401813654447</v>
      </c>
      <c r="M6" s="90"/>
    </row>
    <row r="8" spans="3:14" x14ac:dyDescent="0.25">
      <c r="C8" s="83">
        <f>E6</f>
        <v>2282.8813348796325</v>
      </c>
      <c r="D8" s="83"/>
      <c r="G8" s="85">
        <f>C8-(W1.*L1.)</f>
        <v>317.03676821296585</v>
      </c>
      <c r="H8" s="85"/>
      <c r="L8" s="84">
        <f>J13+L6</f>
        <v>1347.9999999999995</v>
      </c>
      <c r="M8" s="84"/>
    </row>
    <row r="9" spans="3:14" x14ac:dyDescent="0.25">
      <c r="J9" s="34">
        <f>L2.-H12</f>
        <v>6.7955107844362796</v>
      </c>
    </row>
    <row r="10" spans="3:14" x14ac:dyDescent="0.25">
      <c r="D10" s="35" t="s">
        <v>45</v>
      </c>
    </row>
    <row r="11" spans="3:14" x14ac:dyDescent="0.25">
      <c r="N11" s="36">
        <f>L8-(W3.*L3.)</f>
        <v>0</v>
      </c>
    </row>
    <row r="12" spans="3:14" x14ac:dyDescent="0.25">
      <c r="H12" s="34">
        <f>(G8*L2.)/(G8-J13)</f>
        <v>0.70448921556372002</v>
      </c>
    </row>
    <row r="13" spans="3:14" x14ac:dyDescent="0.25">
      <c r="J13" s="85">
        <f>((G8-(W2.*L2.)))</f>
        <v>-3058.1401813654452</v>
      </c>
      <c r="K13" s="85"/>
    </row>
    <row r="15" spans="3:14" x14ac:dyDescent="0.25">
      <c r="H15" s="92">
        <f>(E16+(0.5*G8*H12))</f>
        <v>7694.8122913934012</v>
      </c>
      <c r="I15" s="92"/>
      <c r="J15" s="92"/>
    </row>
    <row r="16" spans="3:14" x14ac:dyDescent="0.25">
      <c r="E16" s="91">
        <f>0.5*(C8+G8)*L1.</f>
        <v>7583.1377993217966</v>
      </c>
      <c r="F16" s="91"/>
    </row>
    <row r="18" spans="4:19" ht="15.75" thickBot="1" x14ac:dyDescent="0.3"/>
    <row r="19" spans="4:19" x14ac:dyDescent="0.25">
      <c r="D19" s="22" t="s">
        <v>46</v>
      </c>
      <c r="N19" s="37">
        <f>K23+(0.5*L8*L3.)</f>
        <v>0</v>
      </c>
      <c r="O19" s="75" t="s">
        <v>89</v>
      </c>
      <c r="P19" s="76"/>
      <c r="Q19" s="76"/>
      <c r="R19" s="76"/>
      <c r="S19" s="77"/>
    </row>
    <row r="20" spans="4:19" x14ac:dyDescent="0.25">
      <c r="O20" s="58" t="s">
        <v>90</v>
      </c>
      <c r="P20" s="59"/>
      <c r="Q20" s="59"/>
      <c r="R20" s="59"/>
      <c r="S20" s="60"/>
    </row>
    <row r="21" spans="4:19" ht="15.75" thickBot="1" x14ac:dyDescent="0.3">
      <c r="O21" s="61" t="s">
        <v>91</v>
      </c>
      <c r="P21" s="62"/>
      <c r="Q21" s="62"/>
      <c r="R21" s="62"/>
      <c r="S21" s="63"/>
    </row>
    <row r="23" spans="4:19" x14ac:dyDescent="0.25">
      <c r="K23" s="88">
        <f>H15-(0.5*J9*(-J13))</f>
        <v>-2696.0000000000009</v>
      </c>
      <c r="L23" s="88"/>
    </row>
  </sheetData>
  <sheetProtection algorithmName="SHA-512" hashValue="6x1jyQ/J2EE8CLdX5d7E/hhhYGO8Z3NGfds6P/GPjhLCryq2pctohcmw32ZQneONU6yXaq/0f/jiQkZZ/Z297w==" saltValue="PRTlYl3VHgI+irER+2bRgg==" spinCount="100000" sheet="1" objects="1" scenarios="1" formatCells="0" formatColumns="0" formatRows="0" insertColumns="0" insertRows="0" insertHyperlinks="0" deleteColumns="0" deleteRows="0" selectLockedCells="1" sort="0" autoFilter="0" pivotTables="0" selectUnlockedCells="1"/>
  <mergeCells count="18">
    <mergeCell ref="K23:L23"/>
    <mergeCell ref="E6:F6"/>
    <mergeCell ref="L6:M6"/>
    <mergeCell ref="J13:K13"/>
    <mergeCell ref="E16:F16"/>
    <mergeCell ref="H15:J15"/>
    <mergeCell ref="O19:S19"/>
    <mergeCell ref="O20:S20"/>
    <mergeCell ref="O21:S21"/>
    <mergeCell ref="E3:F3"/>
    <mergeCell ref="G2:K2"/>
    <mergeCell ref="L3:M3"/>
    <mergeCell ref="C8:D8"/>
    <mergeCell ref="L8:M8"/>
    <mergeCell ref="G8:H8"/>
    <mergeCell ref="E5:F5"/>
    <mergeCell ref="L5:M5"/>
    <mergeCell ref="G5:K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zoomScale="90" zoomScaleNormal="90" workbookViewId="0">
      <selection activeCell="I15" sqref="I15"/>
    </sheetView>
  </sheetViews>
  <sheetFormatPr defaultRowHeight="15" x14ac:dyDescent="0.25"/>
  <cols>
    <col min="1" max="2" width="4" style="1" customWidth="1"/>
    <col min="3" max="4" width="9.140625" style="1"/>
    <col min="5" max="5" width="11.42578125" style="1" customWidth="1"/>
    <col min="6" max="12" width="9.140625" style="1"/>
    <col min="13" max="13" width="11" style="1" customWidth="1"/>
    <col min="14" max="15" width="9.140625" style="1"/>
    <col min="16" max="16" width="10.140625" style="1" customWidth="1"/>
    <col min="17" max="21" width="9.140625" style="1"/>
    <col min="22" max="22" width="19.28515625" style="1" customWidth="1"/>
    <col min="23" max="16384" width="9.140625" style="1"/>
  </cols>
  <sheetData>
    <row r="1" spans="1:22" ht="15.75" thickBot="1" x14ac:dyDescent="0.3"/>
    <row r="2" spans="1:22" ht="19.5" thickBot="1" x14ac:dyDescent="0.35">
      <c r="A2" s="12"/>
      <c r="B2" s="13"/>
      <c r="C2" s="13"/>
      <c r="D2" s="13"/>
      <c r="E2" s="13"/>
      <c r="F2" s="13"/>
      <c r="G2" s="14"/>
      <c r="H2" s="14"/>
      <c r="I2" s="15"/>
      <c r="J2" s="16"/>
      <c r="K2" s="14"/>
      <c r="L2" s="14"/>
      <c r="M2" s="14"/>
      <c r="N2" s="14"/>
      <c r="O2" s="14"/>
      <c r="P2" s="14"/>
      <c r="Q2" s="14"/>
      <c r="R2" s="15"/>
    </row>
    <row r="3" spans="1:22" ht="19.5" thickBot="1" x14ac:dyDescent="0.35">
      <c r="A3" s="17"/>
      <c r="B3" s="95" t="s">
        <v>47</v>
      </c>
      <c r="C3" s="96"/>
      <c r="D3" s="96"/>
      <c r="E3" s="96"/>
      <c r="F3" s="96"/>
      <c r="G3" s="96"/>
      <c r="H3" s="97"/>
      <c r="I3" s="18"/>
      <c r="J3" s="17"/>
      <c r="K3" s="95" t="s">
        <v>75</v>
      </c>
      <c r="L3" s="96"/>
      <c r="M3" s="96"/>
      <c r="N3" s="96"/>
      <c r="O3" s="96"/>
      <c r="P3" s="96"/>
      <c r="Q3" s="97"/>
      <c r="R3" s="18"/>
      <c r="U3" s="1" t="s">
        <v>64</v>
      </c>
      <c r="V3" s="1">
        <f>φm*fy^2</f>
        <v>4730625000</v>
      </c>
    </row>
    <row r="4" spans="1:22" x14ac:dyDescent="0.25">
      <c r="A4" s="98" t="s">
        <v>49</v>
      </c>
      <c r="B4" s="53"/>
      <c r="C4" s="53"/>
      <c r="D4" s="53"/>
      <c r="E4" s="19">
        <f>MAX(('SFD &amp; BMD'!C8),(ABS('SFD &amp; BMD'!J13)))</f>
        <v>3058.1401813654452</v>
      </c>
      <c r="F4" s="1" t="s">
        <v>48</v>
      </c>
      <c r="I4" s="18"/>
      <c r="J4" s="17"/>
      <c r="K4" s="93" t="s">
        <v>70</v>
      </c>
      <c r="L4" s="93"/>
      <c r="M4" s="93"/>
      <c r="N4" s="93"/>
      <c r="O4" s="93"/>
      <c r="P4" s="20">
        <f>MIN(V6:V7)</f>
        <v>0.26652869939863033</v>
      </c>
      <c r="Q4" s="1" t="s">
        <v>71</v>
      </c>
      <c r="R4" s="18"/>
      <c r="U4" s="1" t="s">
        <v>65</v>
      </c>
      <c r="V4" s="1">
        <f>-(1.7*φm*fc*fy*Effective_Depth*12)</f>
        <v>-22816704773.622047</v>
      </c>
    </row>
    <row r="5" spans="1:22" x14ac:dyDescent="0.25">
      <c r="A5" s="98" t="s">
        <v>50</v>
      </c>
      <c r="B5" s="53"/>
      <c r="C5" s="53"/>
      <c r="D5" s="53"/>
      <c r="E5" s="21">
        <f>2*φ*λ*(fc^0.5)*12*Effective_Depth</f>
        <v>5586.8218767052504</v>
      </c>
      <c r="F5" s="1" t="s">
        <v>48</v>
      </c>
      <c r="I5" s="18"/>
      <c r="J5" s="17"/>
      <c r="K5" s="53" t="s">
        <v>72</v>
      </c>
      <c r="L5" s="53"/>
      <c r="M5" s="53"/>
      <c r="N5" s="53"/>
      <c r="O5" s="53"/>
      <c r="P5" s="20">
        <f>3*SQRT(fc)*12*Effective_Depth/fy</f>
        <v>0.15411922418497243</v>
      </c>
      <c r="Q5" s="1" t="s">
        <v>71</v>
      </c>
      <c r="R5" s="18"/>
      <c r="U5" s="1" t="s">
        <v>66</v>
      </c>
      <c r="V5" s="1">
        <f>1.7*fc*1*12*Mu.*12</f>
        <v>5745254649.2459698</v>
      </c>
    </row>
    <row r="6" spans="1:22" x14ac:dyDescent="0.25">
      <c r="A6" s="98" t="s">
        <v>52</v>
      </c>
      <c r="B6" s="53"/>
      <c r="C6" s="53"/>
      <c r="D6" s="53"/>
      <c r="E6" s="22" t="str">
        <f>IF(E4&lt;E5,"OK","Not Ok")</f>
        <v>OK</v>
      </c>
      <c r="F6" s="79" t="str">
        <f>IF(E6="OK","Allawable shear &gt; Maximum Shear","Allawable shear &lt; Maximum Shear")</f>
        <v>Allawable shear &gt; Maximum Shear</v>
      </c>
      <c r="G6" s="79"/>
      <c r="H6" s="79"/>
      <c r="I6" s="94"/>
      <c r="J6" s="17"/>
      <c r="K6" s="53" t="s">
        <v>73</v>
      </c>
      <c r="L6" s="53"/>
      <c r="M6" s="53"/>
      <c r="N6" s="53"/>
      <c r="O6" s="53"/>
      <c r="P6" s="23">
        <f>MAX(P4:P5)</f>
        <v>0.26652869939863033</v>
      </c>
      <c r="Q6" s="1" t="s">
        <v>71</v>
      </c>
      <c r="R6" s="18"/>
      <c r="U6" s="1" t="s">
        <v>67</v>
      </c>
      <c r="V6" s="1">
        <f>(-b-SQRT(b^2-4*a*c.))/(2*a)</f>
        <v>0.26652869939863033</v>
      </c>
    </row>
    <row r="7" spans="1:22" ht="15.75" thickBot="1" x14ac:dyDescent="0.3">
      <c r="A7" s="17"/>
      <c r="I7" s="18"/>
      <c r="J7" s="17"/>
      <c r="R7" s="18"/>
      <c r="U7" s="1" t="s">
        <v>68</v>
      </c>
      <c r="V7" s="1">
        <f>(-b+SQRT(b^2-4*a*c.))/(2*a)</f>
        <v>4.5566616345682451</v>
      </c>
    </row>
    <row r="8" spans="1:22" ht="19.5" thickBot="1" x14ac:dyDescent="0.35">
      <c r="A8" s="24"/>
      <c r="B8" s="95" t="s">
        <v>53</v>
      </c>
      <c r="C8" s="96"/>
      <c r="D8" s="96"/>
      <c r="E8" s="96"/>
      <c r="F8" s="96"/>
      <c r="G8" s="96"/>
      <c r="H8" s="97"/>
      <c r="I8" s="18"/>
      <c r="J8" s="17"/>
      <c r="K8" s="95" t="s">
        <v>74</v>
      </c>
      <c r="L8" s="96"/>
      <c r="M8" s="96"/>
      <c r="N8" s="96"/>
      <c r="O8" s="96"/>
      <c r="P8" s="96"/>
      <c r="Q8" s="97"/>
      <c r="R8" s="18"/>
    </row>
    <row r="9" spans="1:22" x14ac:dyDescent="0.25">
      <c r="A9" s="98" t="s">
        <v>69</v>
      </c>
      <c r="B9" s="53"/>
      <c r="C9" s="53"/>
      <c r="D9" s="53"/>
      <c r="E9" s="19">
        <f>Mu</f>
        <v>7694.8122913934012</v>
      </c>
      <c r="F9" s="1" t="s">
        <v>54</v>
      </c>
      <c r="I9" s="18"/>
      <c r="J9" s="25"/>
      <c r="K9" s="53" t="s">
        <v>77</v>
      </c>
      <c r="L9" s="53"/>
      <c r="M9" s="53"/>
      <c r="N9" s="53"/>
      <c r="O9" s="53"/>
      <c r="P9" s="20">
        <f>((3.1416/4)*Main_Bar_Dia*Main_Bar_Dia*12/(25.4*25.5))/As.</f>
        <v>7.861705262765132</v>
      </c>
      <c r="Q9" s="1" t="s">
        <v>76</v>
      </c>
      <c r="R9" s="18"/>
    </row>
    <row r="10" spans="1:22" x14ac:dyDescent="0.25">
      <c r="A10" s="17"/>
      <c r="D10" s="26" t="s">
        <v>56</v>
      </c>
      <c r="E10" s="27">
        <f>0.85*β*(fc/fy)*(87000/(87000+fy))</f>
        <v>1.6578996865203758E-2</v>
      </c>
      <c r="I10" s="18"/>
      <c r="J10" s="17"/>
      <c r="K10" s="53" t="s">
        <v>78</v>
      </c>
      <c r="L10" s="53"/>
      <c r="M10" s="53"/>
      <c r="N10" s="53"/>
      <c r="O10" s="53"/>
      <c r="P10" s="20">
        <f>(15*(3*40000)/(2*fy))-2.5*CC</f>
        <v>10.538793103448276</v>
      </c>
      <c r="Q10" s="1" t="s">
        <v>76</v>
      </c>
      <c r="R10" s="18"/>
    </row>
    <row r="11" spans="1:22" x14ac:dyDescent="0.25">
      <c r="A11" s="17"/>
      <c r="D11" s="28" t="s">
        <v>57</v>
      </c>
      <c r="E11" s="27">
        <f>0.75*ρ</f>
        <v>1.2434247648902819E-2</v>
      </c>
      <c r="I11" s="18"/>
      <c r="J11" s="17"/>
      <c r="K11" s="53" t="s">
        <v>79</v>
      </c>
      <c r="L11" s="53"/>
      <c r="M11" s="53"/>
      <c r="N11" s="53"/>
      <c r="O11" s="53"/>
      <c r="P11" s="23">
        <f>_xlfn.FLOOR.MATH((MIN(P9:P10)),0.25)</f>
        <v>7.75</v>
      </c>
      <c r="Q11" s="1" t="s">
        <v>76</v>
      </c>
      <c r="R11" s="18"/>
      <c r="U11" s="1" t="s">
        <v>64</v>
      </c>
      <c r="V11" s="1">
        <f>φm*fy^2</f>
        <v>4730625000</v>
      </c>
    </row>
    <row r="12" spans="1:22" ht="15.75" thickBot="1" x14ac:dyDescent="0.3">
      <c r="A12" s="17"/>
      <c r="D12" s="28" t="s">
        <v>60</v>
      </c>
      <c r="E12" s="29">
        <f>ρmax*fy*(1-((0.59*ρmax*fy)/fc))</f>
        <v>744.27764463455571</v>
      </c>
      <c r="F12" s="1" t="s">
        <v>1</v>
      </c>
      <c r="I12" s="18"/>
      <c r="J12" s="17"/>
      <c r="R12" s="18"/>
      <c r="U12" s="1" t="s">
        <v>65</v>
      </c>
      <c r="V12" s="1">
        <f>-(1.7*φm*fc*fy*Effective_Depth*12)</f>
        <v>-22816704773.622047</v>
      </c>
    </row>
    <row r="13" spans="1:22" ht="15.75" thickBot="1" x14ac:dyDescent="0.3">
      <c r="A13" s="17"/>
      <c r="D13" s="28" t="s">
        <v>61</v>
      </c>
      <c r="E13" s="29">
        <f>SQRT((Mu.*12)/(φm*Rv*12))</f>
        <v>3.3893020399706195</v>
      </c>
      <c r="F13" s="1" t="s">
        <v>7</v>
      </c>
      <c r="I13" s="18"/>
      <c r="J13" s="17"/>
      <c r="K13" s="80" t="s">
        <v>80</v>
      </c>
      <c r="L13" s="81"/>
      <c r="M13" s="81"/>
      <c r="N13" s="81"/>
      <c r="O13" s="81"/>
      <c r="P13" s="81"/>
      <c r="Q13" s="82"/>
      <c r="R13" s="18"/>
      <c r="U13" s="1" t="s">
        <v>66</v>
      </c>
      <c r="V13" s="1">
        <f>1.7*fc*1*12*MAX(ABS('SFD &amp; BMD'!E16),ABS('SFD &amp; BMD'!K23))*12</f>
        <v>5661874006.4856262</v>
      </c>
    </row>
    <row r="14" spans="1:22" x14ac:dyDescent="0.25">
      <c r="A14" s="17"/>
      <c r="C14" s="53" t="s">
        <v>62</v>
      </c>
      <c r="D14" s="53"/>
      <c r="E14" s="22" t="str">
        <f>IF(dreq&lt;=Effective_Depth,"OK","Not Ok")</f>
        <v>OK</v>
      </c>
      <c r="I14" s="18"/>
      <c r="J14" s="17"/>
      <c r="K14" s="93" t="s">
        <v>81</v>
      </c>
      <c r="L14" s="93"/>
      <c r="M14" s="93"/>
      <c r="N14" s="93"/>
      <c r="O14" s="93"/>
      <c r="P14" s="22" t="str">
        <f>IF(E4&lt;E5/2,"No","Yes")</f>
        <v>Yes</v>
      </c>
      <c r="Q14" s="79" t="str">
        <f>IF(P14="No","As, Vu&lt;φVc/2","As, Vu&gt;φVc/2")</f>
        <v>As, Vu&gt;φVc/2</v>
      </c>
      <c r="R14" s="94"/>
      <c r="U14" s="1" t="s">
        <v>67</v>
      </c>
      <c r="V14" s="1">
        <f>(-bf-SQRT(bf^2-4*af*cf))/(2*af)</f>
        <v>0.26242419559829999</v>
      </c>
    </row>
    <row r="15" spans="1:22" x14ac:dyDescent="0.25">
      <c r="A15" s="17"/>
      <c r="I15" s="18"/>
      <c r="J15" s="17"/>
      <c r="K15" s="53" t="s">
        <v>82</v>
      </c>
      <c r="L15" s="53"/>
      <c r="M15" s="53"/>
      <c r="N15" s="53"/>
      <c r="O15" s="53"/>
      <c r="P15" s="20">
        <f>0.0018*12*t</f>
        <v>0.1512</v>
      </c>
      <c r="Q15" s="1" t="s">
        <v>71</v>
      </c>
      <c r="R15" s="18"/>
      <c r="U15" s="1" t="s">
        <v>68</v>
      </c>
      <c r="V15" s="1">
        <f>(-bf+SQRT(bf^2-4*af*cf))/(2*af)</f>
        <v>4.5607661383685745</v>
      </c>
    </row>
    <row r="16" spans="1:22" x14ac:dyDescent="0.25">
      <c r="A16" s="17"/>
      <c r="B16" s="1" t="s">
        <v>63</v>
      </c>
      <c r="I16" s="18"/>
      <c r="J16" s="17"/>
      <c r="K16" s="53" t="s">
        <v>83</v>
      </c>
      <c r="L16" s="53"/>
      <c r="M16" s="53"/>
      <c r="N16" s="53"/>
      <c r="O16" s="53"/>
      <c r="P16" s="30">
        <f>_xlfn.FLOOR.MATH((((3.1416/4)*Shear_Bar_dia*Shear_Bar_dia/(25.4*25.4))*12/Ass),0.25)</f>
        <v>9.5</v>
      </c>
      <c r="Q16" s="1" t="s">
        <v>76</v>
      </c>
      <c r="R16" s="18"/>
    </row>
    <row r="17" spans="1:19" ht="15.75" thickBot="1" x14ac:dyDescent="0.3">
      <c r="A17" s="31"/>
      <c r="B17" s="32"/>
      <c r="C17" s="32"/>
      <c r="D17" s="32"/>
      <c r="E17" s="32"/>
      <c r="F17" s="32"/>
      <c r="G17" s="32"/>
      <c r="H17" s="32"/>
      <c r="I17" s="33"/>
      <c r="J17" s="17"/>
      <c r="N17" s="32"/>
      <c r="O17" s="32"/>
      <c r="P17" s="32"/>
      <c r="Q17" s="32"/>
      <c r="R17" s="33"/>
    </row>
    <row r="18" spans="1:19" ht="15.75" thickBot="1" x14ac:dyDescent="0.3">
      <c r="E18" s="17"/>
      <c r="J18" s="14"/>
      <c r="K18" s="14"/>
      <c r="L18" s="14"/>
      <c r="M18" s="15"/>
    </row>
    <row r="19" spans="1:19" ht="19.5" thickBot="1" x14ac:dyDescent="0.35">
      <c r="E19" s="17"/>
      <c r="F19" s="95" t="s">
        <v>84</v>
      </c>
      <c r="G19" s="96"/>
      <c r="H19" s="96"/>
      <c r="I19" s="96"/>
      <c r="J19" s="96"/>
      <c r="K19" s="96"/>
      <c r="L19" s="97"/>
      <c r="M19" s="18"/>
    </row>
    <row r="20" spans="1:19" x14ac:dyDescent="0.25">
      <c r="E20" s="17"/>
      <c r="F20" s="93" t="s">
        <v>85</v>
      </c>
      <c r="G20" s="93"/>
      <c r="H20" s="93"/>
      <c r="I20" s="93"/>
      <c r="J20" s="93"/>
      <c r="K20" s="20">
        <f>MIN(V14:V15)</f>
        <v>0.26242419559829999</v>
      </c>
      <c r="L20" s="1" t="s">
        <v>71</v>
      </c>
      <c r="M20" s="18"/>
    </row>
    <row r="21" spans="1:19" x14ac:dyDescent="0.25">
      <c r="E21" s="17"/>
      <c r="F21" s="53" t="s">
        <v>86</v>
      </c>
      <c r="G21" s="53"/>
      <c r="H21" s="53"/>
      <c r="I21" s="53"/>
      <c r="J21" s="53"/>
      <c r="K21" s="20">
        <f>3*SQRT(fc)*12*Effective_Depth/fy</f>
        <v>0.15411922418497243</v>
      </c>
      <c r="L21" s="1" t="s">
        <v>71</v>
      </c>
      <c r="M21" s="18"/>
    </row>
    <row r="22" spans="1:19" ht="15.75" thickBot="1" x14ac:dyDescent="0.3">
      <c r="E22" s="17"/>
      <c r="F22" s="53" t="s">
        <v>87</v>
      </c>
      <c r="G22" s="53"/>
      <c r="H22" s="53"/>
      <c r="I22" s="53"/>
      <c r="J22" s="53"/>
      <c r="K22" s="23">
        <f>MAX(K20:K21)</f>
        <v>0.26242419559829999</v>
      </c>
      <c r="L22" s="1" t="s">
        <v>71</v>
      </c>
      <c r="M22" s="18"/>
    </row>
    <row r="23" spans="1:19" ht="15.75" thickBot="1" x14ac:dyDescent="0.3">
      <c r="E23" s="17"/>
      <c r="M23" s="18"/>
      <c r="O23" s="75" t="s">
        <v>89</v>
      </c>
      <c r="P23" s="76"/>
      <c r="Q23" s="76"/>
      <c r="R23" s="76"/>
      <c r="S23" s="77"/>
    </row>
    <row r="24" spans="1:19" ht="19.5" thickBot="1" x14ac:dyDescent="0.35">
      <c r="E24" s="17"/>
      <c r="F24" s="95" t="s">
        <v>74</v>
      </c>
      <c r="G24" s="96"/>
      <c r="H24" s="96"/>
      <c r="I24" s="96"/>
      <c r="J24" s="96"/>
      <c r="K24" s="96"/>
      <c r="L24" s="97"/>
      <c r="M24" s="18"/>
      <c r="O24" s="58" t="s">
        <v>90</v>
      </c>
      <c r="P24" s="59"/>
      <c r="Q24" s="59"/>
      <c r="R24" s="59"/>
      <c r="S24" s="60"/>
    </row>
    <row r="25" spans="1:19" ht="15.75" thickBot="1" x14ac:dyDescent="0.3">
      <c r="E25" s="17"/>
      <c r="F25" s="53" t="s">
        <v>77</v>
      </c>
      <c r="G25" s="53"/>
      <c r="H25" s="53"/>
      <c r="I25" s="53"/>
      <c r="J25" s="53"/>
      <c r="K25" s="20">
        <f>((3.1416/4)*Main_Bar_Dia*Main_Bar_Dia*12/(25.4*25.5))/Asl</f>
        <v>7.9846680065568307</v>
      </c>
      <c r="L25" s="1" t="s">
        <v>76</v>
      </c>
      <c r="M25" s="18"/>
      <c r="O25" s="61" t="s">
        <v>91</v>
      </c>
      <c r="P25" s="62"/>
      <c r="Q25" s="62"/>
      <c r="R25" s="62"/>
      <c r="S25" s="63"/>
    </row>
    <row r="26" spans="1:19" x14ac:dyDescent="0.25">
      <c r="E26" s="17"/>
      <c r="F26" s="53" t="s">
        <v>78</v>
      </c>
      <c r="G26" s="53"/>
      <c r="H26" s="53"/>
      <c r="I26" s="53"/>
      <c r="J26" s="53"/>
      <c r="K26" s="20">
        <f>(15*(3*40000)/(2*fy))-2.5*CC</f>
        <v>10.538793103448276</v>
      </c>
      <c r="L26" s="1" t="s">
        <v>76</v>
      </c>
      <c r="M26" s="18"/>
    </row>
    <row r="27" spans="1:19" x14ac:dyDescent="0.25">
      <c r="E27" s="17"/>
      <c r="F27" s="53" t="s">
        <v>79</v>
      </c>
      <c r="G27" s="53"/>
      <c r="H27" s="53"/>
      <c r="I27" s="53"/>
      <c r="J27" s="53"/>
      <c r="K27" s="23">
        <f>_xlfn.FLOOR.MATH((MIN(K25:K26)),0.25)</f>
        <v>7.75</v>
      </c>
      <c r="L27" s="1" t="s">
        <v>76</v>
      </c>
      <c r="M27" s="18"/>
    </row>
    <row r="28" spans="1:19" ht="15.75" thickBot="1" x14ac:dyDescent="0.3">
      <c r="E28" s="17"/>
      <c r="M28" s="18"/>
    </row>
    <row r="29" spans="1:19" ht="15.75" thickBot="1" x14ac:dyDescent="0.3">
      <c r="E29" s="17"/>
      <c r="F29" s="80" t="s">
        <v>80</v>
      </c>
      <c r="G29" s="81"/>
      <c r="H29" s="81"/>
      <c r="I29" s="81"/>
      <c r="J29" s="81"/>
      <c r="K29" s="81"/>
      <c r="L29" s="82"/>
      <c r="M29" s="18"/>
    </row>
    <row r="30" spans="1:19" x14ac:dyDescent="0.25">
      <c r="E30" s="17"/>
      <c r="F30" s="93" t="s">
        <v>81</v>
      </c>
      <c r="G30" s="93"/>
      <c r="H30" s="93"/>
      <c r="I30" s="93"/>
      <c r="J30" s="93"/>
      <c r="K30" s="22" t="str">
        <f>IF(E4&lt;E5/2,"No","Yes")</f>
        <v>Yes</v>
      </c>
      <c r="L30" s="79" t="str">
        <f>IF(K30="No","As, Vu&lt;φVc/2","As, Vu&gt;φVc/2")</f>
        <v>As, Vu&gt;φVc/2</v>
      </c>
      <c r="M30" s="94"/>
    </row>
    <row r="31" spans="1:19" x14ac:dyDescent="0.25">
      <c r="E31" s="17"/>
      <c r="F31" s="53" t="s">
        <v>82</v>
      </c>
      <c r="G31" s="53"/>
      <c r="H31" s="53"/>
      <c r="I31" s="53"/>
      <c r="J31" s="53"/>
      <c r="K31" s="20">
        <f>0.0018*12*t</f>
        <v>0.1512</v>
      </c>
      <c r="L31" s="1" t="s">
        <v>71</v>
      </c>
      <c r="M31" s="18"/>
    </row>
    <row r="32" spans="1:19" x14ac:dyDescent="0.25">
      <c r="E32" s="17"/>
      <c r="F32" s="53" t="s">
        <v>83</v>
      </c>
      <c r="G32" s="53"/>
      <c r="H32" s="53"/>
      <c r="I32" s="53"/>
      <c r="J32" s="53"/>
      <c r="K32" s="30">
        <f>_xlfn.FLOOR.MATH((((3.1416/4)*Shear_Bar_dia*Shear_Bar_dia/(25.4*25.4))*12/Ass),0.25)</f>
        <v>9.5</v>
      </c>
      <c r="L32" s="1" t="s">
        <v>76</v>
      </c>
      <c r="M32" s="18"/>
    </row>
    <row r="33" spans="5:13" ht="15.75" thickBot="1" x14ac:dyDescent="0.3">
      <c r="E33" s="31"/>
      <c r="F33" s="32"/>
      <c r="G33" s="32"/>
      <c r="H33" s="32"/>
      <c r="I33" s="32"/>
      <c r="J33" s="32"/>
      <c r="K33" s="32"/>
      <c r="L33" s="32"/>
      <c r="M33" s="3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7">
    <mergeCell ref="A9:D9"/>
    <mergeCell ref="C14:D14"/>
    <mergeCell ref="B3:H3"/>
    <mergeCell ref="B8:H8"/>
    <mergeCell ref="K3:Q3"/>
    <mergeCell ref="K4:O4"/>
    <mergeCell ref="K5:O5"/>
    <mergeCell ref="K6:O6"/>
    <mergeCell ref="A4:D4"/>
    <mergeCell ref="A5:D5"/>
    <mergeCell ref="A6:D6"/>
    <mergeCell ref="F6:I6"/>
    <mergeCell ref="K8:Q8"/>
    <mergeCell ref="K9:O9"/>
    <mergeCell ref="K10:O10"/>
    <mergeCell ref="K11:O11"/>
    <mergeCell ref="K13:Q13"/>
    <mergeCell ref="F27:J27"/>
    <mergeCell ref="K14:O14"/>
    <mergeCell ref="Q14:R14"/>
    <mergeCell ref="K15:O15"/>
    <mergeCell ref="K16:O16"/>
    <mergeCell ref="F19:L19"/>
    <mergeCell ref="F20:J20"/>
    <mergeCell ref="F21:J21"/>
    <mergeCell ref="F22:J22"/>
    <mergeCell ref="F24:L24"/>
    <mergeCell ref="F25:J25"/>
    <mergeCell ref="F26:J26"/>
    <mergeCell ref="O23:S23"/>
    <mergeCell ref="O24:S24"/>
    <mergeCell ref="O25:S25"/>
    <mergeCell ref="F29:L29"/>
    <mergeCell ref="F30:J30"/>
    <mergeCell ref="L30:M30"/>
    <mergeCell ref="F31:J31"/>
    <mergeCell ref="F32:J32"/>
  </mergeCells>
  <conditionalFormatting sqref="E6">
    <cfRule type="cellIs" dxfId="3" priority="3" operator="equal">
      <formula>"Not Ok"</formula>
    </cfRule>
    <cfRule type="cellIs" dxfId="2" priority="4" operator="equal">
      <formula>"OK"</formula>
    </cfRule>
  </conditionalFormatting>
  <conditionalFormatting sqref="E14">
    <cfRule type="cellIs" dxfId="1" priority="1" operator="equal">
      <formula>"Not Ok"</formula>
    </cfRule>
    <cfRule type="cellIs" dxfId="0" priority="2" operator="equal">
      <formula>"OK"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5"/>
  <sheetViews>
    <sheetView zoomScale="120" zoomScaleNormal="120" workbookViewId="0">
      <selection activeCell="J7" sqref="J7"/>
    </sheetView>
  </sheetViews>
  <sheetFormatPr defaultRowHeight="15" x14ac:dyDescent="0.25"/>
  <cols>
    <col min="1" max="2" width="9.140625" style="1"/>
    <col min="3" max="3" width="5.7109375" style="1" customWidth="1"/>
    <col min="4" max="14" width="9.140625" style="1"/>
    <col min="15" max="15" width="12.7109375" style="1" bestFit="1" customWidth="1"/>
    <col min="16" max="16384" width="9.140625" style="1"/>
  </cols>
  <sheetData>
    <row r="1" spans="2:18" ht="15.75" thickBot="1" x14ac:dyDescent="0.3"/>
    <row r="2" spans="2:18" x14ac:dyDescent="0.25">
      <c r="B2" s="75" t="s">
        <v>89</v>
      </c>
      <c r="C2" s="76"/>
      <c r="D2" s="76"/>
      <c r="E2" s="76"/>
      <c r="F2" s="77"/>
    </row>
    <row r="3" spans="2:18" x14ac:dyDescent="0.25">
      <c r="B3" s="58" t="s">
        <v>90</v>
      </c>
      <c r="C3" s="59"/>
      <c r="D3" s="59"/>
      <c r="E3" s="59"/>
      <c r="F3" s="60"/>
    </row>
    <row r="4" spans="2:18" ht="15.75" thickBot="1" x14ac:dyDescent="0.3">
      <c r="B4" s="61" t="s">
        <v>91</v>
      </c>
      <c r="C4" s="62"/>
      <c r="D4" s="62"/>
      <c r="E4" s="62"/>
      <c r="F4" s="63"/>
    </row>
    <row r="5" spans="2:18" x14ac:dyDescent="0.25">
      <c r="I5" s="108">
        <f>'Load Calculation'!N16*12/3</f>
        <v>36.055512754639892</v>
      </c>
      <c r="J5" s="108"/>
      <c r="K5" s="52">
        <f>I5*25</f>
        <v>901.38781886599736</v>
      </c>
    </row>
    <row r="7" spans="2:18" x14ac:dyDescent="0.25">
      <c r="D7" s="2"/>
      <c r="E7" s="3"/>
      <c r="F7" s="3"/>
      <c r="G7" s="4"/>
      <c r="H7" s="4"/>
    </row>
    <row r="9" spans="2:18" x14ac:dyDescent="0.25">
      <c r="D9" s="2"/>
      <c r="E9" s="3"/>
      <c r="F9" s="3"/>
      <c r="G9" s="4"/>
      <c r="H9" s="4"/>
      <c r="N9" s="5">
        <f>Shear_Bar_dia</f>
        <v>10</v>
      </c>
      <c r="O9" s="101">
        <f>S_L_shear</f>
        <v>9.5</v>
      </c>
      <c r="P9" s="101"/>
      <c r="Q9" s="102">
        <f>O9*25</f>
        <v>237.5</v>
      </c>
      <c r="R9" s="103"/>
    </row>
    <row r="11" spans="2:18" x14ac:dyDescent="0.25">
      <c r="D11" s="6">
        <f>Main_Bar_Dia</f>
        <v>12</v>
      </c>
      <c r="E11" s="104">
        <f>S_L_Long</f>
        <v>7.75</v>
      </c>
      <c r="F11" s="104"/>
      <c r="G11" s="105">
        <f>E11*25</f>
        <v>193.75</v>
      </c>
      <c r="H11" s="106"/>
      <c r="N11" s="6">
        <f>Main_Bar_Dia</f>
        <v>12</v>
      </c>
      <c r="O11" s="104">
        <f>S_f_Long</f>
        <v>7.75</v>
      </c>
      <c r="P11" s="104"/>
      <c r="Q11" s="105">
        <f>O11*25</f>
        <v>193.75</v>
      </c>
      <c r="R11" s="106"/>
    </row>
    <row r="12" spans="2:18" x14ac:dyDescent="0.25">
      <c r="G12" s="7"/>
    </row>
    <row r="13" spans="2:18" x14ac:dyDescent="0.25">
      <c r="D13" s="8">
        <f>Shear_Bar_dia</f>
        <v>10</v>
      </c>
      <c r="E13" s="107">
        <f>S_L_shear</f>
        <v>9.5</v>
      </c>
      <c r="F13" s="107"/>
      <c r="G13" s="99">
        <f>E13*25</f>
        <v>237.5</v>
      </c>
      <c r="H13" s="100"/>
      <c r="N13" s="8">
        <f>Shear_Bar_dia</f>
        <v>10</v>
      </c>
      <c r="O13" s="107">
        <f>S_f_Shear</f>
        <v>9.5</v>
      </c>
      <c r="P13" s="107"/>
      <c r="Q13" s="99">
        <f>O13*25</f>
        <v>237.5</v>
      </c>
      <c r="R13" s="100"/>
    </row>
    <row r="15" spans="2:18" x14ac:dyDescent="0.25">
      <c r="M15" s="9" t="s">
        <v>88</v>
      </c>
      <c r="N15" s="10">
        <f>t</f>
        <v>7</v>
      </c>
      <c r="O15" s="11">
        <f>N15*25</f>
        <v>175</v>
      </c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">
    <mergeCell ref="B2:F2"/>
    <mergeCell ref="B3:F3"/>
    <mergeCell ref="B4:F4"/>
    <mergeCell ref="Q13:R13"/>
    <mergeCell ref="O9:P9"/>
    <mergeCell ref="Q9:R9"/>
    <mergeCell ref="O11:P11"/>
    <mergeCell ref="Q11:R11"/>
    <mergeCell ref="E13:F13"/>
    <mergeCell ref="G13:H13"/>
    <mergeCell ref="E11:F11"/>
    <mergeCell ref="G11:H11"/>
    <mergeCell ref="O13:P13"/>
    <mergeCell ref="I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63</vt:i4>
      </vt:variant>
    </vt:vector>
  </HeadingPairs>
  <TitlesOfParts>
    <vt:vector size="69" baseType="lpstr">
      <vt:lpstr>Video &amp; Instruction </vt:lpstr>
      <vt:lpstr>Input Data</vt:lpstr>
      <vt:lpstr>Load Calculation</vt:lpstr>
      <vt:lpstr>SFD &amp; BMD</vt:lpstr>
      <vt:lpstr>Design Calculation</vt:lpstr>
      <vt:lpstr>Detailing</vt:lpstr>
      <vt:lpstr>a</vt:lpstr>
      <vt:lpstr>a.</vt:lpstr>
      <vt:lpstr>af</vt:lpstr>
      <vt:lpstr>As</vt:lpstr>
      <vt:lpstr>As.</vt:lpstr>
      <vt:lpstr>Asl</vt:lpstr>
      <vt:lpstr>Ass</vt:lpstr>
      <vt:lpstr>b</vt:lpstr>
      <vt:lpstr>bf</vt:lpstr>
      <vt:lpstr>bw</vt:lpstr>
      <vt:lpstr>bws</vt:lpstr>
      <vt:lpstr>c.</vt:lpstr>
      <vt:lpstr>CC</vt:lpstr>
      <vt:lpstr>cf</vt:lpstr>
      <vt:lpstr>Cosθ</vt:lpstr>
      <vt:lpstr>DL</vt:lpstr>
      <vt:lpstr>dreq</vt:lpstr>
      <vt:lpstr>Effective_Depth</vt:lpstr>
      <vt:lpstr>Effective_Length_of_Stair</vt:lpstr>
      <vt:lpstr>End_Landing_Length</vt:lpstr>
      <vt:lpstr>fc</vt:lpstr>
      <vt:lpstr>fy</vt:lpstr>
      <vt:lpstr>Horizontal_Length_of_Stair_Flight</vt:lpstr>
      <vt:lpstr>Inclined_Length_of_Stair</vt:lpstr>
      <vt:lpstr>L1.</vt:lpstr>
      <vt:lpstr>L2.</vt:lpstr>
      <vt:lpstr>L3.</vt:lpstr>
      <vt:lpstr>LL</vt:lpstr>
      <vt:lpstr>Main_Bar_Dia</vt:lpstr>
      <vt:lpstr>Mu</vt:lpstr>
      <vt:lpstr>Mu.</vt:lpstr>
      <vt:lpstr>Nos_of_Riser</vt:lpstr>
      <vt:lpstr>Nos_of_Trade</vt:lpstr>
      <vt:lpstr>Riser</vt:lpstr>
      <vt:lpstr>Rv</vt:lpstr>
      <vt:lpstr>S_f_Long</vt:lpstr>
      <vt:lpstr>S_f_Shear</vt:lpstr>
      <vt:lpstr>S_L_Long</vt:lpstr>
      <vt:lpstr>S_L_shear</vt:lpstr>
      <vt:lpstr>S_main_Long</vt:lpstr>
      <vt:lpstr>S_main_Provided</vt:lpstr>
      <vt:lpstr>S_Main_Shear</vt:lpstr>
      <vt:lpstr>S_Shear</vt:lpstr>
      <vt:lpstr>Shear_Bar_dia</vt:lpstr>
      <vt:lpstr>Starting_Landing_Length</vt:lpstr>
      <vt:lpstr>t</vt:lpstr>
      <vt:lpstr>Total_DL</vt:lpstr>
      <vt:lpstr>Trade</vt:lpstr>
      <vt:lpstr>Vertical_height_of_Stair_Flight</vt:lpstr>
      <vt:lpstr>W1.</vt:lpstr>
      <vt:lpstr>W1s</vt:lpstr>
      <vt:lpstr>W2.</vt:lpstr>
      <vt:lpstr>W2s</vt:lpstr>
      <vt:lpstr>W3.</vt:lpstr>
      <vt:lpstr>W3s</vt:lpstr>
      <vt:lpstr>Wfi</vt:lpstr>
      <vt:lpstr>β</vt:lpstr>
      <vt:lpstr>λ</vt:lpstr>
      <vt:lpstr>ρ</vt:lpstr>
      <vt:lpstr>ρmax</vt:lpstr>
      <vt:lpstr>φ</vt:lpstr>
      <vt:lpstr>φm</vt:lpstr>
      <vt:lpstr>φs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2024-11-01T07:45:59Z</dcterms:modified>
</cp:coreProperties>
</file>