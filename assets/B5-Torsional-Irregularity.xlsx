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BUILDING DESIGN PARAMETERS\All Excel file\B. Building Check file\"/>
    </mc:Choice>
  </mc:AlternateContent>
  <bookViews>
    <workbookView xWindow="-120" yWindow="-120" windowWidth="29040" windowHeight="15840" activeTab="1"/>
  </bookViews>
  <sheets>
    <sheet name="Torsional Irregularity" sheetId="7" r:id="rId1"/>
    <sheet name="Torsional Irregularity (2)" sheetId="9" r:id="rId2"/>
    <sheet name="Video &amp; Instruction " sheetId="12" r:id="rId3"/>
    <sheet name="Sheet4" sheetId="11" state="hidden" r:id="rId4"/>
  </sheets>
  <externalReferences>
    <externalReference r:id="rId5"/>
  </externalReferences>
  <definedNames>
    <definedName name="framesystem">[1]Sheet3!$B$39:$B$45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0" i="9" l="1"/>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 i="9" l="1"/>
  <c r="H15" i="7"/>
  <c r="I15" i="7" s="1"/>
  <c r="H14" i="7"/>
  <c r="I14" i="7" s="1"/>
  <c r="H13" i="7"/>
  <c r="I13" i="7" s="1"/>
  <c r="H12" i="7"/>
  <c r="I12" i="7" s="1"/>
  <c r="K12" i="7" s="1"/>
  <c r="J12" i="7" l="1"/>
  <c r="K15" i="7"/>
  <c r="J15" i="7"/>
  <c r="K14" i="7"/>
  <c r="J14" i="7"/>
  <c r="K13" i="7"/>
  <c r="J13" i="7"/>
</calcChain>
</file>

<file path=xl/sharedStrings.xml><?xml version="1.0" encoding="utf-8"?>
<sst xmlns="http://schemas.openxmlformats.org/spreadsheetml/2006/main" count="662" uniqueCount="91">
  <si>
    <t>Lateral Load Case</t>
  </si>
  <si>
    <t>Direction</t>
  </si>
  <si>
    <t>X</t>
  </si>
  <si>
    <t>Y</t>
  </si>
  <si>
    <t>Qx</t>
  </si>
  <si>
    <t>Qy</t>
  </si>
  <si>
    <t xml:space="preserve">Irregular </t>
  </si>
  <si>
    <t>Extreme Irregular</t>
  </si>
  <si>
    <t>Δmax/Δavg</t>
  </si>
  <si>
    <t>Torsion irregularity Check</t>
  </si>
  <si>
    <t>Wx</t>
  </si>
  <si>
    <t>Wy</t>
  </si>
  <si>
    <r>
      <rPr>
        <b/>
        <sz val="14"/>
        <color theme="1"/>
        <rFont val="Calibri"/>
        <family val="2"/>
      </rPr>
      <t>Δ</t>
    </r>
    <r>
      <rPr>
        <b/>
        <sz val="11"/>
        <color theme="1"/>
        <rFont val="Calibri"/>
        <family val="2"/>
      </rPr>
      <t>max</t>
    </r>
  </si>
  <si>
    <r>
      <rPr>
        <b/>
        <sz val="14"/>
        <color theme="1"/>
        <rFont val="Calibri"/>
        <family val="2"/>
      </rPr>
      <t>Δ</t>
    </r>
    <r>
      <rPr>
        <b/>
        <sz val="11"/>
        <color theme="1"/>
        <rFont val="Calibri"/>
        <family val="2"/>
      </rPr>
      <t>min</t>
    </r>
  </si>
  <si>
    <r>
      <rPr>
        <b/>
        <sz val="14"/>
        <color theme="1"/>
        <rFont val="Calibri"/>
        <family val="2"/>
      </rPr>
      <t>Δ</t>
    </r>
    <r>
      <rPr>
        <b/>
        <sz val="11"/>
        <color theme="1"/>
        <rFont val="Calibri"/>
        <family val="2"/>
      </rPr>
      <t>avg</t>
    </r>
  </si>
  <si>
    <r>
      <rPr>
        <b/>
        <sz val="16"/>
        <color rgb="FFFF0000"/>
        <rFont val="Calibri"/>
        <family val="2"/>
        <scheme val="minor"/>
      </rPr>
      <t>Torsion irregularity:</t>
    </r>
    <r>
      <rPr>
        <b/>
        <sz val="16"/>
        <color theme="1"/>
        <rFont val="Calibri"/>
        <family val="2"/>
        <scheme val="minor"/>
      </rPr>
      <t xml:space="preserve"> To be considered for rigid floor diaphragms, when the maximum storey drift as shown in Figure 6.2.27(a), computed including accidental torsion, at one end of the structure is more than 1.2 times the average Δavg=(Δmax+Δmin)/2 of the storey drifts at the two ends of the structure. If Δmax&gt;1.4Δavg then the irregularity is termed as extreme torsional irregularity.</t>
    </r>
  </si>
  <si>
    <t>Support us And stay connected</t>
  </si>
  <si>
    <t>This Channel are Manageing By SM Hedaetullah And N.J. Disha (B.Sc. In Civil Engineering)</t>
  </si>
  <si>
    <t>This file is only for edicational Perpose. Pls don't misuse it.</t>
  </si>
  <si>
    <t>Story</t>
  </si>
  <si>
    <t>Load Case/Combo</t>
  </si>
  <si>
    <t>Item</t>
  </si>
  <si>
    <t>Max Drift</t>
  </si>
  <si>
    <t>Avg Drift</t>
  </si>
  <si>
    <t>Ratio</t>
  </si>
  <si>
    <t>Check</t>
  </si>
  <si>
    <t>Display &gt;&gt;Show Table&gt;&gt;Analysis&gt;&gt;Result&gt;&gt;Displacement&gt;&gt;Diaphragm Max/Avg Drift &gt;&gt; story (Roof to 1F) &amp; Load ( EQ X1 to Y3) copy up to Ratio</t>
  </si>
  <si>
    <t>Diaph D1 X</t>
  </si>
  <si>
    <t>Diaph D1 Y</t>
  </si>
  <si>
    <t>This is the Poperty of qLearnify</t>
  </si>
  <si>
    <t>G6 TR</t>
  </si>
  <si>
    <t>G5 Story14.Roof</t>
  </si>
  <si>
    <t>G4 Story13</t>
  </si>
  <si>
    <t>G3 Story12</t>
  </si>
  <si>
    <t>G2 Story11</t>
  </si>
  <si>
    <t>G1 Story10</t>
  </si>
  <si>
    <t>F9 Story9</t>
  </si>
  <si>
    <t>F8 Story8</t>
  </si>
  <si>
    <t>F7 Story7</t>
  </si>
  <si>
    <t>F6 Story6</t>
  </si>
  <si>
    <t>F5 Story5</t>
  </si>
  <si>
    <t>F4 Story4</t>
  </si>
  <si>
    <t>F3 Story3</t>
  </si>
  <si>
    <t>F2 Story2</t>
  </si>
  <si>
    <t>F1 Story1</t>
  </si>
  <si>
    <t>Output Case</t>
  </si>
  <si>
    <t>Case Type</t>
  </si>
  <si>
    <t>Step Type</t>
  </si>
  <si>
    <t>Step Number</t>
  </si>
  <si>
    <t>Label</t>
  </si>
  <si>
    <t>Max Loc X</t>
  </si>
  <si>
    <t>ft</t>
  </si>
  <si>
    <t>Max Loc Y</t>
  </si>
  <si>
    <t>Max Loc Z</t>
  </si>
  <si>
    <t>Ehx</t>
  </si>
  <si>
    <t>LinStatic</t>
  </si>
  <si>
    <t>Step By Step</t>
  </si>
  <si>
    <t>This are Manageing By Engr. Hedaetullah And N.J. Disha (B.Sc. In Civil Engineering)</t>
  </si>
  <si>
    <t>Step Label</t>
  </si>
  <si>
    <t>Ehy</t>
  </si>
  <si>
    <t>This is the Poperty of qlearnify</t>
  </si>
  <si>
    <t>qLearnify is an educational platform dedicated to the professional development of engineers and architects.</t>
  </si>
  <si>
    <t>Website:</t>
  </si>
  <si>
    <t>https://qlearnify.com/</t>
  </si>
  <si>
    <t>Facebook:</t>
  </si>
  <si>
    <t>https://www.facebook.com/qlearnify</t>
  </si>
  <si>
    <t>Youtube (Bangla):</t>
  </si>
  <si>
    <t>https://www.youtube.com/@qlearnify-bn</t>
  </si>
  <si>
    <t>Youtube (English):</t>
  </si>
  <si>
    <t>https://www.youtube.com/@qlearnify-en</t>
  </si>
  <si>
    <t>WhatsApp:</t>
  </si>
  <si>
    <t>https://wa.me/8801511250108</t>
  </si>
  <si>
    <t>LinkedIn:</t>
  </si>
  <si>
    <t>https://www.linkedin.com/company/qlearnify/</t>
  </si>
  <si>
    <t>Note: This Excel sheet has been created for educational purposes; please validate it according to your own standards before using it for professional work.</t>
  </si>
  <si>
    <t>Bangla:</t>
  </si>
  <si>
    <t>https://youtube.com/playlist?list=PLxle8F-wJI7P43K0GljphED4I5TRXu6Zx&amp;si=el-Lrxm5mB1Vmgcf</t>
  </si>
  <si>
    <t>English:</t>
  </si>
  <si>
    <t>https://youtube.com/playlist?list=PLTscI_CLWNfB_1x6_7zylwLZWo7mKypCq&amp;si=QzFh_rJa61GU0YNW</t>
  </si>
  <si>
    <t>Story7</t>
  </si>
  <si>
    <t>Story6</t>
  </si>
  <si>
    <t>Story5</t>
  </si>
  <si>
    <t>Story4</t>
  </si>
  <si>
    <t>Story3</t>
  </si>
  <si>
    <t>Story2</t>
  </si>
  <si>
    <t>Story1</t>
  </si>
  <si>
    <t>Story911.MR</t>
  </si>
  <si>
    <t>Story910.TR</t>
  </si>
  <si>
    <t>Story9.Roof</t>
  </si>
  <si>
    <t>Story8</t>
  </si>
  <si>
    <t>GF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</si>
</sst>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20" x14ac:knownFonts="1">
    <font>
      <sz val="11"/>
      <color theme="1"/>
      <name val="Calibri"/>
      <family val="2"/>
      <scheme val="minor"/>
    </font>
    <font>
      <sz val="11"/>
      <color theme="1"/>
      <name val="Calibri"/>
      <family val="2"/>
      <scheme val="minor"/>
    </font>
    <font>
      <b/>
      <sz val="11"/>
      <color rgb="FFFF0000"/>
      <name val="Calibri"/>
      <family val="2"/>
      <scheme val="minor"/>
    </font>
    <font>
      <sz val="11"/>
      <color theme="1"/>
      <name val="Calibri"/>
      <family val="2"/>
      <charset val="178"/>
      <scheme val="minor"/>
    </font>
    <font>
      <b/>
      <sz val="11"/>
      <color theme="1"/>
      <name val="Calibri"/>
      <family val="2"/>
      <scheme val="minor"/>
    </font>
    <font>
      <b/>
      <sz val="18"/>
      <color rgb="FFFF0000"/>
      <name val="Calibri"/>
      <family val="2"/>
      <scheme val="minor"/>
    </font>
    <font>
      <b/>
      <sz val="11"/>
      <color theme="1"/>
      <name val="Calibri"/>
      <family val="2"/>
    </font>
    <font>
      <b/>
      <sz val="14"/>
      <color theme="1"/>
      <name val="Calibri"/>
      <family val="2"/>
    </font>
    <font>
      <b/>
      <sz val="16"/>
      <color theme="1"/>
      <name val="Calibri"/>
      <family val="2"/>
      <scheme val="minor"/>
    </font>
    <font>
      <b/>
      <sz val="16"/>
      <color rgb="FFFF0000"/>
      <name val="Calibri"/>
      <family val="2"/>
      <scheme val="minor"/>
    </font>
    <font>
      <sz val="18"/>
      <color theme="1"/>
      <name val="Calibri"/>
      <family val="2"/>
      <scheme val="minor"/>
    </font>
    <font>
      <sz val="26"/>
      <color theme="1"/>
      <name val="Calibri"/>
      <family val="2"/>
      <scheme val="minor"/>
    </font>
    <font>
      <sz val="22"/>
      <color rgb="FF7030A0"/>
      <name val="Calibri"/>
      <family val="2"/>
      <scheme val="minor"/>
    </font>
    <font>
      <b/>
      <sz val="11"/>
      <color theme="0"/>
      <name val="Calibri"/>
      <family val="2"/>
      <scheme val="minor"/>
    </font>
    <font>
      <b/>
      <sz val="12"/>
      <color theme="1"/>
      <name val="Calibri"/>
      <family val="2"/>
      <scheme val="minor"/>
    </font>
    <font>
      <sz val="14"/>
      <color theme="1"/>
      <name val="Calibri"/>
      <family val="2"/>
      <scheme val="minor"/>
    </font>
    <font>
      <sz val="12"/>
      <color theme="1"/>
      <name val="Calibri"/>
      <family val="2"/>
      <scheme val="minor"/>
    </font>
    <font>
      <b/>
      <sz val="14"/>
      <color theme="1"/>
      <name val="Calibri"/>
      <family val="2"/>
      <scheme val="minor"/>
    </font>
    <font>
      <u/>
      <sz val="11"/>
      <color theme="10"/>
      <name val="Calibri"/>
      <family val="2"/>
      <scheme val="minor"/>
    </font>
    <font>
      <sz val="16"/>
      <color theme="1"/>
      <name val="Calibri"/>
      <family val="2"/>
      <scheme val="minor"/>
    </font>
  </fonts>
  <fills count="9">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7" tint="0.59999389629810485"/>
        <bgColor indexed="64"/>
      </patternFill>
    </fill>
    <fill>
      <patternFill patternType="solid">
        <fgColor theme="0"/>
        <bgColor indexed="64"/>
      </patternFill>
    </fill>
    <fill>
      <patternFill patternType="solid">
        <fgColor theme="0" tint="-0.149998474074526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
    <xf numFmtId="0" fontId="0" fillId="0" borderId="0"/>
    <xf numFmtId="0" fontId="3" fillId="0" borderId="0"/>
    <xf numFmtId="0" fontId="1" fillId="0" borderId="0"/>
    <xf numFmtId="0" fontId="18" fillId="0" borderId="0" applyNumberFormat="0" applyFill="0" applyBorder="0" applyAlignment="0" applyProtection="0"/>
  </cellStyleXfs>
  <cellXfs count="42">
    <xf numFmtId="0" fontId="0" fillId="0" borderId="0" xfId="0"/>
    <xf numFmtId="0" fontId="4" fillId="0" borderId="0" xfId="0" applyFont="1" applyAlignment="1">
      <alignment horizontal="center" vertical="center" wrapText="1"/>
    </xf>
    <xf numFmtId="0" fontId="0" fillId="0" borderId="0" xfId="0" applyAlignment="1">
      <alignment vertical="center" wrapText="1"/>
    </xf>
    <xf numFmtId="0" fontId="0" fillId="0" borderId="0" xfId="0" applyAlignment="1" applyProtection="1">
      <alignment vertical="center"/>
      <protection locked="0" hidden="1"/>
    </xf>
    <xf numFmtId="0" fontId="0" fillId="0" borderId="0" xfId="0" applyAlignment="1" applyProtection="1">
      <alignment horizontal="left" vertical="center"/>
      <protection locked="0" hidden="1"/>
    </xf>
    <xf numFmtId="0" fontId="15" fillId="0" borderId="0" xfId="0" applyFont="1" applyAlignment="1" applyProtection="1">
      <alignment horizontal="center" vertical="center"/>
      <protection locked="0" hidden="1"/>
    </xf>
    <xf numFmtId="0" fontId="4" fillId="0" borderId="0" xfId="0" applyFont="1" applyAlignment="1" applyProtection="1">
      <alignment horizontal="center" vertical="center"/>
      <protection locked="0" hidden="1"/>
    </xf>
    <xf numFmtId="0" fontId="14" fillId="8" borderId="1" xfId="0" applyFont="1" applyFill="1" applyBorder="1" applyAlignment="1" applyProtection="1">
      <alignment horizontal="center" vertical="center" wrapText="1"/>
      <protection locked="0" hidden="1"/>
    </xf>
    <xf numFmtId="0" fontId="13" fillId="7" borderId="0" xfId="0" applyFont="1" applyFill="1" applyAlignment="1" applyProtection="1">
      <alignment vertical="center"/>
      <protection locked="0" hidden="1"/>
    </xf>
    <xf numFmtId="0" fontId="16" fillId="0" borderId="0" xfId="0" applyFont="1" applyAlignment="1" applyProtection="1">
      <alignment vertical="center"/>
      <protection locked="0" hidden="1"/>
    </xf>
    <xf numFmtId="0" fontId="0" fillId="0" borderId="1" xfId="0" applyBorder="1" applyAlignment="1" applyProtection="1">
      <alignment vertical="center" wrapText="1"/>
      <protection locked="0" hidden="1"/>
    </xf>
    <xf numFmtId="0" fontId="17" fillId="0" borderId="1" xfId="0" applyFont="1" applyBorder="1" applyAlignment="1" applyProtection="1">
      <alignment horizontal="center" vertical="center"/>
      <protection locked="0" hidden="1"/>
    </xf>
    <xf numFmtId="0" fontId="0" fillId="0" borderId="1" xfId="0" applyBorder="1" applyAlignment="1" applyProtection="1">
      <alignment wrapText="1"/>
      <protection locked="0" hidden="1"/>
    </xf>
    <xf numFmtId="0" fontId="0" fillId="0" borderId="1" xfId="0" applyBorder="1" applyAlignment="1" applyProtection="1">
      <alignment vertical="center"/>
      <protection locked="0" hidden="1"/>
    </xf>
    <xf numFmtId="0" fontId="0" fillId="0" borderId="0" xfId="0" applyProtection="1">
      <protection locked="0" hidden="1"/>
    </xf>
    <xf numFmtId="0" fontId="4" fillId="4" borderId="1" xfId="0" applyFont="1" applyFill="1" applyBorder="1" applyAlignment="1" applyProtection="1">
      <alignment horizontal="center" vertical="center"/>
      <protection locked="0" hidden="1"/>
    </xf>
    <xf numFmtId="0" fontId="6" fillId="4" borderId="1" xfId="0" applyFont="1" applyFill="1" applyBorder="1" applyAlignment="1" applyProtection="1">
      <alignment horizontal="center" vertical="center"/>
      <protection locked="0" hidden="1"/>
    </xf>
    <xf numFmtId="0" fontId="0" fillId="4" borderId="1" xfId="0" applyFill="1" applyBorder="1" applyAlignment="1" applyProtection="1">
      <alignment horizontal="center" vertical="center"/>
      <protection locked="0" hidden="1"/>
    </xf>
    <xf numFmtId="0" fontId="0" fillId="2" borderId="1" xfId="0" applyFill="1" applyBorder="1" applyAlignment="1" applyProtection="1">
      <alignment horizontal="center" vertical="center"/>
      <protection locked="0" hidden="1"/>
    </xf>
    <xf numFmtId="164" fontId="4" fillId="4" borderId="1" xfId="0" applyNumberFormat="1" applyFont="1" applyFill="1" applyBorder="1" applyAlignment="1" applyProtection="1">
      <alignment horizontal="center" vertical="center"/>
      <protection locked="0" hidden="1"/>
    </xf>
    <xf numFmtId="0" fontId="2" fillId="3" borderId="1" xfId="0" applyFont="1" applyFill="1" applyBorder="1" applyAlignment="1" applyProtection="1">
      <alignment horizontal="center" vertical="center"/>
      <protection locked="0" hidden="1"/>
    </xf>
    <xf numFmtId="0" fontId="0" fillId="0" borderId="0" xfId="0" applyProtection="1">
      <protection hidden="1"/>
    </xf>
    <xf numFmtId="0" fontId="14" fillId="0" borderId="0" xfId="0" applyFont="1" applyProtection="1">
      <protection hidden="1"/>
    </xf>
    <xf numFmtId="0" fontId="8" fillId="0" borderId="3" xfId="0" applyFont="1" applyBorder="1" applyAlignment="1" applyProtection="1">
      <alignment horizontal="center" vertical="center" wrapText="1"/>
      <protection locked="0" hidden="1"/>
    </xf>
    <xf numFmtId="0" fontId="8" fillId="0" borderId="4" xfId="0" applyFont="1" applyBorder="1" applyAlignment="1" applyProtection="1">
      <alignment horizontal="center" vertical="center"/>
      <protection locked="0" hidden="1"/>
    </xf>
    <xf numFmtId="0" fontId="8" fillId="0" borderId="5" xfId="0" applyFont="1" applyBorder="1" applyAlignment="1" applyProtection="1">
      <alignment horizontal="center" vertical="center"/>
      <protection locked="0" hidden="1"/>
    </xf>
    <xf numFmtId="0" fontId="8" fillId="0" borderId="6" xfId="0" applyFont="1" applyBorder="1" applyAlignment="1" applyProtection="1">
      <alignment horizontal="center" vertical="center"/>
      <protection locked="0" hidden="1"/>
    </xf>
    <xf numFmtId="0" fontId="8" fillId="0" borderId="0" xfId="0" applyFont="1" applyAlignment="1" applyProtection="1">
      <alignment horizontal="center" vertical="center"/>
      <protection locked="0" hidden="1"/>
    </xf>
    <xf numFmtId="0" fontId="8" fillId="0" borderId="7" xfId="0" applyFont="1" applyBorder="1" applyAlignment="1" applyProtection="1">
      <alignment horizontal="center" vertical="center"/>
      <protection locked="0" hidden="1"/>
    </xf>
    <xf numFmtId="0" fontId="8" fillId="0" borderId="8" xfId="0" applyFont="1" applyBorder="1" applyAlignment="1" applyProtection="1">
      <alignment horizontal="center" vertical="center"/>
      <protection locked="0" hidden="1"/>
    </xf>
    <xf numFmtId="0" fontId="8" fillId="0" borderId="9" xfId="0" applyFont="1" applyBorder="1" applyAlignment="1" applyProtection="1">
      <alignment horizontal="center" vertical="center"/>
      <protection locked="0" hidden="1"/>
    </xf>
    <xf numFmtId="0" fontId="8" fillId="0" borderId="10" xfId="0" applyFont="1" applyBorder="1" applyAlignment="1" applyProtection="1">
      <alignment horizontal="center" vertical="center"/>
      <protection locked="0" hidden="1"/>
    </xf>
    <xf numFmtId="0" fontId="5" fillId="5" borderId="2" xfId="0" applyFont="1" applyFill="1" applyBorder="1" applyAlignment="1" applyProtection="1">
      <alignment horizontal="center"/>
      <protection locked="0" hidden="1"/>
    </xf>
    <xf numFmtId="0" fontId="11" fillId="2" borderId="0" xfId="0" applyFont="1" applyFill="1" applyAlignment="1" applyProtection="1">
      <alignment horizontal="center"/>
      <protection hidden="1"/>
    </xf>
    <xf numFmtId="0" fontId="12" fillId="4" borderId="0" xfId="0" applyFont="1" applyFill="1" applyAlignment="1" applyProtection="1">
      <alignment horizontal="center" wrapText="1"/>
      <protection hidden="1"/>
    </xf>
    <xf numFmtId="0" fontId="10" fillId="6" borderId="0" xfId="0" applyFont="1" applyFill="1" applyAlignment="1" applyProtection="1">
      <alignment horizontal="center"/>
      <protection hidden="1"/>
    </xf>
    <xf numFmtId="0" fontId="0" fillId="6" borderId="0" xfId="0" applyFill="1" applyAlignment="1" applyProtection="1">
      <alignment horizontal="center"/>
      <protection hidden="1"/>
    </xf>
    <xf numFmtId="0" fontId="9" fillId="0" borderId="0" xfId="0" applyFont="1" applyAlignment="1" applyProtection="1">
      <alignment horizontal="center" vertical="center" wrapText="1"/>
      <protection hidden="1"/>
    </xf>
    <xf numFmtId="0" fontId="18" fillId="0" borderId="0" xfId="3" applyAlignment="1" applyProtection="1">
      <alignment horizontal="left"/>
      <protection hidden="1"/>
    </xf>
    <xf numFmtId="0" fontId="0" fillId="0" borderId="0" xfId="0" applyAlignment="1" applyProtection="1">
      <alignment horizontal="right"/>
      <protection hidden="1"/>
    </xf>
    <xf numFmtId="0" fontId="19" fillId="0" borderId="0" xfId="0" applyFont="1" applyAlignment="1" applyProtection="1">
      <alignment horizontal="center" vertical="center" wrapText="1"/>
      <protection hidden="1"/>
    </xf>
    <xf numFmtId="0" fontId="4" fillId="0" borderId="0" xfId="0" applyFont="1" applyAlignment="1">
      <alignment horizontal="center" vertical="center" wrapText="1"/>
    </xf>
  </cellXfs>
  <cellStyles count="4">
    <cellStyle name="Hyperlink" xfId="3" builtinId="8"/>
    <cellStyle name="Normal" xfId="0" builtinId="0"/>
    <cellStyle name="Normal 2" xfId="1"/>
    <cellStyle name="Normal 2 2" xfId="2"/>
  </cellStyles>
  <dxfs count="10">
    <dxf>
      <font>
        <b/>
        <i val="0"/>
      </font>
    </dxf>
    <dxf>
      <fill>
        <patternFill>
          <bgColor rgb="FF00E266"/>
        </patternFill>
      </fill>
    </dxf>
    <dxf>
      <fill>
        <patternFill>
          <bgColor rgb="FFFFFF99"/>
        </patternFill>
      </fill>
    </dxf>
    <dxf>
      <font>
        <condense val="0"/>
        <extend val="0"/>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editAs="oneCell">
    <xdr:from>
      <xdr:col>6</xdr:col>
      <xdr:colOff>2059780</xdr:colOff>
      <xdr:row>7</xdr:row>
      <xdr:rowOff>392906</xdr:rowOff>
    </xdr:from>
    <xdr:to>
      <xdr:col>15</xdr:col>
      <xdr:colOff>1013552</xdr:colOff>
      <xdr:row>24</xdr:row>
      <xdr:rowOff>93489</xdr:rowOff>
    </xdr:to>
    <xdr:pic>
      <xdr:nvPicPr>
        <xdr:cNvPr id="3" name="Picture 2"/>
        <xdr:cNvPicPr>
          <a:picLocks noChangeAspect="1"/>
        </xdr:cNvPicPr>
      </xdr:nvPicPr>
      <xdr:blipFill>
        <a:blip xmlns:r="http://schemas.openxmlformats.org/officeDocument/2006/relationships" r:embed="rId1"/>
        <a:stretch>
          <a:fillRect/>
        </a:stretch>
      </xdr:blipFill>
      <xdr:spPr>
        <a:xfrm>
          <a:off x="8572499" y="2797969"/>
          <a:ext cx="10907647" cy="4439270"/>
        </a:xfrm>
        <a:prstGeom prst="rect">
          <a:avLst/>
        </a:prstGeom>
      </xdr:spPr>
    </xdr:pic>
    <xdr:clientData/>
  </xdr:twoCellAnchor>
  <xdr:twoCellAnchor editAs="oneCell">
    <xdr:from>
      <xdr:col>6</xdr:col>
      <xdr:colOff>2071688</xdr:colOff>
      <xdr:row>24</xdr:row>
      <xdr:rowOff>71437</xdr:rowOff>
    </xdr:from>
    <xdr:to>
      <xdr:col>13</xdr:col>
      <xdr:colOff>482134</xdr:colOff>
      <xdr:row>47</xdr:row>
      <xdr:rowOff>169884</xdr:rowOff>
    </xdr:to>
    <xdr:pic>
      <xdr:nvPicPr>
        <xdr:cNvPr id="4" name="Picture 3"/>
        <xdr:cNvPicPr>
          <a:picLocks noChangeAspect="1"/>
        </xdr:cNvPicPr>
      </xdr:nvPicPr>
      <xdr:blipFill>
        <a:blip xmlns:r="http://schemas.openxmlformats.org/officeDocument/2006/relationships" r:embed="rId2"/>
        <a:stretch>
          <a:fillRect/>
        </a:stretch>
      </xdr:blipFill>
      <xdr:spPr>
        <a:xfrm>
          <a:off x="8584407" y="7215187"/>
          <a:ext cx="8030696" cy="58491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190501</xdr:colOff>
      <xdr:row>0</xdr:row>
      <xdr:rowOff>19050</xdr:rowOff>
    </xdr:from>
    <xdr:to>
      <xdr:col>7</xdr:col>
      <xdr:colOff>400051</xdr:colOff>
      <xdr:row>12</xdr:row>
      <xdr:rowOff>157824</xdr:rowOff>
    </xdr:to>
    <xdr:pic>
      <xdr:nvPicPr>
        <xdr:cNvPr id="2" name="Picture 1">
          <a:extLst>
            <a:ext uri="{FF2B5EF4-FFF2-40B4-BE49-F238E27FC236}">
              <a16:creationId xmlns:a16="http://schemas.microsoft.com/office/drawing/2014/main" id="{7FEB1828-4561-4757-B38A-69F1A054523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19301" y="19050"/>
          <a:ext cx="2647950" cy="2424774"/>
        </a:xfrm>
        <a:prstGeom prst="rect">
          <a:avLst/>
        </a:prstGeom>
      </xdr:spPr>
    </xdr:pic>
    <xdr:clientData/>
  </xdr:twoCellAnchor>
  <xdr:twoCellAnchor>
    <xdr:from>
      <xdr:col>3</xdr:col>
      <xdr:colOff>200025</xdr:colOff>
      <xdr:row>29</xdr:row>
      <xdr:rowOff>85725</xdr:rowOff>
    </xdr:from>
    <xdr:to>
      <xdr:col>6</xdr:col>
      <xdr:colOff>495300</xdr:colOff>
      <xdr:row>31</xdr:row>
      <xdr:rowOff>171450</xdr:rowOff>
    </xdr:to>
    <xdr:sp macro="" textlink="">
      <xdr:nvSpPr>
        <xdr:cNvPr id="3" name="Flowchart: Alternate Process 2">
          <a:extLst>
            <a:ext uri="{FF2B5EF4-FFF2-40B4-BE49-F238E27FC236}">
              <a16:creationId xmlns:a16="http://schemas.microsoft.com/office/drawing/2014/main" id="{4B6BFDDA-EC0F-4B8A-8E80-E9BD16A01F04}"/>
            </a:ext>
          </a:extLst>
        </xdr:cNvPr>
        <xdr:cNvSpPr/>
      </xdr:nvSpPr>
      <xdr:spPr>
        <a:xfrm>
          <a:off x="2028825" y="5610225"/>
          <a:ext cx="2124075" cy="466725"/>
        </a:xfrm>
        <a:prstGeom prst="flowChartAlternateProcess">
          <a:avLst/>
        </a:prstGeom>
        <a:solidFill>
          <a:srgbClr val="FF00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kern="1200"/>
            <a:t>Video</a:t>
          </a:r>
          <a:r>
            <a:rPr lang="en-US" sz="2400" b="1" kern="1200" baseline="0"/>
            <a:t> Tutorial</a:t>
          </a:r>
          <a:endParaRPr lang="en-US" sz="2400" b="1" kern="12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QLearnify\All%20Excel%20file\A.%20Wind%20and%20Earthquake%20load\A1%20Earth%20Quake%20Analysis%20Excel%20As%20per%20BNBC-2020,%20ASCE%207-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Q Analysis"/>
      <sheetName val="Video &amp; Instruction "/>
      <sheetName val="Sheet2"/>
      <sheetName val="Sheet3"/>
    </sheetNames>
    <sheetDataSet>
      <sheetData sheetId="0"/>
      <sheetData sheetId="1"/>
      <sheetData sheetId="2"/>
      <sheetData sheetId="3">
        <row r="39">
          <cell r="B39" t="str">
            <v>BEARING_WALL_SYSTEMS_no_frame</v>
          </cell>
        </row>
        <row r="40">
          <cell r="B40" t="str">
            <v>BUILDING_FRAME_SYSTEMS_with_bracing_or_shear_wall</v>
          </cell>
        </row>
        <row r="41">
          <cell r="B41" t="str">
            <v>MOMENT_RESISTING_FRAME_SYSTEMS_no_shear_wall</v>
          </cell>
        </row>
        <row r="42">
          <cell r="B42" t="str">
            <v>DUAL_SYSTEMS_SPECIAL_MOMENT_FRAMES</v>
          </cell>
        </row>
        <row r="43">
          <cell r="B43" t="str">
            <v>DUAL_SYSTEMS_INTERMEDIATE_MOMENT_FRAMES</v>
          </cell>
        </row>
        <row r="44">
          <cell r="B44" t="str">
            <v>DUAL_SHEAR_WALL_FRAME_SYSTEM</v>
          </cell>
        </row>
        <row r="45">
          <cell r="B45" t="str">
            <v xml:space="preserve">STEEL_SYSTEMS_NOT_SPECIFICALLY_DETAILED </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s://www.youtube.com/@qlearnify-bn" TargetMode="External"/><Relationship Id="rId7" Type="http://schemas.openxmlformats.org/officeDocument/2006/relationships/hyperlink" Target="https://youtube.com/playlist?list=PLxle8F-wJI7P43K0GljphED4I5TRXu6Zx&amp;si=el-Lrxm5mB1Vmgcf" TargetMode="External"/><Relationship Id="rId2" Type="http://schemas.openxmlformats.org/officeDocument/2006/relationships/hyperlink" Target="https://www.facebook.com/qlearnify" TargetMode="External"/><Relationship Id="rId1" Type="http://schemas.openxmlformats.org/officeDocument/2006/relationships/hyperlink" Target="https://qlearnify.com/" TargetMode="External"/><Relationship Id="rId6" Type="http://schemas.openxmlformats.org/officeDocument/2006/relationships/hyperlink" Target="https://youtube.com/playlist?list=PLTscI_CLWNfB_1x6_7zylwLZWo7mKypCq&amp;si=QzFh_rJa61GU0YNW" TargetMode="External"/><Relationship Id="rId5" Type="http://schemas.openxmlformats.org/officeDocument/2006/relationships/hyperlink" Target="https://www.linkedin.com/company/qlearnify/" TargetMode="External"/><Relationship Id="rId4" Type="http://schemas.openxmlformats.org/officeDocument/2006/relationships/hyperlink" Target="https://wa.me/8801511250108" TargetMode="Externa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B1:K15"/>
  <sheetViews>
    <sheetView zoomScale="140" zoomScaleNormal="140" workbookViewId="0">
      <selection activeCell="D6" sqref="D6:K9"/>
    </sheetView>
  </sheetViews>
  <sheetFormatPr defaultRowHeight="15" x14ac:dyDescent="0.25"/>
  <cols>
    <col min="1" max="3" width="9.140625" style="14"/>
    <col min="4" max="4" width="16.28515625" style="14" bestFit="1" customWidth="1"/>
    <col min="5" max="8" width="9.140625" style="14"/>
    <col min="9" max="9" width="10.85546875" style="14" bestFit="1" customWidth="1"/>
    <col min="10" max="10" width="9" style="14" bestFit="1" customWidth="1"/>
    <col min="11" max="11" width="16.5703125" style="14" bestFit="1" customWidth="1"/>
    <col min="12" max="16384" width="9.140625" style="14"/>
  </cols>
  <sheetData>
    <row r="1" spans="2:11" ht="33.75" x14ac:dyDescent="0.5">
      <c r="B1" s="33" t="s">
        <v>60</v>
      </c>
      <c r="C1" s="33"/>
      <c r="D1" s="33"/>
      <c r="E1" s="33"/>
      <c r="F1" s="33"/>
      <c r="G1" s="33"/>
      <c r="H1" s="33"/>
      <c r="I1" s="33"/>
      <c r="J1" s="33"/>
      <c r="K1" s="33"/>
    </row>
    <row r="2" spans="2:11" ht="56.25" customHeight="1" x14ac:dyDescent="0.45">
      <c r="B2" s="34" t="s">
        <v>17</v>
      </c>
      <c r="C2" s="34"/>
      <c r="D2" s="34"/>
      <c r="E2" s="34"/>
      <c r="F2" s="34"/>
      <c r="G2" s="34"/>
      <c r="H2" s="34"/>
      <c r="I2" s="34"/>
      <c r="J2" s="34"/>
      <c r="K2" s="34"/>
    </row>
    <row r="3" spans="2:11" ht="23.25" x14ac:dyDescent="0.35">
      <c r="B3" s="35" t="s">
        <v>16</v>
      </c>
      <c r="C3" s="35"/>
      <c r="D3" s="35"/>
      <c r="E3" s="35"/>
      <c r="F3" s="35"/>
      <c r="G3" s="35"/>
      <c r="H3" s="35"/>
      <c r="I3" s="35"/>
      <c r="J3" s="35"/>
      <c r="K3" s="35"/>
    </row>
    <row r="4" spans="2:11" x14ac:dyDescent="0.25">
      <c r="B4" s="36" t="s">
        <v>18</v>
      </c>
      <c r="C4" s="36"/>
      <c r="D4" s="36"/>
      <c r="E4" s="36"/>
      <c r="F4" s="36"/>
      <c r="G4" s="36"/>
      <c r="H4" s="36"/>
      <c r="I4" s="36"/>
      <c r="J4" s="36"/>
      <c r="K4" s="36"/>
    </row>
    <row r="5" spans="2:11" ht="15.75" thickBot="1" x14ac:dyDescent="0.3"/>
    <row r="6" spans="2:11" ht="33" customHeight="1" x14ac:dyDescent="0.25">
      <c r="D6" s="23" t="s">
        <v>15</v>
      </c>
      <c r="E6" s="24"/>
      <c r="F6" s="24"/>
      <c r="G6" s="24"/>
      <c r="H6" s="24"/>
      <c r="I6" s="24"/>
      <c r="J6" s="24"/>
      <c r="K6" s="25"/>
    </row>
    <row r="7" spans="2:11" x14ac:dyDescent="0.25">
      <c r="D7" s="26"/>
      <c r="E7" s="27"/>
      <c r="F7" s="27"/>
      <c r="G7" s="27"/>
      <c r="H7" s="27"/>
      <c r="I7" s="27"/>
      <c r="J7" s="27"/>
      <c r="K7" s="28"/>
    </row>
    <row r="8" spans="2:11" x14ac:dyDescent="0.25">
      <c r="D8" s="26"/>
      <c r="E8" s="27"/>
      <c r="F8" s="27"/>
      <c r="G8" s="27"/>
      <c r="H8" s="27"/>
      <c r="I8" s="27"/>
      <c r="J8" s="27"/>
      <c r="K8" s="28"/>
    </row>
    <row r="9" spans="2:11" ht="71.25" customHeight="1" thickBot="1" x14ac:dyDescent="0.3">
      <c r="D9" s="29"/>
      <c r="E9" s="30"/>
      <c r="F9" s="30"/>
      <c r="G9" s="30"/>
      <c r="H9" s="30"/>
      <c r="I9" s="30"/>
      <c r="J9" s="30"/>
      <c r="K9" s="31"/>
    </row>
    <row r="10" spans="2:11" ht="23.25" x14ac:dyDescent="0.35">
      <c r="D10" s="32" t="s">
        <v>9</v>
      </c>
      <c r="E10" s="32"/>
      <c r="F10" s="32"/>
      <c r="G10" s="32"/>
      <c r="H10" s="32"/>
      <c r="I10" s="32"/>
      <c r="J10" s="32"/>
      <c r="K10" s="32"/>
    </row>
    <row r="11" spans="2:11" ht="18.75" x14ac:dyDescent="0.25">
      <c r="D11" s="15" t="s">
        <v>0</v>
      </c>
      <c r="E11" s="15" t="s">
        <v>1</v>
      </c>
      <c r="F11" s="16" t="s">
        <v>12</v>
      </c>
      <c r="G11" s="16" t="s">
        <v>13</v>
      </c>
      <c r="H11" s="16" t="s">
        <v>14</v>
      </c>
      <c r="I11" s="16" t="s">
        <v>8</v>
      </c>
      <c r="J11" s="16" t="s">
        <v>6</v>
      </c>
      <c r="K11" s="16" t="s">
        <v>7</v>
      </c>
    </row>
    <row r="12" spans="2:11" x14ac:dyDescent="0.25">
      <c r="D12" s="17" t="s">
        <v>4</v>
      </c>
      <c r="E12" s="15" t="s">
        <v>2</v>
      </c>
      <c r="F12" s="18">
        <v>3.5</v>
      </c>
      <c r="G12" s="18">
        <v>2.2429999999999999</v>
      </c>
      <c r="H12" s="15">
        <f>IF(F12="","",((F12+G12)/2))</f>
        <v>2.8715000000000002</v>
      </c>
      <c r="I12" s="19">
        <f>IF(F12="","",(F12/H12))</f>
        <v>1.2188751523593939</v>
      </c>
      <c r="J12" s="20" t="str">
        <f>IF(F12="","",IF(I12&gt;1.2,"Irregular","Regular"))</f>
        <v>Irregular</v>
      </c>
      <c r="K12" s="20" t="str">
        <f>IF(F12="","",IF(I12&gt;1.4,"Extreme Irregular",IF(AND(I12&lt;=1.4,I12&gt;1.2),"Irregular","Regular")))</f>
        <v>Irregular</v>
      </c>
    </row>
    <row r="13" spans="2:11" x14ac:dyDescent="0.25">
      <c r="D13" s="17" t="s">
        <v>5</v>
      </c>
      <c r="E13" s="15" t="s">
        <v>3</v>
      </c>
      <c r="F13" s="18">
        <v>0.84399999999999997</v>
      </c>
      <c r="G13" s="18">
        <v>0.58699999999999997</v>
      </c>
      <c r="H13" s="15">
        <f>IF(F13="","",((F13+G13)/2))</f>
        <v>0.71550000000000002</v>
      </c>
      <c r="I13" s="19">
        <f>IF(F13="","",(F13/H13))</f>
        <v>1.1795946890286513</v>
      </c>
      <c r="J13" s="20" t="str">
        <f>IF(F13="","",IF(I13&gt;1.2,"Irregular","Regular"))</f>
        <v>Regular</v>
      </c>
      <c r="K13" s="20" t="str">
        <f>IF(F13="","",IF(I13&gt;1.4,"Extreme Irregular",IF(AND(I13&lt;=1.4,I13&gt;1.2),"Irregular","Regular")))</f>
        <v>Regular</v>
      </c>
    </row>
    <row r="14" spans="2:11" x14ac:dyDescent="0.25">
      <c r="D14" s="17" t="s">
        <v>10</v>
      </c>
      <c r="E14" s="15" t="s">
        <v>2</v>
      </c>
      <c r="F14" s="18">
        <v>2.04</v>
      </c>
      <c r="G14" s="18">
        <v>1.66</v>
      </c>
      <c r="H14" s="15">
        <f>IF(F14="","",((F14+G14)/2))</f>
        <v>1.85</v>
      </c>
      <c r="I14" s="19">
        <f>IF(F14="","",(F14/H14))</f>
        <v>1.1027027027027028</v>
      </c>
      <c r="J14" s="20" t="str">
        <f>IF(F14="","",IF(I14&gt;1.2,"Irregular","Regular"))</f>
        <v>Regular</v>
      </c>
      <c r="K14" s="20" t="str">
        <f>IF(F14="","",IF(I14&gt;1.4,"Extreme Irregular",IF(AND(I14&lt;=1.4,I14&gt;1.2),"Irregular","Regular")))</f>
        <v>Regular</v>
      </c>
    </row>
    <row r="15" spans="2:11" x14ac:dyDescent="0.25">
      <c r="D15" s="17" t="s">
        <v>11</v>
      </c>
      <c r="E15" s="15" t="s">
        <v>3</v>
      </c>
      <c r="F15" s="18">
        <v>0.62</v>
      </c>
      <c r="G15" s="18">
        <v>0.62</v>
      </c>
      <c r="H15" s="15">
        <f>IF(F15="","",((F15+G15)/2))</f>
        <v>0.62</v>
      </c>
      <c r="I15" s="19">
        <f>IF(F15="","",(F15/H15))</f>
        <v>1</v>
      </c>
      <c r="J15" s="20" t="str">
        <f>IF(F15="","",IF(I15&gt;1.2,"Irregular","Regular"))</f>
        <v>Regular</v>
      </c>
      <c r="K15" s="20" t="str">
        <f>IF(F15="","",IF(I15&gt;1.4,"Extreme Irregular",IF(AND(I15&lt;=1.4,I15&gt;1.2),"Irregular","Regular")))</f>
        <v>Regular</v>
      </c>
    </row>
  </sheetData>
  <sheetProtection formatCells="0" formatColumns="0" formatRows="0" insertColumns="0" insertRows="0" insertHyperlinks="0" deleteColumns="0" deleteRows="0" selectLockedCells="1" sort="0" autoFilter="0" pivotTables="0"/>
  <mergeCells count="6">
    <mergeCell ref="D6:K9"/>
    <mergeCell ref="D10:K10"/>
    <mergeCell ref="B1:K1"/>
    <mergeCell ref="B2:K2"/>
    <mergeCell ref="B3:K3"/>
    <mergeCell ref="B4:K4"/>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98"/>
  <sheetViews>
    <sheetView tabSelected="1" topLeftCell="A58" zoomScale="80" zoomScaleNormal="80" workbookViewId="0">
      <selection activeCell="G85" sqref="G85"/>
    </sheetView>
  </sheetViews>
  <sheetFormatPr defaultColWidth="17.42578125" defaultRowHeight="20.100000000000001" customHeight="1" x14ac:dyDescent="0.25"/>
  <cols>
    <col min="1" max="1" width="17" style="3" customWidth="1"/>
    <col min="2" max="2" width="12" style="3" customWidth="1"/>
    <col min="3" max="3" width="14.42578125" style="4" customWidth="1"/>
    <col min="4" max="4" width="14.5703125" style="3" customWidth="1"/>
    <col min="5" max="5" width="15.85546875" style="3" customWidth="1"/>
    <col min="6" max="6" width="23.7109375" style="5" bestFit="1" customWidth="1"/>
    <col min="7" max="7" width="38.7109375" style="6" customWidth="1"/>
    <col min="8" max="8" width="18.7109375" style="3" customWidth="1"/>
    <col min="9" max="9" width="16.85546875" style="3" customWidth="1"/>
    <col min="10" max="10" width="17.42578125" style="3" customWidth="1"/>
    <col min="11" max="16384" width="17.42578125" style="3"/>
  </cols>
  <sheetData>
    <row r="3" spans="1:10" ht="31.5" customHeight="1" x14ac:dyDescent="0.5">
      <c r="A3" s="33" t="s">
        <v>29</v>
      </c>
      <c r="B3" s="33"/>
      <c r="C3" s="33"/>
      <c r="D3" s="33"/>
      <c r="E3" s="33"/>
      <c r="F3" s="33"/>
      <c r="G3" s="33"/>
      <c r="H3" s="33"/>
      <c r="I3" s="33"/>
      <c r="J3" s="33"/>
    </row>
    <row r="4" spans="1:10" ht="28.5" x14ac:dyDescent="0.45">
      <c r="A4" s="34" t="s">
        <v>57</v>
      </c>
      <c r="B4" s="34"/>
      <c r="C4" s="34"/>
      <c r="D4" s="34"/>
      <c r="E4" s="34"/>
      <c r="F4" s="34"/>
      <c r="G4" s="34"/>
      <c r="H4" s="34"/>
      <c r="I4" s="34"/>
      <c r="J4" s="34"/>
    </row>
    <row r="5" spans="1:10" ht="20.100000000000001" customHeight="1" x14ac:dyDescent="0.35">
      <c r="A5" s="35" t="s">
        <v>16</v>
      </c>
      <c r="B5" s="35"/>
      <c r="C5" s="35"/>
      <c r="D5" s="35"/>
      <c r="E5" s="35"/>
      <c r="F5" s="35"/>
      <c r="G5" s="35"/>
      <c r="H5" s="35"/>
      <c r="I5" s="35"/>
      <c r="J5" s="35"/>
    </row>
    <row r="6" spans="1:10" ht="26.25" customHeight="1" x14ac:dyDescent="0.25">
      <c r="A6" s="36" t="s">
        <v>18</v>
      </c>
      <c r="B6" s="36"/>
      <c r="C6" s="36"/>
      <c r="D6" s="36"/>
      <c r="E6" s="36"/>
      <c r="F6" s="36"/>
      <c r="G6" s="36"/>
      <c r="H6" s="36"/>
      <c r="I6" s="36"/>
      <c r="J6" s="36"/>
    </row>
    <row r="7" spans="1:10" ht="44.25" customHeight="1" x14ac:dyDescent="0.25"/>
    <row r="8" spans="1:10" s="9" customFormat="1" ht="58.5" customHeight="1" x14ac:dyDescent="0.25">
      <c r="A8" s="7" t="s">
        <v>19</v>
      </c>
      <c r="B8" s="7" t="s">
        <v>20</v>
      </c>
      <c r="C8" s="7" t="s">
        <v>22</v>
      </c>
      <c r="D8" s="7" t="s">
        <v>23</v>
      </c>
      <c r="E8" s="7" t="s">
        <v>24</v>
      </c>
      <c r="F8" s="7" t="s">
        <v>25</v>
      </c>
      <c r="G8" s="8" t="s">
        <v>26</v>
      </c>
    </row>
    <row r="9" spans="1:10" ht="20.100000000000001" customHeight="1" x14ac:dyDescent="0.25">
      <c r="A9" s="10" t="s">
        <v>86</v>
      </c>
      <c r="B9" s="10" t="s">
        <v>54</v>
      </c>
      <c r="C9" s="10">
        <v>8.5899999999999995E-4</v>
      </c>
      <c r="D9" s="10">
        <v>8.5400000000000005E-4</v>
      </c>
      <c r="E9" s="10">
        <v>1.006</v>
      </c>
      <c r="F9" s="11" t="str">
        <f>IF(E9&lt;1.2,"Regular",IF(OR(E9=1.2,E9&lt;1.4),"Irregular","Extremely Irregular"))</f>
        <v>Regular</v>
      </c>
      <c r="G9" s="3"/>
    </row>
    <row r="10" spans="1:10" ht="20.100000000000001" customHeight="1" x14ac:dyDescent="0.25">
      <c r="A10" s="10" t="s">
        <v>86</v>
      </c>
      <c r="B10" s="10" t="s">
        <v>54</v>
      </c>
      <c r="C10" s="10">
        <v>8.7900000000000001E-4</v>
      </c>
      <c r="D10" s="10">
        <v>8.6899999999999998E-4</v>
      </c>
      <c r="E10" s="10">
        <v>1.012</v>
      </c>
      <c r="F10" s="11" t="str">
        <f t="shared" ref="F10:F73" si="0">IF(E10&lt;1.2,"Regular",IF(OR(E10=1.2,E10&lt;1.4),"Irregular","Extremely Irregular"))</f>
        <v>Regular</v>
      </c>
      <c r="G10" s="3"/>
    </row>
    <row r="11" spans="1:10" ht="20.100000000000001" customHeight="1" x14ac:dyDescent="0.25">
      <c r="A11" s="10" t="s">
        <v>86</v>
      </c>
      <c r="B11" s="10" t="s">
        <v>54</v>
      </c>
      <c r="C11" s="10">
        <v>8.4000000000000003E-4</v>
      </c>
      <c r="D11" s="10">
        <v>8.3900000000000001E-4</v>
      </c>
      <c r="E11" s="10">
        <v>1.0009999999999999</v>
      </c>
      <c r="F11" s="11" t="str">
        <f t="shared" si="0"/>
        <v>Regular</v>
      </c>
      <c r="G11" s="3"/>
    </row>
    <row r="12" spans="1:10" ht="20.100000000000001" customHeight="1" x14ac:dyDescent="0.25">
      <c r="A12" s="10" t="s">
        <v>86</v>
      </c>
      <c r="B12" s="10" t="s">
        <v>59</v>
      </c>
      <c r="C12" s="10">
        <v>9.0399999999999996E-4</v>
      </c>
      <c r="D12" s="10">
        <v>9.01E-4</v>
      </c>
      <c r="E12" s="10">
        <v>1.004</v>
      </c>
      <c r="F12" s="11" t="str">
        <f t="shared" si="0"/>
        <v>Regular</v>
      </c>
      <c r="G12" s="3"/>
    </row>
    <row r="13" spans="1:10" ht="20.100000000000001" customHeight="1" x14ac:dyDescent="0.25">
      <c r="A13" s="10" t="s">
        <v>86</v>
      </c>
      <c r="B13" s="10" t="s">
        <v>59</v>
      </c>
      <c r="C13" s="10">
        <v>9.2000000000000003E-4</v>
      </c>
      <c r="D13" s="10">
        <v>9.1E-4</v>
      </c>
      <c r="E13" s="10">
        <v>1.0109999999999999</v>
      </c>
      <c r="F13" s="11" t="str">
        <f t="shared" si="0"/>
        <v>Regular</v>
      </c>
      <c r="G13" s="3"/>
    </row>
    <row r="14" spans="1:10" ht="20.100000000000001" customHeight="1" x14ac:dyDescent="0.25">
      <c r="A14" s="10" t="s">
        <v>86</v>
      </c>
      <c r="B14" s="10" t="s">
        <v>59</v>
      </c>
      <c r="C14" s="10">
        <v>9.0899999999999998E-4</v>
      </c>
      <c r="D14" s="10">
        <v>8.92E-4</v>
      </c>
      <c r="E14" s="10">
        <v>1.0189999999999999</v>
      </c>
      <c r="F14" s="11" t="str">
        <f t="shared" si="0"/>
        <v>Regular</v>
      </c>
      <c r="G14" s="3"/>
    </row>
    <row r="15" spans="1:10" ht="20.100000000000001" customHeight="1" x14ac:dyDescent="0.25">
      <c r="A15" s="10" t="s">
        <v>87</v>
      </c>
      <c r="B15" s="10" t="s">
        <v>54</v>
      </c>
      <c r="C15" s="10">
        <v>8.7299999999999997E-4</v>
      </c>
      <c r="D15" s="10">
        <v>8.61E-4</v>
      </c>
      <c r="E15" s="10">
        <v>1.014</v>
      </c>
      <c r="F15" s="11" t="str">
        <f t="shared" si="0"/>
        <v>Regular</v>
      </c>
      <c r="G15" s="3"/>
    </row>
    <row r="16" spans="1:10" ht="20.100000000000001" customHeight="1" x14ac:dyDescent="0.25">
      <c r="A16" s="12" t="s">
        <v>87</v>
      </c>
      <c r="B16" s="12" t="s">
        <v>54</v>
      </c>
      <c r="C16" s="12">
        <v>9.0700000000000004E-4</v>
      </c>
      <c r="D16" s="12">
        <v>8.8199999999999997E-4</v>
      </c>
      <c r="E16" s="10">
        <v>1.0289999999999999</v>
      </c>
      <c r="F16" s="11" t="str">
        <f t="shared" si="0"/>
        <v>Regular</v>
      </c>
      <c r="G16" s="3"/>
    </row>
    <row r="17" spans="1:7" ht="20.100000000000001" customHeight="1" x14ac:dyDescent="0.25">
      <c r="A17" s="12" t="s">
        <v>87</v>
      </c>
      <c r="B17" s="12" t="s">
        <v>54</v>
      </c>
      <c r="C17" s="12">
        <v>8.4199999999999998E-4</v>
      </c>
      <c r="D17" s="12">
        <v>8.4000000000000003E-4</v>
      </c>
      <c r="E17" s="10">
        <v>1.0009999999999999</v>
      </c>
      <c r="F17" s="11" t="str">
        <f t="shared" si="0"/>
        <v>Regular</v>
      </c>
      <c r="G17" s="3"/>
    </row>
    <row r="18" spans="1:7" ht="20.100000000000001" customHeight="1" x14ac:dyDescent="0.25">
      <c r="A18" s="12" t="s">
        <v>87</v>
      </c>
      <c r="B18" s="12" t="s">
        <v>59</v>
      </c>
      <c r="C18" s="12">
        <v>9.0700000000000004E-4</v>
      </c>
      <c r="D18" s="12">
        <v>9.0300000000000005E-4</v>
      </c>
      <c r="E18" s="10">
        <v>1.0049999999999999</v>
      </c>
      <c r="F18" s="11" t="str">
        <f t="shared" si="0"/>
        <v>Regular</v>
      </c>
      <c r="G18" s="3"/>
    </row>
    <row r="19" spans="1:7" ht="20.100000000000001" customHeight="1" x14ac:dyDescent="0.25">
      <c r="A19" s="12" t="s">
        <v>87</v>
      </c>
      <c r="B19" s="12" t="s">
        <v>59</v>
      </c>
      <c r="C19" s="12">
        <v>9.2500000000000004E-4</v>
      </c>
      <c r="D19" s="12">
        <v>9.1200000000000005E-4</v>
      </c>
      <c r="E19" s="10">
        <v>1.014</v>
      </c>
      <c r="F19" s="11" t="str">
        <f t="shared" si="0"/>
        <v>Regular</v>
      </c>
      <c r="G19" s="3"/>
    </row>
    <row r="20" spans="1:7" ht="20.100000000000001" customHeight="1" x14ac:dyDescent="0.25">
      <c r="A20" s="12" t="s">
        <v>87</v>
      </c>
      <c r="B20" s="12" t="s">
        <v>59</v>
      </c>
      <c r="C20" s="12">
        <v>9.1600000000000004E-4</v>
      </c>
      <c r="D20" s="12">
        <v>8.9400000000000005E-4</v>
      </c>
      <c r="E20" s="10">
        <v>1.024</v>
      </c>
      <c r="F20" s="11" t="str">
        <f t="shared" si="0"/>
        <v>Regular</v>
      </c>
      <c r="G20" s="3"/>
    </row>
    <row r="21" spans="1:7" ht="20.100000000000001" customHeight="1" x14ac:dyDescent="0.25">
      <c r="A21" s="12" t="s">
        <v>88</v>
      </c>
      <c r="B21" s="12" t="s">
        <v>54</v>
      </c>
      <c r="C21" s="12">
        <v>9.1500000000000001E-4</v>
      </c>
      <c r="D21" s="12">
        <v>8.5599999999999999E-4</v>
      </c>
      <c r="E21" s="10">
        <v>1.069</v>
      </c>
      <c r="F21" s="11" t="str">
        <f t="shared" si="0"/>
        <v>Regular</v>
      </c>
      <c r="G21" s="3"/>
    </row>
    <row r="22" spans="1:7" ht="20.100000000000001" customHeight="1" x14ac:dyDescent="0.25">
      <c r="A22" s="12" t="s">
        <v>88</v>
      </c>
      <c r="B22" s="12" t="s">
        <v>54</v>
      </c>
      <c r="C22" s="12">
        <v>9.9500000000000001E-4</v>
      </c>
      <c r="D22" s="12">
        <v>8.7000000000000001E-4</v>
      </c>
      <c r="E22" s="10">
        <v>1.1439999999999999</v>
      </c>
      <c r="F22" s="11" t="str">
        <f t="shared" si="0"/>
        <v>Regular</v>
      </c>
      <c r="G22" s="3"/>
    </row>
    <row r="23" spans="1:7" ht="20.100000000000001" customHeight="1" x14ac:dyDescent="0.25">
      <c r="A23" s="12" t="s">
        <v>88</v>
      </c>
      <c r="B23" s="12" t="s">
        <v>54</v>
      </c>
      <c r="C23" s="12">
        <v>8.4800000000000001E-4</v>
      </c>
      <c r="D23" s="12">
        <v>8.4199999999999998E-4</v>
      </c>
      <c r="E23" s="10">
        <v>1.0069999999999999</v>
      </c>
      <c r="F23" s="11" t="str">
        <f t="shared" si="0"/>
        <v>Regular</v>
      </c>
      <c r="G23" s="3"/>
    </row>
    <row r="24" spans="1:7" ht="20.100000000000001" customHeight="1" x14ac:dyDescent="0.25">
      <c r="A24" s="12" t="s">
        <v>88</v>
      </c>
      <c r="B24" s="12" t="s">
        <v>59</v>
      </c>
      <c r="C24" s="12">
        <v>9.1699999999999995E-4</v>
      </c>
      <c r="D24" s="12">
        <v>9.1100000000000003E-4</v>
      </c>
      <c r="E24" s="10">
        <v>1.0069999999999999</v>
      </c>
      <c r="F24" s="11" t="str">
        <f t="shared" si="0"/>
        <v>Regular</v>
      </c>
      <c r="G24" s="3"/>
    </row>
    <row r="25" spans="1:7" ht="20.100000000000001" customHeight="1" x14ac:dyDescent="0.25">
      <c r="A25" s="12" t="s">
        <v>88</v>
      </c>
      <c r="B25" s="12" t="s">
        <v>59</v>
      </c>
      <c r="C25" s="12">
        <v>1.0070000000000001E-3</v>
      </c>
      <c r="D25" s="12">
        <v>9.1399999999999999E-4</v>
      </c>
      <c r="E25" s="10">
        <v>1.101</v>
      </c>
      <c r="F25" s="11" t="str">
        <f t="shared" si="0"/>
        <v>Regular</v>
      </c>
      <c r="G25" s="3"/>
    </row>
    <row r="26" spans="1:7" ht="20.100000000000001" customHeight="1" x14ac:dyDescent="0.25">
      <c r="A26" s="12" t="s">
        <v>88</v>
      </c>
      <c r="B26" s="12" t="s">
        <v>59</v>
      </c>
      <c r="C26" s="12">
        <v>9.8700000000000003E-4</v>
      </c>
      <c r="D26" s="12">
        <v>9.0700000000000004E-4</v>
      </c>
      <c r="E26" s="10">
        <v>1.0880000000000001</v>
      </c>
      <c r="F26" s="11" t="str">
        <f t="shared" si="0"/>
        <v>Regular</v>
      </c>
      <c r="G26" s="3"/>
    </row>
    <row r="27" spans="1:7" ht="20.100000000000001" customHeight="1" x14ac:dyDescent="0.25">
      <c r="A27" s="12" t="s">
        <v>89</v>
      </c>
      <c r="B27" s="12" t="s">
        <v>54</v>
      </c>
      <c r="C27" s="12">
        <v>9.77E-4</v>
      </c>
      <c r="D27" s="12">
        <v>9.2900000000000003E-4</v>
      </c>
      <c r="E27" s="10">
        <v>1.052</v>
      </c>
      <c r="F27" s="11" t="str">
        <f t="shared" si="0"/>
        <v>Regular</v>
      </c>
      <c r="G27" s="3"/>
    </row>
    <row r="28" spans="1:7" ht="20.100000000000001" customHeight="1" x14ac:dyDescent="0.25">
      <c r="A28" s="12" t="s">
        <v>89</v>
      </c>
      <c r="B28" s="12" t="s">
        <v>54</v>
      </c>
      <c r="C28" s="12">
        <v>1.078E-3</v>
      </c>
      <c r="D28" s="12">
        <v>9.4600000000000001E-4</v>
      </c>
      <c r="E28" s="10">
        <v>1.1399999999999999</v>
      </c>
      <c r="F28" s="11" t="str">
        <f t="shared" si="0"/>
        <v>Regular</v>
      </c>
      <c r="G28" s="3"/>
    </row>
    <row r="29" spans="1:7" ht="20.100000000000001" customHeight="1" x14ac:dyDescent="0.25">
      <c r="A29" s="12" t="s">
        <v>89</v>
      </c>
      <c r="B29" s="12" t="s">
        <v>54</v>
      </c>
      <c r="C29" s="12">
        <v>9.4799999999999995E-4</v>
      </c>
      <c r="D29" s="12">
        <v>9.1200000000000005E-4</v>
      </c>
      <c r="E29" s="10">
        <v>1.0389999999999999</v>
      </c>
      <c r="F29" s="11" t="str">
        <f t="shared" si="0"/>
        <v>Regular</v>
      </c>
      <c r="G29" s="3"/>
    </row>
    <row r="30" spans="1:7" ht="20.100000000000001" customHeight="1" x14ac:dyDescent="0.25">
      <c r="A30" s="12" t="s">
        <v>89</v>
      </c>
      <c r="B30" s="12" t="s">
        <v>59</v>
      </c>
      <c r="C30" s="12">
        <v>1.0169999999999999E-3</v>
      </c>
      <c r="D30" s="12">
        <v>1.01E-3</v>
      </c>
      <c r="E30" s="10">
        <v>1.0069999999999999</v>
      </c>
      <c r="F30" s="11" t="str">
        <f t="shared" si="0"/>
        <v>Regular</v>
      </c>
      <c r="G30" s="3"/>
    </row>
    <row r="31" spans="1:7" ht="20.100000000000001" customHeight="1" x14ac:dyDescent="0.25">
      <c r="A31" s="12" t="s">
        <v>89</v>
      </c>
      <c r="B31" s="12" t="s">
        <v>59</v>
      </c>
      <c r="C31" s="12">
        <v>1.132E-3</v>
      </c>
      <c r="D31" s="12">
        <v>1.0150000000000001E-3</v>
      </c>
      <c r="E31" s="10">
        <v>1.1160000000000001</v>
      </c>
      <c r="F31" s="11" t="str">
        <f t="shared" si="0"/>
        <v>Regular</v>
      </c>
      <c r="G31" s="3"/>
    </row>
    <row r="32" spans="1:7" ht="20.100000000000001" customHeight="1" x14ac:dyDescent="0.25">
      <c r="A32" s="12" t="s">
        <v>89</v>
      </c>
      <c r="B32" s="12" t="s">
        <v>59</v>
      </c>
      <c r="C32" s="12">
        <v>1.109E-3</v>
      </c>
      <c r="D32" s="12">
        <v>1.005E-3</v>
      </c>
      <c r="E32" s="10">
        <v>1.103</v>
      </c>
      <c r="F32" s="11" t="str">
        <f t="shared" si="0"/>
        <v>Regular</v>
      </c>
      <c r="G32" s="3"/>
    </row>
    <row r="33" spans="1:7" ht="20.100000000000001" customHeight="1" x14ac:dyDescent="0.25">
      <c r="A33" s="12" t="s">
        <v>79</v>
      </c>
      <c r="B33" s="12" t="s">
        <v>54</v>
      </c>
      <c r="C33" s="12">
        <v>1.0380000000000001E-3</v>
      </c>
      <c r="D33" s="12">
        <v>1.005E-3</v>
      </c>
      <c r="E33" s="10">
        <v>1.0329999999999999</v>
      </c>
      <c r="F33" s="11" t="str">
        <f t="shared" si="0"/>
        <v>Regular</v>
      </c>
      <c r="G33" s="3"/>
    </row>
    <row r="34" spans="1:7" ht="20.100000000000001" customHeight="1" x14ac:dyDescent="0.25">
      <c r="A34" s="12" t="s">
        <v>79</v>
      </c>
      <c r="B34" s="12" t="s">
        <v>54</v>
      </c>
      <c r="C34" s="12">
        <v>1.1640000000000001E-3</v>
      </c>
      <c r="D34" s="12">
        <v>1.0250000000000001E-3</v>
      </c>
      <c r="E34" s="10">
        <v>1.1359999999999999</v>
      </c>
      <c r="F34" s="11" t="str">
        <f t="shared" si="0"/>
        <v>Regular</v>
      </c>
      <c r="G34" s="3"/>
    </row>
    <row r="35" spans="1:7" ht="20.100000000000001" customHeight="1" x14ac:dyDescent="0.25">
      <c r="A35" s="12" t="s">
        <v>79</v>
      </c>
      <c r="B35" s="12" t="s">
        <v>54</v>
      </c>
      <c r="C35" s="12">
        <v>1.059E-3</v>
      </c>
      <c r="D35" s="12">
        <v>9.859999999999999E-4</v>
      </c>
      <c r="E35" s="10">
        <v>1.0740000000000001</v>
      </c>
      <c r="F35" s="11" t="str">
        <f t="shared" si="0"/>
        <v>Regular</v>
      </c>
      <c r="G35" s="3"/>
    </row>
    <row r="36" spans="1:7" ht="20.100000000000001" customHeight="1" x14ac:dyDescent="0.25">
      <c r="A36" s="12" t="s">
        <v>79</v>
      </c>
      <c r="B36" s="12" t="s">
        <v>59</v>
      </c>
      <c r="C36" s="12">
        <v>1.126E-3</v>
      </c>
      <c r="D36" s="12">
        <v>1.122E-3</v>
      </c>
      <c r="E36" s="10">
        <v>1.0029999999999999</v>
      </c>
      <c r="F36" s="11" t="str">
        <f t="shared" si="0"/>
        <v>Regular</v>
      </c>
      <c r="G36" s="3"/>
    </row>
    <row r="37" spans="1:7" ht="20.100000000000001" customHeight="1" x14ac:dyDescent="0.25">
      <c r="A37" s="12" t="s">
        <v>79</v>
      </c>
      <c r="B37" s="12" t="s">
        <v>59</v>
      </c>
      <c r="C37" s="12">
        <v>1.271E-3</v>
      </c>
      <c r="D37" s="12">
        <v>1.1280000000000001E-3</v>
      </c>
      <c r="E37" s="10">
        <v>1.127</v>
      </c>
      <c r="F37" s="11" t="str">
        <f t="shared" si="0"/>
        <v>Regular</v>
      </c>
      <c r="G37" s="3"/>
    </row>
    <row r="38" spans="1:7" ht="20.100000000000001" customHeight="1" x14ac:dyDescent="0.25">
      <c r="A38" s="12" t="s">
        <v>79</v>
      </c>
      <c r="B38" s="12" t="s">
        <v>59</v>
      </c>
      <c r="C38" s="12">
        <v>1.253E-3</v>
      </c>
      <c r="D38" s="12">
        <v>1.1169999999999999E-3</v>
      </c>
      <c r="E38" s="10">
        <v>1.1220000000000001</v>
      </c>
      <c r="F38" s="11" t="str">
        <f t="shared" si="0"/>
        <v>Regular</v>
      </c>
      <c r="G38" s="3"/>
    </row>
    <row r="39" spans="1:7" ht="20.100000000000001" customHeight="1" x14ac:dyDescent="0.25">
      <c r="A39" s="12" t="s">
        <v>80</v>
      </c>
      <c r="B39" s="12" t="s">
        <v>54</v>
      </c>
      <c r="C39" s="12">
        <v>1.085E-3</v>
      </c>
      <c r="D39" s="12">
        <v>1.0679999999999999E-3</v>
      </c>
      <c r="E39" s="10">
        <v>1.016</v>
      </c>
      <c r="F39" s="11" t="str">
        <f t="shared" si="0"/>
        <v>Regular</v>
      </c>
      <c r="G39" s="3"/>
    </row>
    <row r="40" spans="1:7" ht="20.100000000000001" customHeight="1" x14ac:dyDescent="0.25">
      <c r="A40" s="12" t="s">
        <v>80</v>
      </c>
      <c r="B40" s="12" t="s">
        <v>54</v>
      </c>
      <c r="C40" s="12">
        <v>1.2340000000000001E-3</v>
      </c>
      <c r="D40" s="12">
        <v>1.09E-3</v>
      </c>
      <c r="E40" s="10">
        <v>1.1319999999999999</v>
      </c>
      <c r="F40" s="11" t="str">
        <f t="shared" si="0"/>
        <v>Regular</v>
      </c>
      <c r="G40" s="3"/>
    </row>
    <row r="41" spans="1:7" ht="20.100000000000001" customHeight="1" x14ac:dyDescent="0.25">
      <c r="A41" s="12" t="s">
        <v>80</v>
      </c>
      <c r="B41" s="12" t="s">
        <v>54</v>
      </c>
      <c r="C41" s="12">
        <v>1.157E-3</v>
      </c>
      <c r="D41" s="12">
        <v>1.047E-3</v>
      </c>
      <c r="E41" s="10">
        <v>1.105</v>
      </c>
      <c r="F41" s="11" t="str">
        <f t="shared" si="0"/>
        <v>Regular</v>
      </c>
      <c r="G41" s="3"/>
    </row>
    <row r="42" spans="1:7" ht="20.100000000000001" customHeight="1" x14ac:dyDescent="0.25">
      <c r="A42" s="12" t="s">
        <v>80</v>
      </c>
      <c r="B42" s="12" t="s">
        <v>59</v>
      </c>
      <c r="C42" s="12">
        <v>1.225E-3</v>
      </c>
      <c r="D42" s="12">
        <v>1.224E-3</v>
      </c>
      <c r="E42" s="10">
        <v>1.0009999999999999</v>
      </c>
      <c r="F42" s="11" t="str">
        <f t="shared" si="0"/>
        <v>Regular</v>
      </c>
      <c r="G42" s="3"/>
    </row>
    <row r="43" spans="1:7" ht="20.100000000000001" customHeight="1" x14ac:dyDescent="0.25">
      <c r="A43" s="12" t="s">
        <v>80</v>
      </c>
      <c r="B43" s="12" t="s">
        <v>59</v>
      </c>
      <c r="C43" s="12">
        <v>1.397E-3</v>
      </c>
      <c r="D43" s="12">
        <v>1.2310000000000001E-3</v>
      </c>
      <c r="E43" s="10">
        <v>1.135</v>
      </c>
      <c r="F43" s="11" t="str">
        <f t="shared" si="0"/>
        <v>Regular</v>
      </c>
      <c r="G43" s="3"/>
    </row>
    <row r="44" spans="1:7" ht="20.100000000000001" customHeight="1" x14ac:dyDescent="0.25">
      <c r="A44" s="12" t="s">
        <v>80</v>
      </c>
      <c r="B44" s="12" t="s">
        <v>59</v>
      </c>
      <c r="C44" s="12">
        <v>1.3849999999999999E-3</v>
      </c>
      <c r="D44" s="12">
        <v>1.2179999999999999E-3</v>
      </c>
      <c r="E44" s="10">
        <v>1.1379999999999999</v>
      </c>
      <c r="F44" s="11" t="str">
        <f t="shared" si="0"/>
        <v>Regular</v>
      </c>
      <c r="G44" s="3"/>
    </row>
    <row r="45" spans="1:7" ht="20.100000000000001" customHeight="1" x14ac:dyDescent="0.25">
      <c r="A45" s="12" t="s">
        <v>81</v>
      </c>
      <c r="B45" s="12" t="s">
        <v>54</v>
      </c>
      <c r="C45" s="12">
        <v>1.1039999999999999E-3</v>
      </c>
      <c r="D45" s="12">
        <v>1.103E-3</v>
      </c>
      <c r="E45" s="10">
        <v>1.0009999999999999</v>
      </c>
      <c r="F45" s="11" t="str">
        <f t="shared" si="0"/>
        <v>Regular</v>
      </c>
      <c r="G45" s="3"/>
    </row>
    <row r="46" spans="1:7" ht="20.100000000000001" customHeight="1" x14ac:dyDescent="0.25">
      <c r="A46" s="12" t="s">
        <v>81</v>
      </c>
      <c r="B46" s="12" t="s">
        <v>54</v>
      </c>
      <c r="C46" s="12">
        <v>1.271E-3</v>
      </c>
      <c r="D46" s="12">
        <v>1.126E-3</v>
      </c>
      <c r="E46" s="10">
        <v>1.129</v>
      </c>
      <c r="F46" s="11" t="str">
        <f t="shared" si="0"/>
        <v>Regular</v>
      </c>
      <c r="G46" s="3"/>
    </row>
    <row r="47" spans="1:7" ht="20.100000000000001" customHeight="1" x14ac:dyDescent="0.25">
      <c r="A47" s="12" t="s">
        <v>81</v>
      </c>
      <c r="B47" s="12" t="s">
        <v>54</v>
      </c>
      <c r="C47" s="12">
        <v>1.222E-3</v>
      </c>
      <c r="D47" s="12">
        <v>1.0790000000000001E-3</v>
      </c>
      <c r="E47" s="10">
        <v>1.1319999999999999</v>
      </c>
      <c r="F47" s="11" t="str">
        <f t="shared" si="0"/>
        <v>Regular</v>
      </c>
      <c r="G47" s="3"/>
    </row>
    <row r="48" spans="1:7" ht="20.100000000000001" customHeight="1" x14ac:dyDescent="0.25">
      <c r="A48" s="13" t="s">
        <v>81</v>
      </c>
      <c r="B48" s="13" t="s">
        <v>59</v>
      </c>
      <c r="C48" s="13">
        <v>1.2979999999999999E-3</v>
      </c>
      <c r="D48" s="13">
        <v>1.2930000000000001E-3</v>
      </c>
      <c r="E48" s="10">
        <v>1.004</v>
      </c>
      <c r="F48" s="11" t="str">
        <f t="shared" si="0"/>
        <v>Regular</v>
      </c>
      <c r="G48" s="3"/>
    </row>
    <row r="49" spans="1:7" ht="20.100000000000001" customHeight="1" x14ac:dyDescent="0.25">
      <c r="A49" s="13" t="s">
        <v>81</v>
      </c>
      <c r="B49" s="13" t="s">
        <v>59</v>
      </c>
      <c r="C49" s="13">
        <v>1.485E-3</v>
      </c>
      <c r="D49" s="13">
        <v>1.3010000000000001E-3</v>
      </c>
      <c r="E49" s="10">
        <v>1.1419999999999999</v>
      </c>
      <c r="F49" s="11" t="str">
        <f t="shared" si="0"/>
        <v>Regular</v>
      </c>
      <c r="G49" s="3"/>
    </row>
    <row r="50" spans="1:7" ht="20.100000000000001" customHeight="1" x14ac:dyDescent="0.25">
      <c r="A50" s="13" t="s">
        <v>81</v>
      </c>
      <c r="B50" s="13" t="s">
        <v>59</v>
      </c>
      <c r="C50" s="13">
        <v>1.48E-3</v>
      </c>
      <c r="D50" s="13">
        <v>1.286E-3</v>
      </c>
      <c r="E50" s="10">
        <v>1.151</v>
      </c>
      <c r="F50" s="11" t="str">
        <f t="shared" si="0"/>
        <v>Regular</v>
      </c>
      <c r="G50" s="3"/>
    </row>
    <row r="51" spans="1:7" ht="20.100000000000001" customHeight="1" x14ac:dyDescent="0.25">
      <c r="A51" s="13" t="s">
        <v>82</v>
      </c>
      <c r="B51" s="13" t="s">
        <v>54</v>
      </c>
      <c r="C51" s="13">
        <v>1.106E-3</v>
      </c>
      <c r="D51" s="13">
        <v>1.0939999999999999E-3</v>
      </c>
      <c r="E51" s="10">
        <v>1.012</v>
      </c>
      <c r="F51" s="11" t="str">
        <f t="shared" si="0"/>
        <v>Regular</v>
      </c>
      <c r="G51" s="3"/>
    </row>
    <row r="52" spans="1:7" ht="20.100000000000001" customHeight="1" x14ac:dyDescent="0.25">
      <c r="A52" s="13" t="s">
        <v>82</v>
      </c>
      <c r="B52" s="13" t="s">
        <v>54</v>
      </c>
      <c r="C52" s="13">
        <v>1.2589999999999999E-3</v>
      </c>
      <c r="D52" s="13">
        <v>1.1180000000000001E-3</v>
      </c>
      <c r="E52" s="10">
        <v>1.127</v>
      </c>
      <c r="F52" s="11" t="str">
        <f t="shared" si="0"/>
        <v>Regular</v>
      </c>
      <c r="G52" s="3"/>
    </row>
    <row r="53" spans="1:7" ht="20.100000000000001" customHeight="1" x14ac:dyDescent="0.25">
      <c r="A53" s="13" t="s">
        <v>82</v>
      </c>
      <c r="B53" s="13" t="s">
        <v>54</v>
      </c>
      <c r="C53" s="13">
        <v>1.237E-3</v>
      </c>
      <c r="D53" s="13">
        <v>1.0690000000000001E-3</v>
      </c>
      <c r="E53" s="10">
        <v>1.1559999999999999</v>
      </c>
      <c r="F53" s="11" t="str">
        <f t="shared" si="0"/>
        <v>Regular</v>
      </c>
      <c r="G53" s="3"/>
    </row>
    <row r="54" spans="1:7" ht="20.100000000000001" customHeight="1" x14ac:dyDescent="0.25">
      <c r="A54" s="13" t="s">
        <v>82</v>
      </c>
      <c r="B54" s="13" t="s">
        <v>59</v>
      </c>
      <c r="C54" s="13">
        <v>1.3190000000000001E-3</v>
      </c>
      <c r="D54" s="13">
        <v>1.31E-3</v>
      </c>
      <c r="E54" s="10">
        <v>1.0069999999999999</v>
      </c>
      <c r="F54" s="11" t="str">
        <f t="shared" si="0"/>
        <v>Regular</v>
      </c>
      <c r="G54" s="3"/>
    </row>
    <row r="55" spans="1:7" ht="20.100000000000001" customHeight="1" x14ac:dyDescent="0.25">
      <c r="A55" s="13" t="s">
        <v>82</v>
      </c>
      <c r="B55" s="13" t="s">
        <v>59</v>
      </c>
      <c r="C55" s="13">
        <v>1.5120000000000001E-3</v>
      </c>
      <c r="D55" s="13">
        <v>1.3179999999999999E-3</v>
      </c>
      <c r="E55" s="10">
        <v>1.1479999999999999</v>
      </c>
      <c r="F55" s="11" t="str">
        <f t="shared" si="0"/>
        <v>Regular</v>
      </c>
      <c r="G55" s="3"/>
    </row>
    <row r="56" spans="1:7" ht="20.100000000000001" customHeight="1" x14ac:dyDescent="0.25">
      <c r="A56" s="13" t="s">
        <v>82</v>
      </c>
      <c r="B56" s="13" t="s">
        <v>59</v>
      </c>
      <c r="C56" s="13">
        <v>1.5150000000000001E-3</v>
      </c>
      <c r="D56" s="13">
        <v>1.302E-3</v>
      </c>
      <c r="E56" s="10">
        <v>1.163</v>
      </c>
      <c r="F56" s="11" t="str">
        <f t="shared" si="0"/>
        <v>Regular</v>
      </c>
      <c r="G56" s="3"/>
    </row>
    <row r="57" spans="1:7" ht="20.100000000000001" customHeight="1" x14ac:dyDescent="0.25">
      <c r="A57" s="13" t="s">
        <v>83</v>
      </c>
      <c r="B57" s="13" t="s">
        <v>54</v>
      </c>
      <c r="C57" s="13">
        <v>1.052E-3</v>
      </c>
      <c r="D57" s="13">
        <v>1.0280000000000001E-3</v>
      </c>
      <c r="E57" s="10">
        <v>1.024</v>
      </c>
      <c r="F57" s="11" t="str">
        <f t="shared" si="0"/>
        <v>Regular</v>
      </c>
      <c r="G57" s="3"/>
    </row>
    <row r="58" spans="1:7" ht="20.100000000000001" customHeight="1" x14ac:dyDescent="0.25">
      <c r="A58" s="13" t="s">
        <v>83</v>
      </c>
      <c r="B58" s="13" t="s">
        <v>54</v>
      </c>
      <c r="C58" s="13">
        <v>1.1839999999999999E-3</v>
      </c>
      <c r="D58" s="13">
        <v>1.052E-3</v>
      </c>
      <c r="E58" s="10">
        <v>1.1259999999999999</v>
      </c>
      <c r="F58" s="11" t="str">
        <f t="shared" si="0"/>
        <v>Regular</v>
      </c>
    </row>
    <row r="59" spans="1:7" ht="20.100000000000001" customHeight="1" x14ac:dyDescent="0.25">
      <c r="A59" s="13" t="s">
        <v>83</v>
      </c>
      <c r="B59" s="13" t="s">
        <v>54</v>
      </c>
      <c r="C59" s="13">
        <v>1.186E-3</v>
      </c>
      <c r="D59" s="13">
        <v>1.0039999999999999E-3</v>
      </c>
      <c r="E59" s="10">
        <v>1.181</v>
      </c>
      <c r="F59" s="11" t="str">
        <f t="shared" si="0"/>
        <v>Regular</v>
      </c>
    </row>
    <row r="60" spans="1:7" ht="20.100000000000001" customHeight="1" x14ac:dyDescent="0.25">
      <c r="A60" s="13" t="s">
        <v>83</v>
      </c>
      <c r="B60" s="13" t="s">
        <v>59</v>
      </c>
      <c r="C60" s="13">
        <v>1.268E-3</v>
      </c>
      <c r="D60" s="13">
        <v>1.255E-3</v>
      </c>
      <c r="E60" s="10">
        <v>1.01</v>
      </c>
      <c r="F60" s="11" t="str">
        <f t="shared" si="0"/>
        <v>Regular</v>
      </c>
    </row>
    <row r="61" spans="1:7" ht="20.100000000000001" customHeight="1" x14ac:dyDescent="0.25">
      <c r="A61" s="13" t="s">
        <v>83</v>
      </c>
      <c r="B61" s="13" t="s">
        <v>59</v>
      </c>
      <c r="C61" s="13">
        <v>1.457E-3</v>
      </c>
      <c r="D61" s="13">
        <v>1.263E-3</v>
      </c>
      <c r="E61" s="10">
        <v>1.1539999999999999</v>
      </c>
      <c r="F61" s="11" t="str">
        <f t="shared" si="0"/>
        <v>Regular</v>
      </c>
    </row>
    <row r="62" spans="1:7" ht="20.100000000000001" customHeight="1" x14ac:dyDescent="0.25">
      <c r="A62" s="13" t="s">
        <v>83</v>
      </c>
      <c r="B62" s="13" t="s">
        <v>59</v>
      </c>
      <c r="C62" s="13">
        <v>1.467E-3</v>
      </c>
      <c r="D62" s="13">
        <v>1.248E-3</v>
      </c>
      <c r="E62" s="10">
        <v>1.1759999999999999</v>
      </c>
      <c r="F62" s="11" t="str">
        <f t="shared" si="0"/>
        <v>Regular</v>
      </c>
    </row>
    <row r="63" spans="1:7" ht="20.100000000000001" customHeight="1" x14ac:dyDescent="0.25">
      <c r="A63" s="13" t="s">
        <v>84</v>
      </c>
      <c r="B63" s="13" t="s">
        <v>54</v>
      </c>
      <c r="C63" s="13">
        <v>9.2100000000000005E-4</v>
      </c>
      <c r="D63" s="13">
        <v>8.9099999999999997E-4</v>
      </c>
      <c r="E63" s="10">
        <v>1.034</v>
      </c>
      <c r="F63" s="11" t="str">
        <f t="shared" si="0"/>
        <v>Regular</v>
      </c>
    </row>
    <row r="64" spans="1:7" ht="20.100000000000001" customHeight="1" x14ac:dyDescent="0.25">
      <c r="A64" s="13" t="s">
        <v>84</v>
      </c>
      <c r="B64" s="13" t="s">
        <v>54</v>
      </c>
      <c r="C64" s="13">
        <v>1.0300000000000001E-3</v>
      </c>
      <c r="D64" s="13">
        <v>9.1200000000000005E-4</v>
      </c>
      <c r="E64" s="10">
        <v>1.129</v>
      </c>
      <c r="F64" s="11" t="str">
        <f t="shared" si="0"/>
        <v>Regular</v>
      </c>
    </row>
    <row r="65" spans="1:6" ht="20.100000000000001" customHeight="1" x14ac:dyDescent="0.25">
      <c r="A65" s="13" t="s">
        <v>84</v>
      </c>
      <c r="B65" s="13" t="s">
        <v>54</v>
      </c>
      <c r="C65" s="13">
        <v>1.047E-3</v>
      </c>
      <c r="D65" s="13">
        <v>8.6899999999999998E-4</v>
      </c>
      <c r="E65" s="10">
        <v>1.2050000000000001</v>
      </c>
      <c r="F65" s="11" t="str">
        <f t="shared" si="0"/>
        <v>Irregular</v>
      </c>
    </row>
    <row r="66" spans="1:6" ht="20.100000000000001" customHeight="1" x14ac:dyDescent="0.25">
      <c r="A66" s="13" t="s">
        <v>84</v>
      </c>
      <c r="B66" s="13" t="s">
        <v>59</v>
      </c>
      <c r="C66" s="13">
        <v>1.121E-3</v>
      </c>
      <c r="D66" s="13">
        <v>1.1050000000000001E-3</v>
      </c>
      <c r="E66" s="10">
        <v>1.014</v>
      </c>
      <c r="F66" s="11" t="str">
        <f t="shared" si="0"/>
        <v>Regular</v>
      </c>
    </row>
    <row r="67" spans="1:6" ht="20.100000000000001" customHeight="1" x14ac:dyDescent="0.25">
      <c r="A67" s="13" t="s">
        <v>84</v>
      </c>
      <c r="B67" s="13" t="s">
        <v>59</v>
      </c>
      <c r="C67" s="13">
        <v>1.292E-3</v>
      </c>
      <c r="D67" s="13">
        <v>1.1119999999999999E-3</v>
      </c>
      <c r="E67" s="10">
        <v>1.161</v>
      </c>
      <c r="F67" s="11" t="str">
        <f t="shared" si="0"/>
        <v>Regular</v>
      </c>
    </row>
    <row r="68" spans="1:6" ht="20.100000000000001" customHeight="1" x14ac:dyDescent="0.25">
      <c r="A68" s="13" t="s">
        <v>84</v>
      </c>
      <c r="B68" s="13" t="s">
        <v>59</v>
      </c>
      <c r="C68" s="13">
        <v>1.3090000000000001E-3</v>
      </c>
      <c r="D68" s="13">
        <v>1.098E-3</v>
      </c>
      <c r="E68" s="10">
        <v>1.1919999999999999</v>
      </c>
      <c r="F68" s="11" t="str">
        <f t="shared" si="0"/>
        <v>Regular</v>
      </c>
    </row>
    <row r="69" spans="1:6" ht="20.100000000000001" customHeight="1" x14ac:dyDescent="0.25">
      <c r="A69" s="13" t="s">
        <v>85</v>
      </c>
      <c r="B69" s="13" t="s">
        <v>54</v>
      </c>
      <c r="C69" s="13">
        <v>6.9200000000000002E-4</v>
      </c>
      <c r="D69" s="13">
        <v>6.6799999999999997E-4</v>
      </c>
      <c r="E69" s="10">
        <v>1.036</v>
      </c>
      <c r="F69" s="11" t="str">
        <f t="shared" si="0"/>
        <v>Regular</v>
      </c>
    </row>
    <row r="70" spans="1:6" ht="20.100000000000001" customHeight="1" x14ac:dyDescent="0.25">
      <c r="A70" s="13" t="s">
        <v>85</v>
      </c>
      <c r="B70" s="13" t="s">
        <v>54</v>
      </c>
      <c r="C70" s="13">
        <v>7.8299999999999995E-4</v>
      </c>
      <c r="D70" s="13">
        <v>6.8599999999999998E-4</v>
      </c>
      <c r="E70" s="10">
        <v>1.141</v>
      </c>
      <c r="F70" s="11" t="str">
        <f t="shared" si="0"/>
        <v>Regular</v>
      </c>
    </row>
    <row r="71" spans="1:6" ht="20.100000000000001" customHeight="1" x14ac:dyDescent="0.25">
      <c r="A71" s="13" t="s">
        <v>85</v>
      </c>
      <c r="B71" s="13" t="s">
        <v>54</v>
      </c>
      <c r="C71" s="13">
        <v>7.9500000000000003E-4</v>
      </c>
      <c r="D71" s="13">
        <v>6.4999999999999997E-4</v>
      </c>
      <c r="E71" s="10">
        <v>1.2230000000000001</v>
      </c>
      <c r="F71" s="11" t="str">
        <f t="shared" si="0"/>
        <v>Irregular</v>
      </c>
    </row>
    <row r="72" spans="1:6" ht="20.100000000000001" customHeight="1" x14ac:dyDescent="0.25">
      <c r="A72" s="13" t="s">
        <v>85</v>
      </c>
      <c r="B72" s="13" t="s">
        <v>59</v>
      </c>
      <c r="C72" s="13">
        <v>8.4900000000000004E-4</v>
      </c>
      <c r="D72" s="13">
        <v>8.3600000000000005E-4</v>
      </c>
      <c r="E72" s="10">
        <v>1.016</v>
      </c>
      <c r="F72" s="11" t="str">
        <f t="shared" si="0"/>
        <v>Regular</v>
      </c>
    </row>
    <row r="73" spans="1:6" ht="20.100000000000001" customHeight="1" x14ac:dyDescent="0.25">
      <c r="A73" s="13" t="s">
        <v>85</v>
      </c>
      <c r="B73" s="13" t="s">
        <v>59</v>
      </c>
      <c r="C73" s="13">
        <v>9.8799999999999995E-4</v>
      </c>
      <c r="D73" s="13">
        <v>8.4199999999999998E-4</v>
      </c>
      <c r="E73" s="10">
        <v>1.173</v>
      </c>
      <c r="F73" s="11" t="str">
        <f t="shared" si="0"/>
        <v>Regular</v>
      </c>
    </row>
    <row r="74" spans="1:6" ht="20.100000000000001" customHeight="1" x14ac:dyDescent="0.25">
      <c r="A74" s="13" t="s">
        <v>85</v>
      </c>
      <c r="B74" s="13" t="s">
        <v>59</v>
      </c>
      <c r="C74" s="13">
        <v>1.003E-3</v>
      </c>
      <c r="D74" s="13">
        <v>8.3000000000000001E-4</v>
      </c>
      <c r="E74" s="10">
        <v>1.208</v>
      </c>
      <c r="F74" s="11" t="str">
        <f t="shared" ref="F74:F98" si="1">IF(E74&lt;1.2,"Regular",IF(OR(E74=1.2,E74&lt;1.4),"Irregular","Extremely Irregular"))</f>
        <v>Irregular</v>
      </c>
    </row>
    <row r="75" spans="1:6" ht="20.100000000000001" customHeight="1" x14ac:dyDescent="0.25">
      <c r="A75" s="13" t="s">
        <v>90</v>
      </c>
      <c r="B75" s="13" t="s">
        <v>54</v>
      </c>
      <c r="C75" s="13">
        <v>3.0400000000000002E-4</v>
      </c>
      <c r="D75" s="13">
        <v>2.99E-4</v>
      </c>
      <c r="E75" s="10">
        <v>1.0169999999999999</v>
      </c>
      <c r="F75" s="11" t="str">
        <f t="shared" si="1"/>
        <v>Regular</v>
      </c>
    </row>
    <row r="76" spans="1:6" ht="20.100000000000001" customHeight="1" x14ac:dyDescent="0.25">
      <c r="A76" s="13" t="s">
        <v>90</v>
      </c>
      <c r="B76" s="13" t="s">
        <v>54</v>
      </c>
      <c r="C76" s="13">
        <v>3.6000000000000002E-4</v>
      </c>
      <c r="D76" s="13">
        <v>3.0400000000000002E-4</v>
      </c>
      <c r="E76" s="10">
        <v>1.1839999999999999</v>
      </c>
      <c r="F76" s="11" t="str">
        <f t="shared" si="1"/>
        <v>Regular</v>
      </c>
    </row>
    <row r="77" spans="1:6" ht="20.100000000000001" customHeight="1" x14ac:dyDescent="0.25">
      <c r="A77" s="13" t="s">
        <v>90</v>
      </c>
      <c r="B77" s="13" t="s">
        <v>54</v>
      </c>
      <c r="C77" s="13">
        <v>3.4000000000000002E-4</v>
      </c>
      <c r="D77" s="13">
        <v>2.9399999999999999E-4</v>
      </c>
      <c r="E77" s="10">
        <v>1.1559999999999999</v>
      </c>
      <c r="F77" s="11" t="str">
        <f t="shared" si="1"/>
        <v>Regular</v>
      </c>
    </row>
    <row r="78" spans="1:6" ht="20.100000000000001" customHeight="1" x14ac:dyDescent="0.25">
      <c r="A78" s="13" t="s">
        <v>90</v>
      </c>
      <c r="B78" s="13" t="s">
        <v>59</v>
      </c>
      <c r="C78" s="13">
        <v>3.79E-4</v>
      </c>
      <c r="D78" s="13">
        <v>3.7399999999999998E-4</v>
      </c>
      <c r="E78" s="10">
        <v>1.0129999999999999</v>
      </c>
      <c r="F78" s="11" t="str">
        <f t="shared" si="1"/>
        <v>Regular</v>
      </c>
    </row>
    <row r="79" spans="1:6" ht="20.100000000000001" customHeight="1" x14ac:dyDescent="0.25">
      <c r="A79" s="13" t="s">
        <v>90</v>
      </c>
      <c r="B79" s="13" t="s">
        <v>59</v>
      </c>
      <c r="C79" s="13">
        <v>4.5600000000000003E-4</v>
      </c>
      <c r="D79" s="13">
        <v>3.7800000000000003E-4</v>
      </c>
      <c r="E79" s="10">
        <v>1.208</v>
      </c>
      <c r="F79" s="11" t="str">
        <f t="shared" si="1"/>
        <v>Irregular</v>
      </c>
    </row>
    <row r="80" spans="1:6" ht="20.100000000000001" customHeight="1" x14ac:dyDescent="0.25">
      <c r="A80" s="13" t="s">
        <v>90</v>
      </c>
      <c r="B80" s="13" t="s">
        <v>59</v>
      </c>
      <c r="C80" s="13">
        <v>4.3800000000000002E-4</v>
      </c>
      <c r="D80" s="13">
        <v>3.6999999999999999E-4</v>
      </c>
      <c r="E80" s="10">
        <v>1.1859999999999999</v>
      </c>
      <c r="F80" s="11" t="str">
        <f t="shared" si="1"/>
        <v>Regular</v>
      </c>
    </row>
    <row r="81" spans="1:6" ht="20.100000000000001" customHeight="1" x14ac:dyDescent="0.25">
      <c r="A81" s="13"/>
      <c r="B81" s="13"/>
      <c r="C81" s="13"/>
      <c r="D81" s="13"/>
      <c r="E81" s="10"/>
      <c r="F81" s="11" t="str">
        <f t="shared" si="1"/>
        <v>Regular</v>
      </c>
    </row>
    <row r="82" spans="1:6" ht="20.100000000000001" customHeight="1" x14ac:dyDescent="0.25">
      <c r="A82" s="13"/>
      <c r="B82" s="13"/>
      <c r="C82" s="13"/>
      <c r="D82" s="13"/>
      <c r="E82" s="10"/>
      <c r="F82" s="11" t="str">
        <f t="shared" si="1"/>
        <v>Regular</v>
      </c>
    </row>
    <row r="83" spans="1:6" ht="20.100000000000001" customHeight="1" x14ac:dyDescent="0.25">
      <c r="A83" s="13"/>
      <c r="B83" s="13"/>
      <c r="C83" s="13"/>
      <c r="D83" s="13"/>
      <c r="E83" s="10"/>
      <c r="F83" s="11" t="str">
        <f t="shared" si="1"/>
        <v>Regular</v>
      </c>
    </row>
    <row r="84" spans="1:6" ht="20.100000000000001" customHeight="1" x14ac:dyDescent="0.25">
      <c r="A84" s="13"/>
      <c r="B84" s="13"/>
      <c r="C84" s="13"/>
      <c r="D84" s="13"/>
      <c r="E84" s="10"/>
      <c r="F84" s="11" t="str">
        <f t="shared" si="1"/>
        <v>Regular</v>
      </c>
    </row>
    <row r="85" spans="1:6" ht="20.100000000000001" customHeight="1" x14ac:dyDescent="0.25">
      <c r="A85" s="13"/>
      <c r="B85" s="13"/>
      <c r="C85" s="13"/>
      <c r="D85" s="13"/>
      <c r="E85" s="10"/>
      <c r="F85" s="11" t="str">
        <f t="shared" si="1"/>
        <v>Regular</v>
      </c>
    </row>
    <row r="86" spans="1:6" ht="20.100000000000001" customHeight="1" x14ac:dyDescent="0.25">
      <c r="A86" s="13"/>
      <c r="B86" s="13"/>
      <c r="C86" s="13"/>
      <c r="D86" s="13"/>
      <c r="E86" s="10"/>
      <c r="F86" s="11" t="str">
        <f t="shared" si="1"/>
        <v>Regular</v>
      </c>
    </row>
    <row r="87" spans="1:6" ht="20.100000000000001" customHeight="1" x14ac:dyDescent="0.25">
      <c r="A87" s="13"/>
      <c r="B87" s="13"/>
      <c r="C87" s="13"/>
      <c r="D87" s="13"/>
      <c r="E87" s="10"/>
      <c r="F87" s="11" t="str">
        <f t="shared" si="1"/>
        <v>Regular</v>
      </c>
    </row>
    <row r="88" spans="1:6" ht="20.100000000000001" customHeight="1" x14ac:dyDescent="0.25">
      <c r="A88" s="13"/>
      <c r="B88" s="13"/>
      <c r="C88" s="13"/>
      <c r="D88" s="13"/>
      <c r="E88" s="10"/>
      <c r="F88" s="11" t="str">
        <f t="shared" si="1"/>
        <v>Regular</v>
      </c>
    </row>
    <row r="89" spans="1:6" ht="20.100000000000001" customHeight="1" x14ac:dyDescent="0.25">
      <c r="A89" s="13"/>
      <c r="B89" s="13"/>
      <c r="C89" s="13"/>
      <c r="D89" s="13"/>
      <c r="E89" s="10"/>
      <c r="F89" s="11" t="str">
        <f t="shared" si="1"/>
        <v>Regular</v>
      </c>
    </row>
    <row r="90" spans="1:6" ht="20.100000000000001" customHeight="1" x14ac:dyDescent="0.25">
      <c r="A90" s="13"/>
      <c r="B90" s="13"/>
      <c r="C90" s="13"/>
      <c r="D90" s="13"/>
      <c r="E90" s="10"/>
      <c r="F90" s="11" t="str">
        <f t="shared" si="1"/>
        <v>Regular</v>
      </c>
    </row>
    <row r="91" spans="1:6" ht="20.100000000000001" customHeight="1" x14ac:dyDescent="0.25">
      <c r="A91" s="13"/>
      <c r="B91" s="13"/>
      <c r="C91" s="13"/>
      <c r="D91" s="13"/>
      <c r="E91" s="10"/>
      <c r="F91" s="11" t="str">
        <f t="shared" si="1"/>
        <v>Regular</v>
      </c>
    </row>
    <row r="92" spans="1:6" ht="20.100000000000001" customHeight="1" x14ac:dyDescent="0.25">
      <c r="A92" s="13"/>
      <c r="B92" s="13"/>
      <c r="C92" s="13"/>
      <c r="D92" s="13"/>
      <c r="E92" s="10"/>
      <c r="F92" s="11" t="str">
        <f t="shared" si="1"/>
        <v>Regular</v>
      </c>
    </row>
    <row r="93" spans="1:6" ht="20.100000000000001" customHeight="1" x14ac:dyDescent="0.25">
      <c r="A93" s="13"/>
      <c r="B93" s="13"/>
      <c r="C93" s="13"/>
      <c r="D93" s="13"/>
      <c r="E93" s="10"/>
      <c r="F93" s="11" t="str">
        <f t="shared" si="1"/>
        <v>Regular</v>
      </c>
    </row>
    <row r="94" spans="1:6" ht="20.100000000000001" customHeight="1" x14ac:dyDescent="0.25">
      <c r="A94" s="13"/>
      <c r="B94" s="13"/>
      <c r="C94" s="13"/>
      <c r="D94" s="13"/>
      <c r="E94" s="10"/>
      <c r="F94" s="11" t="str">
        <f t="shared" si="1"/>
        <v>Regular</v>
      </c>
    </row>
    <row r="95" spans="1:6" ht="20.100000000000001" customHeight="1" x14ac:dyDescent="0.25">
      <c r="A95" s="13"/>
      <c r="B95" s="13"/>
      <c r="C95" s="13"/>
      <c r="D95" s="13"/>
      <c r="E95" s="10"/>
      <c r="F95" s="11" t="str">
        <f t="shared" si="1"/>
        <v>Regular</v>
      </c>
    </row>
    <row r="96" spans="1:6" ht="20.100000000000001" customHeight="1" x14ac:dyDescent="0.25">
      <c r="A96" s="13"/>
      <c r="B96" s="13"/>
      <c r="C96" s="13"/>
      <c r="D96" s="13"/>
      <c r="E96" s="10"/>
      <c r="F96" s="11" t="str">
        <f t="shared" si="1"/>
        <v>Regular</v>
      </c>
    </row>
    <row r="97" spans="1:6" ht="20.100000000000001" customHeight="1" x14ac:dyDescent="0.25">
      <c r="A97" s="13"/>
      <c r="B97" s="13"/>
      <c r="C97" s="13"/>
      <c r="D97" s="13"/>
      <c r="E97" s="10"/>
      <c r="F97" s="11" t="str">
        <f t="shared" si="1"/>
        <v>Regular</v>
      </c>
    </row>
    <row r="98" spans="1:6" ht="20.100000000000001" customHeight="1" x14ac:dyDescent="0.25">
      <c r="A98" s="13"/>
      <c r="B98" s="13"/>
      <c r="C98" s="13"/>
      <c r="D98" s="13"/>
      <c r="E98" s="10"/>
      <c r="F98" s="11" t="str">
        <f t="shared" si="1"/>
        <v>Regular</v>
      </c>
    </row>
  </sheetData>
  <sheetProtection algorithmName="SHA-512" hashValue="1zdYY6VDH2EZAo6Z/2+jJLlo8Hzu+YioFzipTKbDvjFcYf+XzL+863rYU0PmWYCDz9a82MGY0xFyOaCjwZVDKg==" saltValue="JQ8pyr0iM0/Huzp8x9G2Lg==" spinCount="100000" sheet="1" formatCells="0" formatColumns="0" formatRows="0" insertColumns="0" insertRows="0" insertHyperlinks="0" deleteColumns="0" deleteRows="0" selectLockedCells="1" sort="0" autoFilter="0" pivotTables="0"/>
  <mergeCells count="4">
    <mergeCell ref="A6:J6"/>
    <mergeCell ref="A3:J3"/>
    <mergeCell ref="A4:J4"/>
    <mergeCell ref="A5:J5"/>
  </mergeCells>
  <conditionalFormatting sqref="G1:G7 F8:F98 G58:G1048576">
    <cfRule type="cellIs" dxfId="9" priority="3" operator="equal">
      <formula>"Regular"</formula>
    </cfRule>
    <cfRule type="cellIs" dxfId="8" priority="4" operator="equal">
      <formula>"Rregular"</formula>
    </cfRule>
    <cfRule type="cellIs" dxfId="7" priority="5" operator="equal">
      <formula>"Irregular"</formula>
    </cfRule>
    <cfRule type="cellIs" dxfId="6" priority="6" operator="equal">
      <formula>"Extremely Irregular"</formula>
    </cfRule>
  </conditionalFormatting>
  <conditionalFormatting sqref="G7 F8:F98 G58:G1048576">
    <cfRule type="cellIs" dxfId="5" priority="7" operator="equal">
      <formula>"Extreme"</formula>
    </cfRule>
    <cfRule type="cellIs" dxfId="4" priority="8" operator="equal">
      <formula>"Extremely Torsion"</formula>
    </cfRule>
  </conditionalFormatting>
  <conditionalFormatting sqref="K1:XFD6 A6:A7 B7:XFD7 G8:XFD8 F8:F98 G9:G16 H9:XFD57 G18:G57 G58:XFD98 A99:XFD1048576 A48:D98">
    <cfRule type="cellIs" dxfId="3" priority="10" operator="equal">
      <formula>"Extremely Erragularity"</formula>
    </cfRule>
    <cfRule type="cellIs" dxfId="2" priority="11" operator="equal">
      <formula>"Torsion Have"</formula>
    </cfRule>
    <cfRule type="cellIs" dxfId="1" priority="12" operator="equal">
      <formula>"OK"</formula>
    </cfRule>
  </conditionalFormatting>
  <conditionalFormatting sqref="K1:XFD6 A6:A8 B7:XFD7 B8:E8 G8:XFD8 F8:F98 G9:G16 H9:XFD57 G18:G57 G58:XFD98 A99:XFD1048576 A48:D98">
    <cfRule type="cellIs" dxfId="0" priority="9" operator="equal">
      <formula>"Torsion Have"</formula>
    </cfRule>
  </conditionalFormatting>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4:M36"/>
  <sheetViews>
    <sheetView showGridLines="0" workbookViewId="0">
      <selection activeCell="P23" sqref="P23"/>
    </sheetView>
  </sheetViews>
  <sheetFormatPr defaultRowHeight="15" x14ac:dyDescent="0.25"/>
  <cols>
    <col min="1" max="1" width="9.140625" style="21" customWidth="1"/>
    <col min="2" max="16384" width="9.140625" style="21"/>
  </cols>
  <sheetData>
    <row r="14" spans="2:10" ht="15" customHeight="1" x14ac:dyDescent="0.25">
      <c r="B14" s="40" t="s">
        <v>61</v>
      </c>
      <c r="C14" s="40"/>
      <c r="D14" s="40"/>
      <c r="E14" s="40"/>
      <c r="F14" s="40"/>
      <c r="G14" s="40"/>
      <c r="H14" s="40"/>
      <c r="I14" s="40"/>
      <c r="J14" s="40"/>
    </row>
    <row r="15" spans="2:10" ht="15" customHeight="1" x14ac:dyDescent="0.25">
      <c r="B15" s="40"/>
      <c r="C15" s="40"/>
      <c r="D15" s="40"/>
      <c r="E15" s="40"/>
      <c r="F15" s="40"/>
      <c r="G15" s="40"/>
      <c r="H15" s="40"/>
      <c r="I15" s="40"/>
      <c r="J15" s="40"/>
    </row>
    <row r="16" spans="2:10" x14ac:dyDescent="0.25">
      <c r="B16" s="40"/>
      <c r="C16" s="40"/>
      <c r="D16" s="40"/>
      <c r="E16" s="40"/>
      <c r="F16" s="40"/>
      <c r="G16" s="40"/>
      <c r="H16" s="40"/>
      <c r="I16" s="40"/>
      <c r="J16" s="40"/>
    </row>
    <row r="17" spans="2:10" x14ac:dyDescent="0.25">
      <c r="C17" s="39" t="s">
        <v>62</v>
      </c>
      <c r="D17" s="39"/>
      <c r="E17" s="38" t="s">
        <v>63</v>
      </c>
      <c r="F17" s="38"/>
      <c r="G17" s="38"/>
      <c r="H17" s="38"/>
      <c r="I17" s="38"/>
      <c r="J17" s="38"/>
    </row>
    <row r="18" spans="2:10" x14ac:dyDescent="0.25">
      <c r="C18" s="39" t="s">
        <v>64</v>
      </c>
      <c r="D18" s="39"/>
      <c r="E18" s="38" t="s">
        <v>65</v>
      </c>
      <c r="F18" s="38"/>
      <c r="G18" s="38"/>
      <c r="H18" s="38"/>
      <c r="I18" s="38"/>
      <c r="J18" s="38"/>
    </row>
    <row r="19" spans="2:10" x14ac:dyDescent="0.25">
      <c r="C19" s="39" t="s">
        <v>66</v>
      </c>
      <c r="D19" s="39"/>
      <c r="E19" s="38" t="s">
        <v>67</v>
      </c>
      <c r="F19" s="38"/>
      <c r="G19" s="38"/>
      <c r="H19" s="38"/>
      <c r="I19" s="38"/>
      <c r="J19" s="38"/>
    </row>
    <row r="20" spans="2:10" x14ac:dyDescent="0.25">
      <c r="C20" s="39" t="s">
        <v>68</v>
      </c>
      <c r="D20" s="39"/>
      <c r="E20" s="38" t="s">
        <v>69</v>
      </c>
      <c r="F20" s="38"/>
      <c r="G20" s="38"/>
      <c r="H20" s="38"/>
      <c r="I20" s="38"/>
      <c r="J20" s="38"/>
    </row>
    <row r="21" spans="2:10" x14ac:dyDescent="0.25">
      <c r="C21" s="39" t="s">
        <v>70</v>
      </c>
      <c r="D21" s="39"/>
      <c r="E21" s="38" t="s">
        <v>71</v>
      </c>
      <c r="F21" s="38"/>
      <c r="G21" s="38"/>
      <c r="H21" s="38"/>
      <c r="I21" s="38"/>
      <c r="J21" s="38"/>
    </row>
    <row r="22" spans="2:10" x14ac:dyDescent="0.25">
      <c r="C22" s="39" t="s">
        <v>72</v>
      </c>
      <c r="D22" s="39"/>
      <c r="E22" s="38" t="s">
        <v>73</v>
      </c>
      <c r="F22" s="38"/>
      <c r="G22" s="38"/>
      <c r="H22" s="38"/>
      <c r="I22" s="38"/>
      <c r="J22" s="38"/>
    </row>
    <row r="24" spans="2:10" ht="15" customHeight="1" x14ac:dyDescent="0.25">
      <c r="B24" s="37" t="s">
        <v>74</v>
      </c>
      <c r="C24" s="37"/>
      <c r="D24" s="37"/>
      <c r="E24" s="37"/>
      <c r="F24" s="37"/>
      <c r="G24" s="37"/>
      <c r="H24" s="37"/>
      <c r="I24" s="37"/>
      <c r="J24" s="37"/>
    </row>
    <row r="25" spans="2:10" ht="15" customHeight="1" x14ac:dyDescent="0.25">
      <c r="B25" s="37"/>
      <c r="C25" s="37"/>
      <c r="D25" s="37"/>
      <c r="E25" s="37"/>
      <c r="F25" s="37"/>
      <c r="G25" s="37"/>
      <c r="H25" s="37"/>
      <c r="I25" s="37"/>
      <c r="J25" s="37"/>
    </row>
    <row r="26" spans="2:10" ht="15" customHeight="1" x14ac:dyDescent="0.25">
      <c r="B26" s="37"/>
      <c r="C26" s="37"/>
      <c r="D26" s="37"/>
      <c r="E26" s="37"/>
      <c r="F26" s="37"/>
      <c r="G26" s="37"/>
      <c r="H26" s="37"/>
      <c r="I26" s="37"/>
      <c r="J26" s="37"/>
    </row>
    <row r="27" spans="2:10" x14ac:dyDescent="0.25">
      <c r="B27" s="37"/>
      <c r="C27" s="37"/>
      <c r="D27" s="37"/>
      <c r="E27" s="37"/>
      <c r="F27" s="37"/>
      <c r="G27" s="37"/>
      <c r="H27" s="37"/>
      <c r="I27" s="37"/>
      <c r="J27" s="37"/>
    </row>
    <row r="34" spans="1:13" ht="15.75" x14ac:dyDescent="0.25">
      <c r="A34" s="22" t="s">
        <v>75</v>
      </c>
      <c r="B34" s="38" t="s">
        <v>76</v>
      </c>
      <c r="C34" s="38"/>
      <c r="D34" s="38"/>
      <c r="E34" s="38"/>
      <c r="F34" s="38"/>
      <c r="G34" s="38"/>
      <c r="H34" s="38"/>
      <c r="I34" s="38"/>
      <c r="J34" s="38"/>
      <c r="K34" s="38"/>
      <c r="L34" s="38"/>
      <c r="M34" s="38"/>
    </row>
    <row r="35" spans="1:13" ht="15.75" x14ac:dyDescent="0.25">
      <c r="A35" s="22"/>
    </row>
    <row r="36" spans="1:13" ht="15.75" x14ac:dyDescent="0.25">
      <c r="A36" s="22" t="s">
        <v>77</v>
      </c>
      <c r="B36" s="38" t="s">
        <v>78</v>
      </c>
      <c r="C36" s="38"/>
      <c r="D36" s="38"/>
      <c r="E36" s="38"/>
      <c r="F36" s="38"/>
      <c r="G36" s="38"/>
      <c r="H36" s="38"/>
      <c r="I36" s="38"/>
      <c r="J36" s="38"/>
      <c r="K36" s="38"/>
      <c r="L36" s="38"/>
      <c r="M36" s="38"/>
    </row>
  </sheetData>
  <sheetProtection algorithmName="SHA-512" hashValue="rfeIbBV7NLFdyIXPZC4s9kbWqVDMnr+LcrbThaX/ybpiDWZQoiUo+UEpF5IU1mFIatIU265ZUTsFRcOpmV9p1g==" saltValue="YBsPkQa+NHD1rGZ9QybrdA==" spinCount="100000" sheet="1" objects="1" scenarios="1"/>
  <mergeCells count="16">
    <mergeCell ref="C19:D19"/>
    <mergeCell ref="E19:J19"/>
    <mergeCell ref="B14:J16"/>
    <mergeCell ref="C17:D17"/>
    <mergeCell ref="E17:J17"/>
    <mergeCell ref="C18:D18"/>
    <mergeCell ref="E18:J18"/>
    <mergeCell ref="B24:J27"/>
    <mergeCell ref="B34:M34"/>
    <mergeCell ref="B36:M36"/>
    <mergeCell ref="C20:D20"/>
    <mergeCell ref="E20:J20"/>
    <mergeCell ref="C21:D21"/>
    <mergeCell ref="E21:J21"/>
    <mergeCell ref="C22:D22"/>
    <mergeCell ref="E22:J22"/>
  </mergeCells>
  <hyperlinks>
    <hyperlink ref="E17" r:id="rId1"/>
    <hyperlink ref="E18" r:id="rId2"/>
    <hyperlink ref="E19" r:id="rId3"/>
    <hyperlink ref="E21" r:id="rId4"/>
    <hyperlink ref="E22" r:id="rId5"/>
    <hyperlink ref="B36" r:id="rId6"/>
    <hyperlink ref="B34" r:id="rId7"/>
  </hyperlinks>
  <pageMargins left="0.7" right="0.7" top="0.75" bottom="0.75" header="0.3" footer="0.3"/>
  <pageSetup orientation="portrait" horizontalDpi="1200" verticalDpi="1200" r:id="rId8"/>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2"/>
  <sheetViews>
    <sheetView topLeftCell="A64" workbookViewId="0">
      <selection activeCell="R10" sqref="R10"/>
    </sheetView>
  </sheetViews>
  <sheetFormatPr defaultRowHeight="15" x14ac:dyDescent="0.25"/>
  <sheetData>
    <row r="1" spans="1:14" ht="30" x14ac:dyDescent="0.25">
      <c r="A1" s="41" t="s">
        <v>19</v>
      </c>
      <c r="B1" s="41" t="s">
        <v>45</v>
      </c>
      <c r="C1" s="41" t="s">
        <v>46</v>
      </c>
      <c r="D1" s="41" t="s">
        <v>47</v>
      </c>
      <c r="E1" s="41" t="s">
        <v>48</v>
      </c>
      <c r="F1" s="41" t="s">
        <v>58</v>
      </c>
      <c r="G1" s="41" t="s">
        <v>21</v>
      </c>
      <c r="H1" s="41" t="s">
        <v>22</v>
      </c>
      <c r="I1" s="41" t="s">
        <v>23</v>
      </c>
      <c r="J1" s="41" t="s">
        <v>24</v>
      </c>
      <c r="K1" s="41" t="s">
        <v>49</v>
      </c>
      <c r="L1" s="1" t="s">
        <v>50</v>
      </c>
      <c r="M1" s="1" t="s">
        <v>52</v>
      </c>
      <c r="N1" s="1" t="s">
        <v>53</v>
      </c>
    </row>
    <row r="2" spans="1:14" x14ac:dyDescent="0.25">
      <c r="A2" s="41"/>
      <c r="B2" s="41"/>
      <c r="C2" s="41"/>
      <c r="D2" s="41"/>
      <c r="E2" s="41"/>
      <c r="F2" s="41"/>
      <c r="G2" s="41"/>
      <c r="H2" s="41"/>
      <c r="I2" s="41"/>
      <c r="J2" s="41"/>
      <c r="K2" s="41"/>
      <c r="L2" s="1" t="s">
        <v>51</v>
      </c>
      <c r="M2" s="1" t="s">
        <v>51</v>
      </c>
      <c r="N2" s="1" t="s">
        <v>51</v>
      </c>
    </row>
    <row r="3" spans="1:14" ht="30" x14ac:dyDescent="0.25">
      <c r="A3" s="2" t="s">
        <v>30</v>
      </c>
      <c r="B3" s="2" t="s">
        <v>54</v>
      </c>
      <c r="C3" s="2" t="s">
        <v>55</v>
      </c>
      <c r="D3" s="2" t="s">
        <v>56</v>
      </c>
      <c r="E3" s="2">
        <v>1</v>
      </c>
      <c r="F3" s="2"/>
      <c r="G3" s="2" t="s">
        <v>27</v>
      </c>
      <c r="H3" s="2">
        <v>2.5000000000000001E-4</v>
      </c>
      <c r="I3" s="2">
        <v>2.4800000000000001E-4</v>
      </c>
      <c r="J3" s="2">
        <v>1.008</v>
      </c>
      <c r="K3" s="2">
        <v>19</v>
      </c>
      <c r="L3" s="2">
        <v>30.75</v>
      </c>
      <c r="M3" s="2">
        <v>57.666600000000003</v>
      </c>
      <c r="N3" s="2">
        <v>158</v>
      </c>
    </row>
    <row r="4" spans="1:14" ht="30" x14ac:dyDescent="0.25">
      <c r="A4" s="2" t="s">
        <v>30</v>
      </c>
      <c r="B4" s="2" t="s">
        <v>54</v>
      </c>
      <c r="C4" s="2" t="s">
        <v>55</v>
      </c>
      <c r="D4" s="2" t="s">
        <v>56</v>
      </c>
      <c r="E4" s="2">
        <v>2</v>
      </c>
      <c r="F4" s="2"/>
      <c r="G4" s="2" t="s">
        <v>27</v>
      </c>
      <c r="H4" s="2">
        <v>2.5900000000000001E-4</v>
      </c>
      <c r="I4" s="2">
        <v>2.5300000000000002E-4</v>
      </c>
      <c r="J4" s="2">
        <v>1.024</v>
      </c>
      <c r="K4" s="2">
        <v>19</v>
      </c>
      <c r="L4" s="2">
        <v>30.75</v>
      </c>
      <c r="M4" s="2">
        <v>57.666600000000003</v>
      </c>
      <c r="N4" s="2">
        <v>158</v>
      </c>
    </row>
    <row r="5" spans="1:14" ht="30" x14ac:dyDescent="0.25">
      <c r="A5" s="2" t="s">
        <v>30</v>
      </c>
      <c r="B5" s="2" t="s">
        <v>54</v>
      </c>
      <c r="C5" s="2" t="s">
        <v>55</v>
      </c>
      <c r="D5" s="2" t="s">
        <v>56</v>
      </c>
      <c r="E5" s="2">
        <v>3</v>
      </c>
      <c r="F5" s="2"/>
      <c r="G5" s="2" t="s">
        <v>27</v>
      </c>
      <c r="H5" s="2">
        <v>2.4499999999999999E-4</v>
      </c>
      <c r="I5" s="2">
        <v>2.43E-4</v>
      </c>
      <c r="J5" s="2">
        <v>1.0089999999999999</v>
      </c>
      <c r="K5" s="2">
        <v>59</v>
      </c>
      <c r="L5" s="2">
        <v>59.5</v>
      </c>
      <c r="M5" s="2">
        <v>32</v>
      </c>
      <c r="N5" s="2">
        <v>158</v>
      </c>
    </row>
    <row r="6" spans="1:14" ht="30" x14ac:dyDescent="0.25">
      <c r="A6" s="2" t="s">
        <v>30</v>
      </c>
      <c r="B6" s="2" t="s">
        <v>59</v>
      </c>
      <c r="C6" s="2" t="s">
        <v>55</v>
      </c>
      <c r="D6" s="2" t="s">
        <v>56</v>
      </c>
      <c r="E6" s="2">
        <v>1</v>
      </c>
      <c r="F6" s="2"/>
      <c r="G6" s="2" t="s">
        <v>28</v>
      </c>
      <c r="H6" s="2">
        <v>2.61E-4</v>
      </c>
      <c r="I6" s="2">
        <v>2.5500000000000002E-4</v>
      </c>
      <c r="J6" s="2">
        <v>1.022</v>
      </c>
      <c r="K6" s="2">
        <v>39</v>
      </c>
      <c r="L6" s="2">
        <v>30.75</v>
      </c>
      <c r="M6" s="2">
        <v>32</v>
      </c>
      <c r="N6" s="2">
        <v>158</v>
      </c>
    </row>
    <row r="7" spans="1:14" ht="30" x14ac:dyDescent="0.25">
      <c r="A7" s="2" t="s">
        <v>30</v>
      </c>
      <c r="B7" s="2" t="s">
        <v>59</v>
      </c>
      <c r="C7" s="2" t="s">
        <v>55</v>
      </c>
      <c r="D7" s="2" t="s">
        <v>56</v>
      </c>
      <c r="E7" s="2">
        <v>2</v>
      </c>
      <c r="F7" s="2"/>
      <c r="G7" s="2" t="s">
        <v>28</v>
      </c>
      <c r="H7" s="2">
        <v>2.5599999999999999E-4</v>
      </c>
      <c r="I7" s="2">
        <v>2.5500000000000002E-4</v>
      </c>
      <c r="J7" s="2">
        <v>1.002</v>
      </c>
      <c r="K7" s="2">
        <v>39</v>
      </c>
      <c r="L7" s="2">
        <v>30.75</v>
      </c>
      <c r="M7" s="2">
        <v>32</v>
      </c>
      <c r="N7" s="2">
        <v>158</v>
      </c>
    </row>
    <row r="8" spans="1:14" ht="30" x14ac:dyDescent="0.25">
      <c r="A8" s="2" t="s">
        <v>30</v>
      </c>
      <c r="B8" s="2" t="s">
        <v>59</v>
      </c>
      <c r="C8" s="2" t="s">
        <v>55</v>
      </c>
      <c r="D8" s="2" t="s">
        <v>56</v>
      </c>
      <c r="E8" s="2">
        <v>3</v>
      </c>
      <c r="F8" s="2"/>
      <c r="G8" s="2" t="s">
        <v>28</v>
      </c>
      <c r="H8" s="2">
        <v>2.6499999999999999E-4</v>
      </c>
      <c r="I8" s="2">
        <v>2.5500000000000002E-4</v>
      </c>
      <c r="J8" s="2">
        <v>1.0409999999999999</v>
      </c>
      <c r="K8" s="2">
        <v>39</v>
      </c>
      <c r="L8" s="2">
        <v>30.75</v>
      </c>
      <c r="M8" s="2">
        <v>32</v>
      </c>
      <c r="N8" s="2">
        <v>158</v>
      </c>
    </row>
    <row r="9" spans="1:14" ht="45" x14ac:dyDescent="0.25">
      <c r="A9" s="2" t="s">
        <v>31</v>
      </c>
      <c r="B9" s="2" t="s">
        <v>54</v>
      </c>
      <c r="C9" s="2" t="s">
        <v>55</v>
      </c>
      <c r="D9" s="2" t="s">
        <v>56</v>
      </c>
      <c r="E9" s="2">
        <v>1</v>
      </c>
      <c r="F9" s="2"/>
      <c r="G9" s="2" t="s">
        <v>27</v>
      </c>
      <c r="H9" s="2">
        <v>2.5700000000000001E-4</v>
      </c>
      <c r="I9" s="2">
        <v>2.4600000000000002E-4</v>
      </c>
      <c r="J9" s="2">
        <v>1.0469999999999999</v>
      </c>
      <c r="K9" s="2">
        <v>54</v>
      </c>
      <c r="L9" s="2">
        <v>5.4166999999999996</v>
      </c>
      <c r="M9" s="2">
        <v>74.833299999999994</v>
      </c>
      <c r="N9" s="2">
        <v>148</v>
      </c>
    </row>
    <row r="10" spans="1:14" ht="45" x14ac:dyDescent="0.25">
      <c r="A10" s="2" t="s">
        <v>31</v>
      </c>
      <c r="B10" s="2" t="s">
        <v>54</v>
      </c>
      <c r="C10" s="2" t="s">
        <v>55</v>
      </c>
      <c r="D10" s="2" t="s">
        <v>56</v>
      </c>
      <c r="E10" s="2">
        <v>2</v>
      </c>
      <c r="F10" s="2"/>
      <c r="G10" s="2" t="s">
        <v>27</v>
      </c>
      <c r="H10" s="2">
        <v>2.7399999999999999E-4</v>
      </c>
      <c r="I10" s="2">
        <v>2.4899999999999998E-4</v>
      </c>
      <c r="J10" s="2">
        <v>1.103</v>
      </c>
      <c r="K10" s="2">
        <v>54</v>
      </c>
      <c r="L10" s="2">
        <v>5.4166999999999996</v>
      </c>
      <c r="M10" s="2">
        <v>74.833299999999994</v>
      </c>
      <c r="N10" s="2">
        <v>148</v>
      </c>
    </row>
    <row r="11" spans="1:14" ht="45" x14ac:dyDescent="0.25">
      <c r="A11" s="2" t="s">
        <v>31</v>
      </c>
      <c r="B11" s="2" t="s">
        <v>54</v>
      </c>
      <c r="C11" s="2" t="s">
        <v>55</v>
      </c>
      <c r="D11" s="2" t="s">
        <v>56</v>
      </c>
      <c r="E11" s="2">
        <v>3</v>
      </c>
      <c r="F11" s="2"/>
      <c r="G11" s="2" t="s">
        <v>27</v>
      </c>
      <c r="H11" s="2">
        <v>2.4600000000000002E-4</v>
      </c>
      <c r="I11" s="2">
        <v>2.43E-4</v>
      </c>
      <c r="J11" s="2">
        <v>1.0109999999999999</v>
      </c>
      <c r="K11" s="2">
        <v>12</v>
      </c>
      <c r="L11" s="2">
        <v>70.75</v>
      </c>
      <c r="M11" s="2">
        <v>0</v>
      </c>
      <c r="N11" s="2">
        <v>148</v>
      </c>
    </row>
    <row r="12" spans="1:14" ht="45" x14ac:dyDescent="0.25">
      <c r="A12" s="2" t="s">
        <v>31</v>
      </c>
      <c r="B12" s="2" t="s">
        <v>59</v>
      </c>
      <c r="C12" s="2" t="s">
        <v>55</v>
      </c>
      <c r="D12" s="2" t="s">
        <v>56</v>
      </c>
      <c r="E12" s="2">
        <v>1</v>
      </c>
      <c r="F12" s="2"/>
      <c r="G12" s="2" t="s">
        <v>28</v>
      </c>
      <c r="H12" s="2">
        <v>2.6400000000000002E-4</v>
      </c>
      <c r="I12" s="2">
        <v>2.5300000000000002E-4</v>
      </c>
      <c r="J12" s="2">
        <v>1.042</v>
      </c>
      <c r="K12" s="2">
        <v>5</v>
      </c>
      <c r="L12" s="2">
        <v>0</v>
      </c>
      <c r="M12" s="2">
        <v>16.5</v>
      </c>
      <c r="N12" s="2">
        <v>148</v>
      </c>
    </row>
    <row r="13" spans="1:14" ht="45" x14ac:dyDescent="0.25">
      <c r="A13" s="2" t="s">
        <v>31</v>
      </c>
      <c r="B13" s="2" t="s">
        <v>59</v>
      </c>
      <c r="C13" s="2" t="s">
        <v>55</v>
      </c>
      <c r="D13" s="2" t="s">
        <v>56</v>
      </c>
      <c r="E13" s="2">
        <v>2</v>
      </c>
      <c r="F13" s="2"/>
      <c r="G13" s="2" t="s">
        <v>28</v>
      </c>
      <c r="H13" s="2">
        <v>2.5900000000000001E-4</v>
      </c>
      <c r="I13" s="2">
        <v>2.52E-4</v>
      </c>
      <c r="J13" s="2">
        <v>1.028</v>
      </c>
      <c r="K13" s="2">
        <v>13</v>
      </c>
      <c r="L13" s="2">
        <v>84.500100000000003</v>
      </c>
      <c r="M13" s="2">
        <v>16.5</v>
      </c>
      <c r="N13" s="2">
        <v>148</v>
      </c>
    </row>
    <row r="14" spans="1:14" ht="45" x14ac:dyDescent="0.25">
      <c r="A14" s="2" t="s">
        <v>31</v>
      </c>
      <c r="B14" s="2" t="s">
        <v>59</v>
      </c>
      <c r="C14" s="2" t="s">
        <v>55</v>
      </c>
      <c r="D14" s="2" t="s">
        <v>56</v>
      </c>
      <c r="E14" s="2">
        <v>3</v>
      </c>
      <c r="F14" s="2"/>
      <c r="G14" s="2" t="s">
        <v>28</v>
      </c>
      <c r="H14" s="2">
        <v>2.8200000000000002E-4</v>
      </c>
      <c r="I14" s="2">
        <v>2.5399999999999999E-4</v>
      </c>
      <c r="J14" s="2">
        <v>1.1120000000000001</v>
      </c>
      <c r="K14" s="2">
        <v>5</v>
      </c>
      <c r="L14" s="2">
        <v>0</v>
      </c>
      <c r="M14" s="2">
        <v>16.5</v>
      </c>
      <c r="N14" s="2">
        <v>148</v>
      </c>
    </row>
    <row r="15" spans="1:14" ht="30" x14ac:dyDescent="0.25">
      <c r="A15" s="2" t="s">
        <v>32</v>
      </c>
      <c r="B15" s="2" t="s">
        <v>54</v>
      </c>
      <c r="C15" s="2" t="s">
        <v>55</v>
      </c>
      <c r="D15" s="2" t="s">
        <v>56</v>
      </c>
      <c r="E15" s="2">
        <v>1</v>
      </c>
      <c r="F15" s="2"/>
      <c r="G15" s="2" t="s">
        <v>27</v>
      </c>
      <c r="H15" s="2">
        <v>2.7500000000000002E-4</v>
      </c>
      <c r="I15" s="2">
        <v>2.7500000000000002E-4</v>
      </c>
      <c r="J15" s="2">
        <v>1.0009999999999999</v>
      </c>
      <c r="K15" s="2">
        <v>54</v>
      </c>
      <c r="L15" s="2">
        <v>5.4166999999999996</v>
      </c>
      <c r="M15" s="2">
        <v>74.833299999999994</v>
      </c>
      <c r="N15" s="2">
        <v>138</v>
      </c>
    </row>
    <row r="16" spans="1:14" ht="30" x14ac:dyDescent="0.25">
      <c r="A16" s="2" t="s">
        <v>32</v>
      </c>
      <c r="B16" s="2" t="s">
        <v>54</v>
      </c>
      <c r="C16" s="2" t="s">
        <v>55</v>
      </c>
      <c r="D16" s="2" t="s">
        <v>56</v>
      </c>
      <c r="E16" s="2">
        <v>2</v>
      </c>
      <c r="F16" s="2"/>
      <c r="G16" s="2" t="s">
        <v>27</v>
      </c>
      <c r="H16" s="2">
        <v>2.9799999999999998E-4</v>
      </c>
      <c r="I16" s="2">
        <v>2.7799999999999998E-4</v>
      </c>
      <c r="J16" s="2">
        <v>1.075</v>
      </c>
      <c r="K16" s="2">
        <v>54</v>
      </c>
      <c r="L16" s="2">
        <v>5.4166999999999996</v>
      </c>
      <c r="M16" s="2">
        <v>74.833299999999994</v>
      </c>
      <c r="N16" s="2">
        <v>138</v>
      </c>
    </row>
    <row r="17" spans="1:14" ht="30" x14ac:dyDescent="0.25">
      <c r="A17" s="2" t="s">
        <v>32</v>
      </c>
      <c r="B17" s="2" t="s">
        <v>54</v>
      </c>
      <c r="C17" s="2" t="s">
        <v>55</v>
      </c>
      <c r="D17" s="2" t="s">
        <v>56</v>
      </c>
      <c r="E17" s="2">
        <v>3</v>
      </c>
      <c r="F17" s="2"/>
      <c r="G17" s="2" t="s">
        <v>27</v>
      </c>
      <c r="H17" s="2">
        <v>2.92E-4</v>
      </c>
      <c r="I17" s="2">
        <v>2.72E-4</v>
      </c>
      <c r="J17" s="2">
        <v>1.075</v>
      </c>
      <c r="K17" s="2">
        <v>12</v>
      </c>
      <c r="L17" s="2">
        <v>70.75</v>
      </c>
      <c r="M17" s="2">
        <v>0</v>
      </c>
      <c r="N17" s="2">
        <v>138</v>
      </c>
    </row>
    <row r="18" spans="1:14" ht="30" x14ac:dyDescent="0.25">
      <c r="A18" s="2" t="s">
        <v>32</v>
      </c>
      <c r="B18" s="2" t="s">
        <v>59</v>
      </c>
      <c r="C18" s="2" t="s">
        <v>55</v>
      </c>
      <c r="D18" s="2" t="s">
        <v>56</v>
      </c>
      <c r="E18" s="2">
        <v>1</v>
      </c>
      <c r="F18" s="2"/>
      <c r="G18" s="2" t="s">
        <v>28</v>
      </c>
      <c r="H18" s="2">
        <v>2.9700000000000001E-4</v>
      </c>
      <c r="I18" s="2">
        <v>2.81E-4</v>
      </c>
      <c r="J18" s="2">
        <v>1.056</v>
      </c>
      <c r="K18" s="2">
        <v>5</v>
      </c>
      <c r="L18" s="2">
        <v>0</v>
      </c>
      <c r="M18" s="2">
        <v>16.5</v>
      </c>
      <c r="N18" s="2">
        <v>138</v>
      </c>
    </row>
    <row r="19" spans="1:14" ht="30" x14ac:dyDescent="0.25">
      <c r="A19" s="2" t="s">
        <v>32</v>
      </c>
      <c r="B19" s="2" t="s">
        <v>59</v>
      </c>
      <c r="C19" s="2" t="s">
        <v>55</v>
      </c>
      <c r="D19" s="2" t="s">
        <v>56</v>
      </c>
      <c r="E19" s="2">
        <v>2</v>
      </c>
      <c r="F19" s="2"/>
      <c r="G19" s="2" t="s">
        <v>28</v>
      </c>
      <c r="H19" s="2">
        <v>2.9E-4</v>
      </c>
      <c r="I19" s="2">
        <v>2.7999999999999998E-4</v>
      </c>
      <c r="J19" s="2">
        <v>1.036</v>
      </c>
      <c r="K19" s="2">
        <v>13</v>
      </c>
      <c r="L19" s="2">
        <v>84.500100000000003</v>
      </c>
      <c r="M19" s="2">
        <v>16.5</v>
      </c>
      <c r="N19" s="2">
        <v>138</v>
      </c>
    </row>
    <row r="20" spans="1:14" ht="30" x14ac:dyDescent="0.25">
      <c r="A20" s="2" t="s">
        <v>32</v>
      </c>
      <c r="B20" s="2" t="s">
        <v>59</v>
      </c>
      <c r="C20" s="2" t="s">
        <v>55</v>
      </c>
      <c r="D20" s="2" t="s">
        <v>56</v>
      </c>
      <c r="E20" s="2">
        <v>3</v>
      </c>
      <c r="F20" s="2"/>
      <c r="G20" s="2" t="s">
        <v>28</v>
      </c>
      <c r="H20" s="2">
        <v>3.2400000000000001E-4</v>
      </c>
      <c r="I20" s="2">
        <v>2.8200000000000002E-4</v>
      </c>
      <c r="J20" s="2">
        <v>1.147</v>
      </c>
      <c r="K20" s="2">
        <v>5</v>
      </c>
      <c r="L20" s="2">
        <v>0</v>
      </c>
      <c r="M20" s="2">
        <v>16.5</v>
      </c>
      <c r="N20" s="2">
        <v>138</v>
      </c>
    </row>
    <row r="21" spans="1:14" ht="30" x14ac:dyDescent="0.25">
      <c r="A21" s="2" t="s">
        <v>33</v>
      </c>
      <c r="B21" s="2" t="s">
        <v>54</v>
      </c>
      <c r="C21" s="2" t="s">
        <v>55</v>
      </c>
      <c r="D21" s="2" t="s">
        <v>56</v>
      </c>
      <c r="E21" s="2">
        <v>1</v>
      </c>
      <c r="F21" s="2"/>
      <c r="G21" s="2" t="s">
        <v>27</v>
      </c>
      <c r="H21" s="2">
        <v>3.1500000000000001E-4</v>
      </c>
      <c r="I21" s="2">
        <v>3.0600000000000001E-4</v>
      </c>
      <c r="J21" s="2">
        <v>1.032</v>
      </c>
      <c r="K21" s="2">
        <v>12</v>
      </c>
      <c r="L21" s="2">
        <v>70.75</v>
      </c>
      <c r="M21" s="2">
        <v>0</v>
      </c>
      <c r="N21" s="2">
        <v>128</v>
      </c>
    </row>
    <row r="22" spans="1:14" ht="30" x14ac:dyDescent="0.25">
      <c r="A22" s="2" t="s">
        <v>33</v>
      </c>
      <c r="B22" s="2" t="s">
        <v>54</v>
      </c>
      <c r="C22" s="2" t="s">
        <v>55</v>
      </c>
      <c r="D22" s="2" t="s">
        <v>56</v>
      </c>
      <c r="E22" s="2">
        <v>2</v>
      </c>
      <c r="F22" s="2"/>
      <c r="G22" s="2" t="s">
        <v>27</v>
      </c>
      <c r="H22" s="2">
        <v>3.2600000000000001E-4</v>
      </c>
      <c r="I22" s="2">
        <v>3.0899999999999998E-4</v>
      </c>
      <c r="J22" s="2">
        <v>1.0569999999999999</v>
      </c>
      <c r="K22" s="2">
        <v>54</v>
      </c>
      <c r="L22" s="2">
        <v>5.4166999999999996</v>
      </c>
      <c r="M22" s="2">
        <v>74.833299999999994</v>
      </c>
      <c r="N22" s="2">
        <v>128</v>
      </c>
    </row>
    <row r="23" spans="1:14" ht="30" x14ac:dyDescent="0.25">
      <c r="A23" s="2" t="s">
        <v>33</v>
      </c>
      <c r="B23" s="2" t="s">
        <v>54</v>
      </c>
      <c r="C23" s="2" t="s">
        <v>55</v>
      </c>
      <c r="D23" s="2" t="s">
        <v>56</v>
      </c>
      <c r="E23" s="2">
        <v>3</v>
      </c>
      <c r="F23" s="2"/>
      <c r="G23" s="2" t="s">
        <v>27</v>
      </c>
      <c r="H23" s="2">
        <v>3.4000000000000002E-4</v>
      </c>
      <c r="I23" s="2">
        <v>3.0299999999999999E-4</v>
      </c>
      <c r="J23" s="2">
        <v>1.1220000000000001</v>
      </c>
      <c r="K23" s="2">
        <v>12</v>
      </c>
      <c r="L23" s="2">
        <v>70.75</v>
      </c>
      <c r="M23" s="2">
        <v>0</v>
      </c>
      <c r="N23" s="2">
        <v>128</v>
      </c>
    </row>
    <row r="24" spans="1:14" ht="30" x14ac:dyDescent="0.25">
      <c r="A24" s="2" t="s">
        <v>33</v>
      </c>
      <c r="B24" s="2" t="s">
        <v>59</v>
      </c>
      <c r="C24" s="2" t="s">
        <v>55</v>
      </c>
      <c r="D24" s="2" t="s">
        <v>56</v>
      </c>
      <c r="E24" s="2">
        <v>1</v>
      </c>
      <c r="F24" s="2"/>
      <c r="G24" s="2" t="s">
        <v>28</v>
      </c>
      <c r="H24" s="2">
        <v>3.3300000000000002E-4</v>
      </c>
      <c r="I24" s="2">
        <v>3.1199999999999999E-4</v>
      </c>
      <c r="J24" s="2">
        <v>1.0649999999999999</v>
      </c>
      <c r="K24" s="2">
        <v>5</v>
      </c>
      <c r="L24" s="2">
        <v>0</v>
      </c>
      <c r="M24" s="2">
        <v>16.5</v>
      </c>
      <c r="N24" s="2">
        <v>128</v>
      </c>
    </row>
    <row r="25" spans="1:14" ht="30" x14ac:dyDescent="0.25">
      <c r="A25" s="2" t="s">
        <v>33</v>
      </c>
      <c r="B25" s="2" t="s">
        <v>59</v>
      </c>
      <c r="C25" s="2" t="s">
        <v>55</v>
      </c>
      <c r="D25" s="2" t="s">
        <v>56</v>
      </c>
      <c r="E25" s="2">
        <v>2</v>
      </c>
      <c r="F25" s="2"/>
      <c r="G25" s="2" t="s">
        <v>28</v>
      </c>
      <c r="H25" s="2">
        <v>3.2499999999999999E-4</v>
      </c>
      <c r="I25" s="2">
        <v>3.1100000000000002E-4</v>
      </c>
      <c r="J25" s="2">
        <v>1.0449999999999999</v>
      </c>
      <c r="K25" s="2">
        <v>13</v>
      </c>
      <c r="L25" s="2">
        <v>84.500100000000003</v>
      </c>
      <c r="M25" s="2">
        <v>16.5</v>
      </c>
      <c r="N25" s="2">
        <v>128</v>
      </c>
    </row>
    <row r="26" spans="1:14" ht="30" x14ac:dyDescent="0.25">
      <c r="A26" s="2" t="s">
        <v>33</v>
      </c>
      <c r="B26" s="2" t="s">
        <v>59</v>
      </c>
      <c r="C26" s="2" t="s">
        <v>55</v>
      </c>
      <c r="D26" s="2" t="s">
        <v>56</v>
      </c>
      <c r="E26" s="2">
        <v>3</v>
      </c>
      <c r="F26" s="2"/>
      <c r="G26" s="2" t="s">
        <v>28</v>
      </c>
      <c r="H26" s="2">
        <v>3.68E-4</v>
      </c>
      <c r="I26" s="2">
        <v>3.1399999999999999E-4</v>
      </c>
      <c r="J26" s="2">
        <v>1.1739999999999999</v>
      </c>
      <c r="K26" s="2">
        <v>5</v>
      </c>
      <c r="L26" s="2">
        <v>0</v>
      </c>
      <c r="M26" s="2">
        <v>16.5</v>
      </c>
      <c r="N26" s="2">
        <v>128</v>
      </c>
    </row>
    <row r="27" spans="1:14" ht="30" x14ac:dyDescent="0.25">
      <c r="A27" s="2" t="s">
        <v>34</v>
      </c>
      <c r="B27" s="2" t="s">
        <v>54</v>
      </c>
      <c r="C27" s="2" t="s">
        <v>55</v>
      </c>
      <c r="D27" s="2" t="s">
        <v>56</v>
      </c>
      <c r="E27" s="2">
        <v>1</v>
      </c>
      <c r="F27" s="2"/>
      <c r="G27" s="2" t="s">
        <v>27</v>
      </c>
      <c r="H27" s="2">
        <v>3.5599999999999998E-4</v>
      </c>
      <c r="I27" s="2">
        <v>3.3799999999999998E-4</v>
      </c>
      <c r="J27" s="2">
        <v>1.054</v>
      </c>
      <c r="K27" s="2">
        <v>12</v>
      </c>
      <c r="L27" s="2">
        <v>70.75</v>
      </c>
      <c r="M27" s="2">
        <v>0</v>
      </c>
      <c r="N27" s="2">
        <v>118</v>
      </c>
    </row>
    <row r="28" spans="1:14" ht="30" x14ac:dyDescent="0.25">
      <c r="A28" s="2" t="s">
        <v>34</v>
      </c>
      <c r="B28" s="2" t="s">
        <v>54</v>
      </c>
      <c r="C28" s="2" t="s">
        <v>55</v>
      </c>
      <c r="D28" s="2" t="s">
        <v>56</v>
      </c>
      <c r="E28" s="2">
        <v>2</v>
      </c>
      <c r="F28" s="2"/>
      <c r="G28" s="2" t="s">
        <v>27</v>
      </c>
      <c r="H28" s="2">
        <v>3.5599999999999998E-4</v>
      </c>
      <c r="I28" s="2">
        <v>3.4099999999999999E-4</v>
      </c>
      <c r="J28" s="2">
        <v>1.0449999999999999</v>
      </c>
      <c r="K28" s="2">
        <v>54</v>
      </c>
      <c r="L28" s="2">
        <v>5.4166999999999996</v>
      </c>
      <c r="M28" s="2">
        <v>74.833299999999994</v>
      </c>
      <c r="N28" s="2">
        <v>118</v>
      </c>
    </row>
    <row r="29" spans="1:14" ht="30" x14ac:dyDescent="0.25">
      <c r="A29" s="2" t="s">
        <v>34</v>
      </c>
      <c r="B29" s="2" t="s">
        <v>54</v>
      </c>
      <c r="C29" s="2" t="s">
        <v>55</v>
      </c>
      <c r="D29" s="2" t="s">
        <v>56</v>
      </c>
      <c r="E29" s="2">
        <v>3</v>
      </c>
      <c r="F29" s="2"/>
      <c r="G29" s="2" t="s">
        <v>27</v>
      </c>
      <c r="H29" s="2">
        <v>3.8699999999999997E-4</v>
      </c>
      <c r="I29" s="2">
        <v>3.3500000000000001E-4</v>
      </c>
      <c r="J29" s="2">
        <v>1.155</v>
      </c>
      <c r="K29" s="2">
        <v>12</v>
      </c>
      <c r="L29" s="2">
        <v>70.75</v>
      </c>
      <c r="M29" s="2">
        <v>0</v>
      </c>
      <c r="N29" s="2">
        <v>118</v>
      </c>
    </row>
    <row r="30" spans="1:14" ht="30" x14ac:dyDescent="0.25">
      <c r="A30" s="2" t="s">
        <v>34</v>
      </c>
      <c r="B30" s="2" t="s">
        <v>59</v>
      </c>
      <c r="C30" s="2" t="s">
        <v>55</v>
      </c>
      <c r="D30" s="2" t="s">
        <v>56</v>
      </c>
      <c r="E30" s="2">
        <v>1</v>
      </c>
      <c r="F30" s="2"/>
      <c r="G30" s="2" t="s">
        <v>28</v>
      </c>
      <c r="H30" s="2">
        <v>3.68E-4</v>
      </c>
      <c r="I30" s="2">
        <v>3.4400000000000001E-4</v>
      </c>
      <c r="J30" s="2">
        <v>1.07</v>
      </c>
      <c r="K30" s="2">
        <v>5</v>
      </c>
      <c r="L30" s="2">
        <v>0</v>
      </c>
      <c r="M30" s="2">
        <v>16.5</v>
      </c>
      <c r="N30" s="2">
        <v>118</v>
      </c>
    </row>
    <row r="31" spans="1:14" ht="30" x14ac:dyDescent="0.25">
      <c r="A31" s="2" t="s">
        <v>34</v>
      </c>
      <c r="B31" s="2" t="s">
        <v>59</v>
      </c>
      <c r="C31" s="2" t="s">
        <v>55</v>
      </c>
      <c r="D31" s="2" t="s">
        <v>56</v>
      </c>
      <c r="E31" s="2">
        <v>2</v>
      </c>
      <c r="F31" s="2"/>
      <c r="G31" s="2" t="s">
        <v>28</v>
      </c>
      <c r="H31" s="2">
        <v>3.6099999999999999E-4</v>
      </c>
      <c r="I31" s="2">
        <v>3.4299999999999999E-4</v>
      </c>
      <c r="J31" s="2">
        <v>1.0529999999999999</v>
      </c>
      <c r="K31" s="2">
        <v>13</v>
      </c>
      <c r="L31" s="2">
        <v>84.500100000000003</v>
      </c>
      <c r="M31" s="2">
        <v>16.5</v>
      </c>
      <c r="N31" s="2">
        <v>118</v>
      </c>
    </row>
    <row r="32" spans="1:14" ht="30" x14ac:dyDescent="0.25">
      <c r="A32" s="2" t="s">
        <v>34</v>
      </c>
      <c r="B32" s="2" t="s">
        <v>59</v>
      </c>
      <c r="C32" s="2" t="s">
        <v>55</v>
      </c>
      <c r="D32" s="2" t="s">
        <v>56</v>
      </c>
      <c r="E32" s="2">
        <v>3</v>
      </c>
      <c r="F32" s="2"/>
      <c r="G32" s="2" t="s">
        <v>28</v>
      </c>
      <c r="H32" s="2">
        <v>4.1199999999999999E-4</v>
      </c>
      <c r="I32" s="2">
        <v>3.4600000000000001E-4</v>
      </c>
      <c r="J32" s="2">
        <v>1.1919999999999999</v>
      </c>
      <c r="K32" s="2">
        <v>5</v>
      </c>
      <c r="L32" s="2">
        <v>0</v>
      </c>
      <c r="M32" s="2">
        <v>16.5</v>
      </c>
      <c r="N32" s="2">
        <v>118</v>
      </c>
    </row>
    <row r="33" spans="1:14" ht="30" x14ac:dyDescent="0.25">
      <c r="A33" s="2" t="s">
        <v>35</v>
      </c>
      <c r="B33" s="2" t="s">
        <v>54</v>
      </c>
      <c r="C33" s="2" t="s">
        <v>55</v>
      </c>
      <c r="D33" s="2" t="s">
        <v>56</v>
      </c>
      <c r="E33" s="2">
        <v>1</v>
      </c>
      <c r="F33" s="2"/>
      <c r="G33" s="2" t="s">
        <v>27</v>
      </c>
      <c r="H33" s="2">
        <v>3.9399999999999998E-4</v>
      </c>
      <c r="I33" s="2">
        <v>3.68E-4</v>
      </c>
      <c r="J33" s="2">
        <v>1.07</v>
      </c>
      <c r="K33" s="2">
        <v>12</v>
      </c>
      <c r="L33" s="2">
        <v>70.75</v>
      </c>
      <c r="M33" s="2">
        <v>0</v>
      </c>
      <c r="N33" s="2">
        <v>108</v>
      </c>
    </row>
    <row r="34" spans="1:14" ht="30" x14ac:dyDescent="0.25">
      <c r="A34" s="2" t="s">
        <v>35</v>
      </c>
      <c r="B34" s="2" t="s">
        <v>54</v>
      </c>
      <c r="C34" s="2" t="s">
        <v>55</v>
      </c>
      <c r="D34" s="2" t="s">
        <v>56</v>
      </c>
      <c r="E34" s="2">
        <v>2</v>
      </c>
      <c r="F34" s="2"/>
      <c r="G34" s="2" t="s">
        <v>27</v>
      </c>
      <c r="H34" s="2">
        <v>3.8499999999999998E-4</v>
      </c>
      <c r="I34" s="2">
        <v>3.7100000000000002E-4</v>
      </c>
      <c r="J34" s="2">
        <v>1.036</v>
      </c>
      <c r="K34" s="2">
        <v>54</v>
      </c>
      <c r="L34" s="2">
        <v>5.4166999999999996</v>
      </c>
      <c r="M34" s="2">
        <v>74.833299999999994</v>
      </c>
      <c r="N34" s="2">
        <v>108</v>
      </c>
    </row>
    <row r="35" spans="1:14" ht="30" x14ac:dyDescent="0.25">
      <c r="A35" s="2" t="s">
        <v>35</v>
      </c>
      <c r="B35" s="2" t="s">
        <v>54</v>
      </c>
      <c r="C35" s="2" t="s">
        <v>55</v>
      </c>
      <c r="D35" s="2" t="s">
        <v>56</v>
      </c>
      <c r="E35" s="2">
        <v>3</v>
      </c>
      <c r="F35" s="2"/>
      <c r="G35" s="2" t="s">
        <v>27</v>
      </c>
      <c r="H35" s="2">
        <v>4.2900000000000002E-4</v>
      </c>
      <c r="I35" s="2">
        <v>3.6400000000000001E-4</v>
      </c>
      <c r="J35" s="2">
        <v>1.1779999999999999</v>
      </c>
      <c r="K35" s="2">
        <v>12</v>
      </c>
      <c r="L35" s="2">
        <v>70.75</v>
      </c>
      <c r="M35" s="2">
        <v>0</v>
      </c>
      <c r="N35" s="2">
        <v>108</v>
      </c>
    </row>
    <row r="36" spans="1:14" ht="30" x14ac:dyDescent="0.25">
      <c r="A36" s="2" t="s">
        <v>35</v>
      </c>
      <c r="B36" s="2" t="s">
        <v>59</v>
      </c>
      <c r="C36" s="2" t="s">
        <v>55</v>
      </c>
      <c r="D36" s="2" t="s">
        <v>56</v>
      </c>
      <c r="E36" s="2">
        <v>1</v>
      </c>
      <c r="F36" s="2"/>
      <c r="G36" s="2" t="s">
        <v>28</v>
      </c>
      <c r="H36" s="2">
        <v>4.0099999999999999E-4</v>
      </c>
      <c r="I36" s="2">
        <v>3.7399999999999998E-4</v>
      </c>
      <c r="J36" s="2">
        <v>1.073</v>
      </c>
      <c r="K36" s="2">
        <v>5</v>
      </c>
      <c r="L36" s="2">
        <v>0</v>
      </c>
      <c r="M36" s="2">
        <v>16.5</v>
      </c>
      <c r="N36" s="2">
        <v>108</v>
      </c>
    </row>
    <row r="37" spans="1:14" ht="30" x14ac:dyDescent="0.25">
      <c r="A37" s="2" t="s">
        <v>35</v>
      </c>
      <c r="B37" s="2" t="s">
        <v>59</v>
      </c>
      <c r="C37" s="2" t="s">
        <v>55</v>
      </c>
      <c r="D37" s="2" t="s">
        <v>56</v>
      </c>
      <c r="E37" s="2">
        <v>2</v>
      </c>
      <c r="F37" s="2"/>
      <c r="G37" s="2" t="s">
        <v>28</v>
      </c>
      <c r="H37" s="2">
        <v>3.9399999999999998E-4</v>
      </c>
      <c r="I37" s="2">
        <v>3.7199999999999999E-4</v>
      </c>
      <c r="J37" s="2">
        <v>1.0589999999999999</v>
      </c>
      <c r="K37" s="2">
        <v>13</v>
      </c>
      <c r="L37" s="2">
        <v>84.500100000000003</v>
      </c>
      <c r="M37" s="2">
        <v>16.5</v>
      </c>
      <c r="N37" s="2">
        <v>108</v>
      </c>
    </row>
    <row r="38" spans="1:14" ht="30" x14ac:dyDescent="0.25">
      <c r="A38" s="2" t="s">
        <v>35</v>
      </c>
      <c r="B38" s="2" t="s">
        <v>59</v>
      </c>
      <c r="C38" s="2" t="s">
        <v>55</v>
      </c>
      <c r="D38" s="2" t="s">
        <v>56</v>
      </c>
      <c r="E38" s="2">
        <v>3</v>
      </c>
      <c r="F38" s="2"/>
      <c r="G38" s="2" t="s">
        <v>28</v>
      </c>
      <c r="H38" s="2">
        <v>4.5199999999999998E-4</v>
      </c>
      <c r="I38" s="2">
        <v>3.7500000000000001E-4</v>
      </c>
      <c r="J38" s="2">
        <v>1.204</v>
      </c>
      <c r="K38" s="2">
        <v>5</v>
      </c>
      <c r="L38" s="2">
        <v>0</v>
      </c>
      <c r="M38" s="2">
        <v>16.5</v>
      </c>
      <c r="N38" s="2">
        <v>108</v>
      </c>
    </row>
    <row r="39" spans="1:14" ht="30" x14ac:dyDescent="0.25">
      <c r="A39" s="2" t="s">
        <v>36</v>
      </c>
      <c r="B39" s="2" t="s">
        <v>54</v>
      </c>
      <c r="C39" s="2" t="s">
        <v>55</v>
      </c>
      <c r="D39" s="2" t="s">
        <v>56</v>
      </c>
      <c r="E39" s="2">
        <v>1</v>
      </c>
      <c r="F39" s="2"/>
      <c r="G39" s="2" t="s">
        <v>27</v>
      </c>
      <c r="H39" s="2">
        <v>4.26E-4</v>
      </c>
      <c r="I39" s="2">
        <v>3.9399999999999998E-4</v>
      </c>
      <c r="J39" s="2">
        <v>1.0820000000000001</v>
      </c>
      <c r="K39" s="2">
        <v>12</v>
      </c>
      <c r="L39" s="2">
        <v>70.75</v>
      </c>
      <c r="M39" s="2">
        <v>0</v>
      </c>
      <c r="N39" s="2">
        <v>98</v>
      </c>
    </row>
    <row r="40" spans="1:14" ht="30" x14ac:dyDescent="0.25">
      <c r="A40" s="2" t="s">
        <v>36</v>
      </c>
      <c r="B40" s="2" t="s">
        <v>54</v>
      </c>
      <c r="C40" s="2" t="s">
        <v>55</v>
      </c>
      <c r="D40" s="2" t="s">
        <v>56</v>
      </c>
      <c r="E40" s="2">
        <v>2</v>
      </c>
      <c r="F40" s="2"/>
      <c r="G40" s="2" t="s">
        <v>27</v>
      </c>
      <c r="H40" s="2">
        <v>4.0900000000000002E-4</v>
      </c>
      <c r="I40" s="2">
        <v>3.97E-4</v>
      </c>
      <c r="J40" s="2">
        <v>1.0289999999999999</v>
      </c>
      <c r="K40" s="2">
        <v>54</v>
      </c>
      <c r="L40" s="2">
        <v>5.4166999999999996</v>
      </c>
      <c r="M40" s="2">
        <v>74.833299999999994</v>
      </c>
      <c r="N40" s="2">
        <v>98</v>
      </c>
    </row>
    <row r="41" spans="1:14" ht="30" x14ac:dyDescent="0.25">
      <c r="A41" s="2" t="s">
        <v>36</v>
      </c>
      <c r="B41" s="2" t="s">
        <v>54</v>
      </c>
      <c r="C41" s="2" t="s">
        <v>55</v>
      </c>
      <c r="D41" s="2" t="s">
        <v>56</v>
      </c>
      <c r="E41" s="2">
        <v>3</v>
      </c>
      <c r="F41" s="2"/>
      <c r="G41" s="2" t="s">
        <v>27</v>
      </c>
      <c r="H41" s="2">
        <v>4.66E-4</v>
      </c>
      <c r="I41" s="2">
        <v>3.8999999999999999E-4</v>
      </c>
      <c r="J41" s="2">
        <v>1.196</v>
      </c>
      <c r="K41" s="2">
        <v>12</v>
      </c>
      <c r="L41" s="2">
        <v>70.75</v>
      </c>
      <c r="M41" s="2">
        <v>0</v>
      </c>
      <c r="N41" s="2">
        <v>98</v>
      </c>
    </row>
    <row r="42" spans="1:14" ht="30" x14ac:dyDescent="0.25">
      <c r="A42" s="2" t="s">
        <v>36</v>
      </c>
      <c r="B42" s="2" t="s">
        <v>59</v>
      </c>
      <c r="C42" s="2" t="s">
        <v>55</v>
      </c>
      <c r="D42" s="2" t="s">
        <v>56</v>
      </c>
      <c r="E42" s="2">
        <v>1</v>
      </c>
      <c r="F42" s="2"/>
      <c r="G42" s="2" t="s">
        <v>28</v>
      </c>
      <c r="H42" s="2">
        <v>4.2900000000000002E-4</v>
      </c>
      <c r="I42" s="2">
        <v>3.9899999999999999E-4</v>
      </c>
      <c r="J42" s="2">
        <v>1.075</v>
      </c>
      <c r="K42" s="2">
        <v>5</v>
      </c>
      <c r="L42" s="2">
        <v>0</v>
      </c>
      <c r="M42" s="2">
        <v>16.5</v>
      </c>
      <c r="N42" s="2">
        <v>98</v>
      </c>
    </row>
    <row r="43" spans="1:14" ht="30" x14ac:dyDescent="0.25">
      <c r="A43" s="2" t="s">
        <v>36</v>
      </c>
      <c r="B43" s="2" t="s">
        <v>59</v>
      </c>
      <c r="C43" s="2" t="s">
        <v>55</v>
      </c>
      <c r="D43" s="2" t="s">
        <v>56</v>
      </c>
      <c r="E43" s="2">
        <v>2</v>
      </c>
      <c r="F43" s="2"/>
      <c r="G43" s="2" t="s">
        <v>28</v>
      </c>
      <c r="H43" s="2">
        <v>4.2299999999999998E-4</v>
      </c>
      <c r="I43" s="2">
        <v>3.97E-4</v>
      </c>
      <c r="J43" s="2">
        <v>1.0649999999999999</v>
      </c>
      <c r="K43" s="2">
        <v>13</v>
      </c>
      <c r="L43" s="2">
        <v>84.500100000000003</v>
      </c>
      <c r="M43" s="2">
        <v>16.5</v>
      </c>
      <c r="N43" s="2">
        <v>98</v>
      </c>
    </row>
    <row r="44" spans="1:14" ht="30" x14ac:dyDescent="0.25">
      <c r="A44" s="2" t="s">
        <v>36</v>
      </c>
      <c r="B44" s="2" t="s">
        <v>59</v>
      </c>
      <c r="C44" s="2" t="s">
        <v>55</v>
      </c>
      <c r="D44" s="2" t="s">
        <v>56</v>
      </c>
      <c r="E44" s="2">
        <v>3</v>
      </c>
      <c r="F44" s="2"/>
      <c r="G44" s="2" t="s">
        <v>28</v>
      </c>
      <c r="H44" s="2">
        <v>4.86E-4</v>
      </c>
      <c r="I44" s="2">
        <v>4.0000000000000002E-4</v>
      </c>
      <c r="J44" s="2">
        <v>1.2130000000000001</v>
      </c>
      <c r="K44" s="2">
        <v>5</v>
      </c>
      <c r="L44" s="2">
        <v>0</v>
      </c>
      <c r="M44" s="2">
        <v>16.5</v>
      </c>
      <c r="N44" s="2">
        <v>98</v>
      </c>
    </row>
    <row r="45" spans="1:14" ht="30" x14ac:dyDescent="0.25">
      <c r="A45" s="2" t="s">
        <v>37</v>
      </c>
      <c r="B45" s="2" t="s">
        <v>54</v>
      </c>
      <c r="C45" s="2" t="s">
        <v>55</v>
      </c>
      <c r="D45" s="2" t="s">
        <v>56</v>
      </c>
      <c r="E45" s="2">
        <v>1</v>
      </c>
      <c r="F45" s="2"/>
      <c r="G45" s="2" t="s">
        <v>27</v>
      </c>
      <c r="H45" s="2">
        <v>4.5199999999999998E-4</v>
      </c>
      <c r="I45" s="2">
        <v>4.1399999999999998E-4</v>
      </c>
      <c r="J45" s="2">
        <v>1.0920000000000001</v>
      </c>
      <c r="K45" s="2">
        <v>12</v>
      </c>
      <c r="L45" s="2">
        <v>70.75</v>
      </c>
      <c r="M45" s="2">
        <v>0</v>
      </c>
      <c r="N45" s="2">
        <v>88</v>
      </c>
    </row>
    <row r="46" spans="1:14" ht="30" x14ac:dyDescent="0.25">
      <c r="A46" s="2" t="s">
        <v>37</v>
      </c>
      <c r="B46" s="2" t="s">
        <v>54</v>
      </c>
      <c r="C46" s="2" t="s">
        <v>55</v>
      </c>
      <c r="D46" s="2" t="s">
        <v>56</v>
      </c>
      <c r="E46" s="2">
        <v>2</v>
      </c>
      <c r="F46" s="2"/>
      <c r="G46" s="2" t="s">
        <v>27</v>
      </c>
      <c r="H46" s="2">
        <v>4.2700000000000002E-4</v>
      </c>
      <c r="I46" s="2">
        <v>4.17E-4</v>
      </c>
      <c r="J46" s="2">
        <v>1.024</v>
      </c>
      <c r="K46" s="2">
        <v>54</v>
      </c>
      <c r="L46" s="2">
        <v>5.4166999999999996</v>
      </c>
      <c r="M46" s="2">
        <v>74.833299999999994</v>
      </c>
      <c r="N46" s="2">
        <v>88</v>
      </c>
    </row>
    <row r="47" spans="1:14" ht="30" x14ac:dyDescent="0.25">
      <c r="A47" s="2" t="s">
        <v>37</v>
      </c>
      <c r="B47" s="2" t="s">
        <v>54</v>
      </c>
      <c r="C47" s="2" t="s">
        <v>55</v>
      </c>
      <c r="D47" s="2" t="s">
        <v>56</v>
      </c>
      <c r="E47" s="2">
        <v>3</v>
      </c>
      <c r="F47" s="2"/>
      <c r="G47" s="2" t="s">
        <v>27</v>
      </c>
      <c r="H47" s="2">
        <v>4.9600000000000002E-4</v>
      </c>
      <c r="I47" s="2">
        <v>4.0999999999999999E-4</v>
      </c>
      <c r="J47" s="2">
        <v>1.21</v>
      </c>
      <c r="K47" s="2">
        <v>12</v>
      </c>
      <c r="L47" s="2">
        <v>70.75</v>
      </c>
      <c r="M47" s="2">
        <v>0</v>
      </c>
      <c r="N47" s="2">
        <v>88</v>
      </c>
    </row>
    <row r="48" spans="1:14" ht="30" x14ac:dyDescent="0.25">
      <c r="A48" s="2" t="s">
        <v>37</v>
      </c>
      <c r="B48" s="2" t="s">
        <v>59</v>
      </c>
      <c r="C48" s="2" t="s">
        <v>55</v>
      </c>
      <c r="D48" s="2" t="s">
        <v>56</v>
      </c>
      <c r="E48" s="2">
        <v>1</v>
      </c>
      <c r="F48" s="2"/>
      <c r="G48" s="2" t="s">
        <v>28</v>
      </c>
      <c r="H48" s="2">
        <v>4.4999999999999999E-4</v>
      </c>
      <c r="I48" s="2">
        <v>4.1800000000000002E-4</v>
      </c>
      <c r="J48" s="2">
        <v>1.0760000000000001</v>
      </c>
      <c r="K48" s="2">
        <v>5</v>
      </c>
      <c r="L48" s="2">
        <v>0</v>
      </c>
      <c r="M48" s="2">
        <v>16.5</v>
      </c>
      <c r="N48" s="2">
        <v>88</v>
      </c>
    </row>
    <row r="49" spans="1:14" ht="30" x14ac:dyDescent="0.25">
      <c r="A49" s="2" t="s">
        <v>37</v>
      </c>
      <c r="B49" s="2" t="s">
        <v>59</v>
      </c>
      <c r="C49" s="2" t="s">
        <v>55</v>
      </c>
      <c r="D49" s="2" t="s">
        <v>56</v>
      </c>
      <c r="E49" s="2">
        <v>2</v>
      </c>
      <c r="F49" s="2"/>
      <c r="G49" s="2" t="s">
        <v>28</v>
      </c>
      <c r="H49" s="2">
        <v>4.46E-4</v>
      </c>
      <c r="I49" s="2">
        <v>4.17E-4</v>
      </c>
      <c r="J49" s="2">
        <v>1.069</v>
      </c>
      <c r="K49" s="2">
        <v>13</v>
      </c>
      <c r="L49" s="2">
        <v>84.500100000000003</v>
      </c>
      <c r="M49" s="2">
        <v>16.5</v>
      </c>
      <c r="N49" s="2">
        <v>88</v>
      </c>
    </row>
    <row r="50" spans="1:14" ht="30" x14ac:dyDescent="0.25">
      <c r="A50" s="2" t="s">
        <v>37</v>
      </c>
      <c r="B50" s="2" t="s">
        <v>59</v>
      </c>
      <c r="C50" s="2" t="s">
        <v>55</v>
      </c>
      <c r="D50" s="2" t="s">
        <v>56</v>
      </c>
      <c r="E50" s="2">
        <v>3</v>
      </c>
      <c r="F50" s="2"/>
      <c r="G50" s="2" t="s">
        <v>28</v>
      </c>
      <c r="H50" s="2">
        <v>5.1199999999999998E-4</v>
      </c>
      <c r="I50" s="2">
        <v>4.2000000000000002E-4</v>
      </c>
      <c r="J50" s="2">
        <v>1.2210000000000001</v>
      </c>
      <c r="K50" s="2">
        <v>5</v>
      </c>
      <c r="L50" s="2">
        <v>0</v>
      </c>
      <c r="M50" s="2">
        <v>16.5</v>
      </c>
      <c r="N50" s="2">
        <v>88</v>
      </c>
    </row>
    <row r="51" spans="1:14" ht="30" x14ac:dyDescent="0.25">
      <c r="A51" s="2" t="s">
        <v>38</v>
      </c>
      <c r="B51" s="2" t="s">
        <v>54</v>
      </c>
      <c r="C51" s="2" t="s">
        <v>55</v>
      </c>
      <c r="D51" s="2" t="s">
        <v>56</v>
      </c>
      <c r="E51" s="2">
        <v>1</v>
      </c>
      <c r="F51" s="2"/>
      <c r="G51" s="2" t="s">
        <v>27</v>
      </c>
      <c r="H51" s="2">
        <v>4.6900000000000002E-4</v>
      </c>
      <c r="I51" s="2">
        <v>4.26E-4</v>
      </c>
      <c r="J51" s="2">
        <v>1.101</v>
      </c>
      <c r="K51" s="2">
        <v>12</v>
      </c>
      <c r="L51" s="2">
        <v>70.75</v>
      </c>
      <c r="M51" s="2">
        <v>0</v>
      </c>
      <c r="N51" s="2">
        <v>78</v>
      </c>
    </row>
    <row r="52" spans="1:14" ht="30" x14ac:dyDescent="0.25">
      <c r="A52" s="2" t="s">
        <v>38</v>
      </c>
      <c r="B52" s="2" t="s">
        <v>54</v>
      </c>
      <c r="C52" s="2" t="s">
        <v>55</v>
      </c>
      <c r="D52" s="2" t="s">
        <v>56</v>
      </c>
      <c r="E52" s="2">
        <v>2</v>
      </c>
      <c r="F52" s="2"/>
      <c r="G52" s="2" t="s">
        <v>27</v>
      </c>
      <c r="H52" s="2">
        <v>4.3800000000000002E-4</v>
      </c>
      <c r="I52" s="2">
        <v>4.2999999999999999E-4</v>
      </c>
      <c r="J52" s="2">
        <v>1.0189999999999999</v>
      </c>
      <c r="K52" s="2">
        <v>54</v>
      </c>
      <c r="L52" s="2">
        <v>5.4166999999999996</v>
      </c>
      <c r="M52" s="2">
        <v>74.833299999999994</v>
      </c>
      <c r="N52" s="2">
        <v>78</v>
      </c>
    </row>
    <row r="53" spans="1:14" ht="30" x14ac:dyDescent="0.25">
      <c r="A53" s="2" t="s">
        <v>38</v>
      </c>
      <c r="B53" s="2" t="s">
        <v>54</v>
      </c>
      <c r="C53" s="2" t="s">
        <v>55</v>
      </c>
      <c r="D53" s="2" t="s">
        <v>56</v>
      </c>
      <c r="E53" s="2">
        <v>3</v>
      </c>
      <c r="F53" s="2"/>
      <c r="G53" s="2" t="s">
        <v>27</v>
      </c>
      <c r="H53" s="2">
        <v>5.1699999999999999E-4</v>
      </c>
      <c r="I53" s="2">
        <v>4.2200000000000001E-4</v>
      </c>
      <c r="J53" s="2">
        <v>1.224</v>
      </c>
      <c r="K53" s="2">
        <v>12</v>
      </c>
      <c r="L53" s="2">
        <v>70.75</v>
      </c>
      <c r="M53" s="2">
        <v>0</v>
      </c>
      <c r="N53" s="2">
        <v>78</v>
      </c>
    </row>
    <row r="54" spans="1:14" ht="30" x14ac:dyDescent="0.25">
      <c r="A54" s="2" t="s">
        <v>38</v>
      </c>
      <c r="B54" s="2" t="s">
        <v>59</v>
      </c>
      <c r="C54" s="2" t="s">
        <v>55</v>
      </c>
      <c r="D54" s="2" t="s">
        <v>56</v>
      </c>
      <c r="E54" s="2">
        <v>1</v>
      </c>
      <c r="F54" s="2"/>
      <c r="G54" s="2" t="s">
        <v>28</v>
      </c>
      <c r="H54" s="2">
        <v>4.64E-4</v>
      </c>
      <c r="I54" s="2">
        <v>4.3100000000000001E-4</v>
      </c>
      <c r="J54" s="2">
        <v>1.0780000000000001</v>
      </c>
      <c r="K54" s="2">
        <v>5</v>
      </c>
      <c r="L54" s="2">
        <v>0</v>
      </c>
      <c r="M54" s="2">
        <v>16.5</v>
      </c>
      <c r="N54" s="2">
        <v>78</v>
      </c>
    </row>
    <row r="55" spans="1:14" ht="30" x14ac:dyDescent="0.25">
      <c r="A55" s="2" t="s">
        <v>38</v>
      </c>
      <c r="B55" s="2" t="s">
        <v>59</v>
      </c>
      <c r="C55" s="2" t="s">
        <v>55</v>
      </c>
      <c r="D55" s="2" t="s">
        <v>56</v>
      </c>
      <c r="E55" s="2">
        <v>2</v>
      </c>
      <c r="F55" s="2"/>
      <c r="G55" s="2" t="s">
        <v>28</v>
      </c>
      <c r="H55" s="2">
        <v>4.6099999999999998E-4</v>
      </c>
      <c r="I55" s="2">
        <v>4.2900000000000002E-4</v>
      </c>
      <c r="J55" s="2">
        <v>1.073</v>
      </c>
      <c r="K55" s="2">
        <v>13</v>
      </c>
      <c r="L55" s="2">
        <v>84.500100000000003</v>
      </c>
      <c r="M55" s="2">
        <v>16.5</v>
      </c>
      <c r="N55" s="2">
        <v>78</v>
      </c>
    </row>
    <row r="56" spans="1:14" ht="30" x14ac:dyDescent="0.25">
      <c r="A56" s="2" t="s">
        <v>38</v>
      </c>
      <c r="B56" s="2" t="s">
        <v>59</v>
      </c>
      <c r="C56" s="2" t="s">
        <v>55</v>
      </c>
      <c r="D56" s="2" t="s">
        <v>56</v>
      </c>
      <c r="E56" s="2">
        <v>3</v>
      </c>
      <c r="F56" s="2"/>
      <c r="G56" s="2" t="s">
        <v>28</v>
      </c>
      <c r="H56" s="2">
        <v>5.31E-4</v>
      </c>
      <c r="I56" s="2">
        <v>4.3199999999999998E-4</v>
      </c>
      <c r="J56" s="2">
        <v>1.228</v>
      </c>
      <c r="K56" s="2">
        <v>5</v>
      </c>
      <c r="L56" s="2">
        <v>0</v>
      </c>
      <c r="M56" s="2">
        <v>16.5</v>
      </c>
      <c r="N56" s="2">
        <v>78</v>
      </c>
    </row>
    <row r="57" spans="1:14" ht="30" x14ac:dyDescent="0.25">
      <c r="A57" s="2" t="s">
        <v>39</v>
      </c>
      <c r="B57" s="2" t="s">
        <v>54</v>
      </c>
      <c r="C57" s="2" t="s">
        <v>55</v>
      </c>
      <c r="D57" s="2" t="s">
        <v>56</v>
      </c>
      <c r="E57" s="2">
        <v>1</v>
      </c>
      <c r="F57" s="2"/>
      <c r="G57" s="2" t="s">
        <v>27</v>
      </c>
      <c r="H57" s="2">
        <v>4.7800000000000002E-4</v>
      </c>
      <c r="I57" s="2">
        <v>4.2999999999999999E-4</v>
      </c>
      <c r="J57" s="2">
        <v>1.1120000000000001</v>
      </c>
      <c r="K57" s="2">
        <v>12</v>
      </c>
      <c r="L57" s="2">
        <v>70.75</v>
      </c>
      <c r="M57" s="2">
        <v>0</v>
      </c>
      <c r="N57" s="2">
        <v>68</v>
      </c>
    </row>
    <row r="58" spans="1:14" ht="30" x14ac:dyDescent="0.25">
      <c r="A58" s="2" t="s">
        <v>39</v>
      </c>
      <c r="B58" s="2" t="s">
        <v>54</v>
      </c>
      <c r="C58" s="2" t="s">
        <v>55</v>
      </c>
      <c r="D58" s="2" t="s">
        <v>56</v>
      </c>
      <c r="E58" s="2">
        <v>2</v>
      </c>
      <c r="F58" s="2"/>
      <c r="G58" s="2" t="s">
        <v>27</v>
      </c>
      <c r="H58" s="2">
        <v>4.4000000000000002E-4</v>
      </c>
      <c r="I58" s="2">
        <v>4.3399999999999998E-4</v>
      </c>
      <c r="J58" s="2">
        <v>1.0129999999999999</v>
      </c>
      <c r="K58" s="2">
        <v>54</v>
      </c>
      <c r="L58" s="2">
        <v>5.4166999999999996</v>
      </c>
      <c r="M58" s="2">
        <v>74.833299999999994</v>
      </c>
      <c r="N58" s="2">
        <v>68</v>
      </c>
    </row>
    <row r="59" spans="1:14" ht="30" x14ac:dyDescent="0.25">
      <c r="A59" s="2" t="s">
        <v>39</v>
      </c>
      <c r="B59" s="2" t="s">
        <v>54</v>
      </c>
      <c r="C59" s="2" t="s">
        <v>55</v>
      </c>
      <c r="D59" s="2" t="s">
        <v>56</v>
      </c>
      <c r="E59" s="2">
        <v>3</v>
      </c>
      <c r="F59" s="2"/>
      <c r="G59" s="2" t="s">
        <v>27</v>
      </c>
      <c r="H59" s="2">
        <v>5.2800000000000004E-4</v>
      </c>
      <c r="I59" s="2">
        <v>4.26E-4</v>
      </c>
      <c r="J59" s="2">
        <v>1.2390000000000001</v>
      </c>
      <c r="K59" s="2">
        <v>12</v>
      </c>
      <c r="L59" s="2">
        <v>70.75</v>
      </c>
      <c r="M59" s="2">
        <v>0</v>
      </c>
      <c r="N59" s="2">
        <v>68</v>
      </c>
    </row>
    <row r="60" spans="1:14" ht="30" x14ac:dyDescent="0.25">
      <c r="A60" s="2" t="s">
        <v>39</v>
      </c>
      <c r="B60" s="2" t="s">
        <v>59</v>
      </c>
      <c r="C60" s="2" t="s">
        <v>55</v>
      </c>
      <c r="D60" s="2" t="s">
        <v>56</v>
      </c>
      <c r="E60" s="2">
        <v>1</v>
      </c>
      <c r="F60" s="2"/>
      <c r="G60" s="2" t="s">
        <v>28</v>
      </c>
      <c r="H60" s="2">
        <v>4.6999999999999999E-4</v>
      </c>
      <c r="I60" s="2">
        <v>4.35E-4</v>
      </c>
      <c r="J60" s="2">
        <v>1.08</v>
      </c>
      <c r="K60" s="2">
        <v>5</v>
      </c>
      <c r="L60" s="2">
        <v>0</v>
      </c>
      <c r="M60" s="2">
        <v>16.5</v>
      </c>
      <c r="N60" s="2">
        <v>68</v>
      </c>
    </row>
    <row r="61" spans="1:14" ht="30" x14ac:dyDescent="0.25">
      <c r="A61" s="2" t="s">
        <v>39</v>
      </c>
      <c r="B61" s="2" t="s">
        <v>59</v>
      </c>
      <c r="C61" s="2" t="s">
        <v>55</v>
      </c>
      <c r="D61" s="2" t="s">
        <v>56</v>
      </c>
      <c r="E61" s="2">
        <v>2</v>
      </c>
      <c r="F61" s="2"/>
      <c r="G61" s="2" t="s">
        <v>28</v>
      </c>
      <c r="H61" s="2">
        <v>4.6700000000000002E-4</v>
      </c>
      <c r="I61" s="2">
        <v>4.3300000000000001E-4</v>
      </c>
      <c r="J61" s="2">
        <v>1.077</v>
      </c>
      <c r="K61" s="2">
        <v>13</v>
      </c>
      <c r="L61" s="2">
        <v>84.500100000000003</v>
      </c>
      <c r="M61" s="2">
        <v>16.5</v>
      </c>
      <c r="N61" s="2">
        <v>68</v>
      </c>
    </row>
    <row r="62" spans="1:14" ht="30" x14ac:dyDescent="0.25">
      <c r="A62" s="2" t="s">
        <v>39</v>
      </c>
      <c r="B62" s="2" t="s">
        <v>59</v>
      </c>
      <c r="C62" s="2" t="s">
        <v>55</v>
      </c>
      <c r="D62" s="2" t="s">
        <v>56</v>
      </c>
      <c r="E62" s="2">
        <v>3</v>
      </c>
      <c r="F62" s="2"/>
      <c r="G62" s="2" t="s">
        <v>28</v>
      </c>
      <c r="H62" s="2">
        <v>5.4000000000000001E-4</v>
      </c>
      <c r="I62" s="2">
        <v>4.37E-4</v>
      </c>
      <c r="J62" s="2">
        <v>1.236</v>
      </c>
      <c r="K62" s="2">
        <v>5</v>
      </c>
      <c r="L62" s="2">
        <v>0</v>
      </c>
      <c r="M62" s="2">
        <v>16.5</v>
      </c>
      <c r="N62" s="2">
        <v>68</v>
      </c>
    </row>
    <row r="63" spans="1:14" ht="30" x14ac:dyDescent="0.25">
      <c r="A63" s="2" t="s">
        <v>40</v>
      </c>
      <c r="B63" s="2" t="s">
        <v>54</v>
      </c>
      <c r="C63" s="2" t="s">
        <v>55</v>
      </c>
      <c r="D63" s="2" t="s">
        <v>56</v>
      </c>
      <c r="E63" s="2">
        <v>1</v>
      </c>
      <c r="F63" s="2"/>
      <c r="G63" s="2" t="s">
        <v>27</v>
      </c>
      <c r="H63" s="2">
        <v>4.7600000000000002E-4</v>
      </c>
      <c r="I63" s="2">
        <v>4.2400000000000001E-4</v>
      </c>
      <c r="J63" s="2">
        <v>1.125</v>
      </c>
      <c r="K63" s="2">
        <v>12</v>
      </c>
      <c r="L63" s="2">
        <v>70.75</v>
      </c>
      <c r="M63" s="2">
        <v>0</v>
      </c>
      <c r="N63" s="2">
        <v>58</v>
      </c>
    </row>
    <row r="64" spans="1:14" ht="30" x14ac:dyDescent="0.25">
      <c r="A64" s="2" t="s">
        <v>40</v>
      </c>
      <c r="B64" s="2" t="s">
        <v>54</v>
      </c>
      <c r="C64" s="2" t="s">
        <v>55</v>
      </c>
      <c r="D64" s="2" t="s">
        <v>56</v>
      </c>
      <c r="E64" s="2">
        <v>2</v>
      </c>
      <c r="F64" s="2"/>
      <c r="G64" s="2" t="s">
        <v>27</v>
      </c>
      <c r="H64" s="2">
        <v>4.2999999999999999E-4</v>
      </c>
      <c r="I64" s="2">
        <v>4.2700000000000002E-4</v>
      </c>
      <c r="J64" s="2">
        <v>1.006</v>
      </c>
      <c r="K64" s="2">
        <v>54</v>
      </c>
      <c r="L64" s="2">
        <v>5.4166999999999996</v>
      </c>
      <c r="M64" s="2">
        <v>74.833299999999994</v>
      </c>
      <c r="N64" s="2">
        <v>58</v>
      </c>
    </row>
    <row r="65" spans="1:14" ht="30" x14ac:dyDescent="0.25">
      <c r="A65" s="2" t="s">
        <v>40</v>
      </c>
      <c r="B65" s="2" t="s">
        <v>54</v>
      </c>
      <c r="C65" s="2" t="s">
        <v>55</v>
      </c>
      <c r="D65" s="2" t="s">
        <v>56</v>
      </c>
      <c r="E65" s="2">
        <v>3</v>
      </c>
      <c r="F65" s="2"/>
      <c r="G65" s="2" t="s">
        <v>27</v>
      </c>
      <c r="H65" s="2">
        <v>5.2800000000000004E-4</v>
      </c>
      <c r="I65" s="2">
        <v>4.2000000000000002E-4</v>
      </c>
      <c r="J65" s="2">
        <v>1.258</v>
      </c>
      <c r="K65" s="2">
        <v>12</v>
      </c>
      <c r="L65" s="2">
        <v>70.75</v>
      </c>
      <c r="M65" s="2">
        <v>0</v>
      </c>
      <c r="N65" s="2">
        <v>58</v>
      </c>
    </row>
    <row r="66" spans="1:14" ht="30" x14ac:dyDescent="0.25">
      <c r="A66" s="2" t="s">
        <v>40</v>
      </c>
      <c r="B66" s="2" t="s">
        <v>59</v>
      </c>
      <c r="C66" s="2" t="s">
        <v>55</v>
      </c>
      <c r="D66" s="2" t="s">
        <v>56</v>
      </c>
      <c r="E66" s="2">
        <v>1</v>
      </c>
      <c r="F66" s="2"/>
      <c r="G66" s="2" t="s">
        <v>28</v>
      </c>
      <c r="H66" s="2">
        <v>4.66E-4</v>
      </c>
      <c r="I66" s="2">
        <v>4.2999999999999999E-4</v>
      </c>
      <c r="J66" s="2">
        <v>1.083</v>
      </c>
      <c r="K66" s="2">
        <v>5</v>
      </c>
      <c r="L66" s="2">
        <v>0</v>
      </c>
      <c r="M66" s="2">
        <v>16.5</v>
      </c>
      <c r="N66" s="2">
        <v>58</v>
      </c>
    </row>
    <row r="67" spans="1:14" ht="30" x14ac:dyDescent="0.25">
      <c r="A67" s="2" t="s">
        <v>40</v>
      </c>
      <c r="B67" s="2" t="s">
        <v>59</v>
      </c>
      <c r="C67" s="2" t="s">
        <v>55</v>
      </c>
      <c r="D67" s="2" t="s">
        <v>56</v>
      </c>
      <c r="E67" s="2">
        <v>2</v>
      </c>
      <c r="F67" s="2"/>
      <c r="G67" s="2" t="s">
        <v>28</v>
      </c>
      <c r="H67" s="2">
        <v>4.6299999999999998E-4</v>
      </c>
      <c r="I67" s="2">
        <v>4.28E-4</v>
      </c>
      <c r="J67" s="2">
        <v>1.081</v>
      </c>
      <c r="K67" s="2">
        <v>13</v>
      </c>
      <c r="L67" s="2">
        <v>84.500100000000003</v>
      </c>
      <c r="M67" s="2">
        <v>16.5</v>
      </c>
      <c r="N67" s="2">
        <v>58</v>
      </c>
    </row>
    <row r="68" spans="1:14" ht="30" x14ac:dyDescent="0.25">
      <c r="A68" s="2" t="s">
        <v>40</v>
      </c>
      <c r="B68" s="2" t="s">
        <v>59</v>
      </c>
      <c r="C68" s="2" t="s">
        <v>55</v>
      </c>
      <c r="D68" s="2" t="s">
        <v>56</v>
      </c>
      <c r="E68" s="2">
        <v>3</v>
      </c>
      <c r="F68" s="2"/>
      <c r="G68" s="2" t="s">
        <v>28</v>
      </c>
      <c r="H68" s="2">
        <v>5.3799999999999996E-4</v>
      </c>
      <c r="I68" s="2">
        <v>4.3199999999999998E-4</v>
      </c>
      <c r="J68" s="2">
        <v>1.246</v>
      </c>
      <c r="K68" s="2">
        <v>5</v>
      </c>
      <c r="L68" s="2">
        <v>0</v>
      </c>
      <c r="M68" s="2">
        <v>16.5</v>
      </c>
      <c r="N68" s="2">
        <v>58</v>
      </c>
    </row>
    <row r="69" spans="1:14" ht="30" x14ac:dyDescent="0.25">
      <c r="A69" s="2" t="s">
        <v>41</v>
      </c>
      <c r="B69" s="2" t="s">
        <v>54</v>
      </c>
      <c r="C69" s="2" t="s">
        <v>55</v>
      </c>
      <c r="D69" s="2" t="s">
        <v>56</v>
      </c>
      <c r="E69" s="2">
        <v>1</v>
      </c>
      <c r="F69" s="2"/>
      <c r="G69" s="2" t="s">
        <v>27</v>
      </c>
      <c r="H69" s="2">
        <v>4.6200000000000001E-4</v>
      </c>
      <c r="I69" s="2">
        <v>4.0400000000000001E-4</v>
      </c>
      <c r="J69" s="2">
        <v>1.143</v>
      </c>
      <c r="K69" s="2">
        <v>12</v>
      </c>
      <c r="L69" s="2">
        <v>70.75</v>
      </c>
      <c r="M69" s="2">
        <v>0</v>
      </c>
      <c r="N69" s="2">
        <v>48</v>
      </c>
    </row>
    <row r="70" spans="1:14" ht="30" x14ac:dyDescent="0.25">
      <c r="A70" s="2" t="s">
        <v>41</v>
      </c>
      <c r="B70" s="2" t="s">
        <v>54</v>
      </c>
      <c r="C70" s="2" t="s">
        <v>55</v>
      </c>
      <c r="D70" s="2" t="s">
        <v>56</v>
      </c>
      <c r="E70" s="2">
        <v>2</v>
      </c>
      <c r="F70" s="2"/>
      <c r="G70" s="2" t="s">
        <v>27</v>
      </c>
      <c r="H70" s="2">
        <v>4.0900000000000002E-4</v>
      </c>
      <c r="I70" s="2">
        <v>4.08E-4</v>
      </c>
      <c r="J70" s="2">
        <v>1.0029999999999999</v>
      </c>
      <c r="K70" s="2">
        <v>12</v>
      </c>
      <c r="L70" s="2">
        <v>70.75</v>
      </c>
      <c r="M70" s="2">
        <v>0</v>
      </c>
      <c r="N70" s="2">
        <v>48</v>
      </c>
    </row>
    <row r="71" spans="1:14" ht="30" x14ac:dyDescent="0.25">
      <c r="A71" s="2" t="s">
        <v>41</v>
      </c>
      <c r="B71" s="2" t="s">
        <v>54</v>
      </c>
      <c r="C71" s="2" t="s">
        <v>55</v>
      </c>
      <c r="D71" s="2" t="s">
        <v>56</v>
      </c>
      <c r="E71" s="2">
        <v>3</v>
      </c>
      <c r="F71" s="2"/>
      <c r="G71" s="2" t="s">
        <v>27</v>
      </c>
      <c r="H71" s="2">
        <v>5.1500000000000005E-4</v>
      </c>
      <c r="I71" s="2">
        <v>4.0099999999999999E-4</v>
      </c>
      <c r="J71" s="2">
        <v>1.284</v>
      </c>
      <c r="K71" s="2">
        <v>12</v>
      </c>
      <c r="L71" s="2">
        <v>70.75</v>
      </c>
      <c r="M71" s="2">
        <v>0</v>
      </c>
      <c r="N71" s="2">
        <v>48</v>
      </c>
    </row>
    <row r="72" spans="1:14" ht="30" x14ac:dyDescent="0.25">
      <c r="A72" s="2" t="s">
        <v>41</v>
      </c>
      <c r="B72" s="2" t="s">
        <v>59</v>
      </c>
      <c r="C72" s="2" t="s">
        <v>55</v>
      </c>
      <c r="D72" s="2" t="s">
        <v>56</v>
      </c>
      <c r="E72" s="2">
        <v>1</v>
      </c>
      <c r="F72" s="2"/>
      <c r="G72" s="2" t="s">
        <v>28</v>
      </c>
      <c r="H72" s="2">
        <v>4.4999999999999999E-4</v>
      </c>
      <c r="I72" s="2">
        <v>4.1300000000000001E-4</v>
      </c>
      <c r="J72" s="2">
        <v>1.089</v>
      </c>
      <c r="K72" s="2">
        <v>5</v>
      </c>
      <c r="L72" s="2">
        <v>0</v>
      </c>
      <c r="M72" s="2">
        <v>16.5</v>
      </c>
      <c r="N72" s="2">
        <v>48</v>
      </c>
    </row>
    <row r="73" spans="1:14" ht="30" x14ac:dyDescent="0.25">
      <c r="A73" s="2" t="s">
        <v>41</v>
      </c>
      <c r="B73" s="2" t="s">
        <v>59</v>
      </c>
      <c r="C73" s="2" t="s">
        <v>55</v>
      </c>
      <c r="D73" s="2" t="s">
        <v>56</v>
      </c>
      <c r="E73" s="2">
        <v>2</v>
      </c>
      <c r="F73" s="2"/>
      <c r="G73" s="2" t="s">
        <v>28</v>
      </c>
      <c r="H73" s="2">
        <v>4.46E-4</v>
      </c>
      <c r="I73" s="2">
        <v>4.1100000000000002E-4</v>
      </c>
      <c r="J73" s="2">
        <v>1.085</v>
      </c>
      <c r="K73" s="2">
        <v>13</v>
      </c>
      <c r="L73" s="2">
        <v>84.500100000000003</v>
      </c>
      <c r="M73" s="2">
        <v>16.5</v>
      </c>
      <c r="N73" s="2">
        <v>48</v>
      </c>
    </row>
    <row r="74" spans="1:14" ht="30" x14ac:dyDescent="0.25">
      <c r="A74" s="2" t="s">
        <v>41</v>
      </c>
      <c r="B74" s="2" t="s">
        <v>59</v>
      </c>
      <c r="C74" s="2" t="s">
        <v>55</v>
      </c>
      <c r="D74" s="2" t="s">
        <v>56</v>
      </c>
      <c r="E74" s="2">
        <v>3</v>
      </c>
      <c r="F74" s="2"/>
      <c r="G74" s="2" t="s">
        <v>28</v>
      </c>
      <c r="H74" s="2">
        <v>5.2300000000000003E-4</v>
      </c>
      <c r="I74" s="2">
        <v>4.15E-4</v>
      </c>
      <c r="J74" s="2">
        <v>1.2609999999999999</v>
      </c>
      <c r="K74" s="2">
        <v>5</v>
      </c>
      <c r="L74" s="2">
        <v>0</v>
      </c>
      <c r="M74" s="2">
        <v>16.5</v>
      </c>
      <c r="N74" s="2">
        <v>48</v>
      </c>
    </row>
    <row r="75" spans="1:14" ht="30" x14ac:dyDescent="0.25">
      <c r="A75" s="2" t="s">
        <v>42</v>
      </c>
      <c r="B75" s="2" t="s">
        <v>54</v>
      </c>
      <c r="C75" s="2" t="s">
        <v>55</v>
      </c>
      <c r="D75" s="2" t="s">
        <v>56</v>
      </c>
      <c r="E75" s="2">
        <v>1</v>
      </c>
      <c r="F75" s="2"/>
      <c r="G75" s="2" t="s">
        <v>27</v>
      </c>
      <c r="H75" s="2">
        <v>4.3100000000000001E-4</v>
      </c>
      <c r="I75" s="2">
        <v>3.6900000000000002E-4</v>
      </c>
      <c r="J75" s="2">
        <v>1.169</v>
      </c>
      <c r="K75" s="2">
        <v>12</v>
      </c>
      <c r="L75" s="2">
        <v>70.75</v>
      </c>
      <c r="M75" s="2">
        <v>0</v>
      </c>
      <c r="N75" s="2">
        <v>38</v>
      </c>
    </row>
    <row r="76" spans="1:14" ht="30" x14ac:dyDescent="0.25">
      <c r="A76" s="2" t="s">
        <v>42</v>
      </c>
      <c r="B76" s="2" t="s">
        <v>54</v>
      </c>
      <c r="C76" s="2" t="s">
        <v>55</v>
      </c>
      <c r="D76" s="2" t="s">
        <v>56</v>
      </c>
      <c r="E76" s="2">
        <v>2</v>
      </c>
      <c r="F76" s="2"/>
      <c r="G76" s="2" t="s">
        <v>27</v>
      </c>
      <c r="H76" s="2">
        <v>3.7800000000000003E-4</v>
      </c>
      <c r="I76" s="2">
        <v>3.7199999999999999E-4</v>
      </c>
      <c r="J76" s="2">
        <v>1.0169999999999999</v>
      </c>
      <c r="K76" s="2">
        <v>12</v>
      </c>
      <c r="L76" s="2">
        <v>70.75</v>
      </c>
      <c r="M76" s="2">
        <v>0</v>
      </c>
      <c r="N76" s="2">
        <v>38</v>
      </c>
    </row>
    <row r="77" spans="1:14" ht="30" x14ac:dyDescent="0.25">
      <c r="A77" s="2" t="s">
        <v>42</v>
      </c>
      <c r="B77" s="2" t="s">
        <v>54</v>
      </c>
      <c r="C77" s="2" t="s">
        <v>55</v>
      </c>
      <c r="D77" s="2" t="s">
        <v>56</v>
      </c>
      <c r="E77" s="2">
        <v>3</v>
      </c>
      <c r="F77" s="2"/>
      <c r="G77" s="2" t="s">
        <v>27</v>
      </c>
      <c r="H77" s="2">
        <v>4.84E-4</v>
      </c>
      <c r="I77" s="2">
        <v>3.6600000000000001E-4</v>
      </c>
      <c r="J77" s="2">
        <v>1.323</v>
      </c>
      <c r="K77" s="2">
        <v>12</v>
      </c>
      <c r="L77" s="2">
        <v>70.75</v>
      </c>
      <c r="M77" s="2">
        <v>0</v>
      </c>
      <c r="N77" s="2">
        <v>38</v>
      </c>
    </row>
    <row r="78" spans="1:14" ht="30" x14ac:dyDescent="0.25">
      <c r="A78" s="2" t="s">
        <v>42</v>
      </c>
      <c r="B78" s="2" t="s">
        <v>59</v>
      </c>
      <c r="C78" s="2" t="s">
        <v>55</v>
      </c>
      <c r="D78" s="2" t="s">
        <v>56</v>
      </c>
      <c r="E78" s="2">
        <v>1</v>
      </c>
      <c r="F78" s="2"/>
      <c r="G78" s="2" t="s">
        <v>28</v>
      </c>
      <c r="H78" s="2">
        <v>4.1800000000000002E-4</v>
      </c>
      <c r="I78" s="2">
        <v>3.8000000000000002E-4</v>
      </c>
      <c r="J78" s="2">
        <v>1.099</v>
      </c>
      <c r="K78" s="2">
        <v>5</v>
      </c>
      <c r="L78" s="2">
        <v>0</v>
      </c>
      <c r="M78" s="2">
        <v>16.5</v>
      </c>
      <c r="N78" s="2">
        <v>38</v>
      </c>
    </row>
    <row r="79" spans="1:14" ht="30" x14ac:dyDescent="0.25">
      <c r="A79" s="2" t="s">
        <v>42</v>
      </c>
      <c r="B79" s="2" t="s">
        <v>59</v>
      </c>
      <c r="C79" s="2" t="s">
        <v>55</v>
      </c>
      <c r="D79" s="2" t="s">
        <v>56</v>
      </c>
      <c r="E79" s="2">
        <v>2</v>
      </c>
      <c r="F79" s="2"/>
      <c r="G79" s="2" t="s">
        <v>28</v>
      </c>
      <c r="H79" s="2">
        <v>4.1199999999999999E-4</v>
      </c>
      <c r="I79" s="2">
        <v>3.7800000000000003E-4</v>
      </c>
      <c r="J79" s="2">
        <v>1.0880000000000001</v>
      </c>
      <c r="K79" s="2">
        <v>13</v>
      </c>
      <c r="L79" s="2">
        <v>84.500100000000003</v>
      </c>
      <c r="M79" s="2">
        <v>16.5</v>
      </c>
      <c r="N79" s="2">
        <v>38</v>
      </c>
    </row>
    <row r="80" spans="1:14" ht="30" x14ac:dyDescent="0.25">
      <c r="A80" s="2" t="s">
        <v>42</v>
      </c>
      <c r="B80" s="2" t="s">
        <v>59</v>
      </c>
      <c r="C80" s="2" t="s">
        <v>55</v>
      </c>
      <c r="D80" s="2" t="s">
        <v>56</v>
      </c>
      <c r="E80" s="2">
        <v>3</v>
      </c>
      <c r="F80" s="2"/>
      <c r="G80" s="2" t="s">
        <v>28</v>
      </c>
      <c r="H80" s="2">
        <v>4.9100000000000001E-4</v>
      </c>
      <c r="I80" s="2">
        <v>3.8200000000000002E-4</v>
      </c>
      <c r="J80" s="2">
        <v>1.2849999999999999</v>
      </c>
      <c r="K80" s="2">
        <v>5</v>
      </c>
      <c r="L80" s="2">
        <v>0</v>
      </c>
      <c r="M80" s="2">
        <v>16.5</v>
      </c>
      <c r="N80" s="2">
        <v>38</v>
      </c>
    </row>
    <row r="81" spans="1:14" ht="30" x14ac:dyDescent="0.25">
      <c r="A81" s="2" t="s">
        <v>43</v>
      </c>
      <c r="B81" s="2" t="s">
        <v>54</v>
      </c>
      <c r="C81" s="2" t="s">
        <v>55</v>
      </c>
      <c r="D81" s="2" t="s">
        <v>56</v>
      </c>
      <c r="E81" s="2">
        <v>1</v>
      </c>
      <c r="F81" s="2"/>
      <c r="G81" s="2" t="s">
        <v>27</v>
      </c>
      <c r="H81" s="2">
        <v>3.7800000000000003E-4</v>
      </c>
      <c r="I81" s="2">
        <v>3.1199999999999999E-4</v>
      </c>
      <c r="J81" s="2">
        <v>1.2110000000000001</v>
      </c>
      <c r="K81" s="2">
        <v>12</v>
      </c>
      <c r="L81" s="2">
        <v>70.75</v>
      </c>
      <c r="M81" s="2">
        <v>0</v>
      </c>
      <c r="N81" s="2">
        <v>28</v>
      </c>
    </row>
    <row r="82" spans="1:14" ht="30" x14ac:dyDescent="0.25">
      <c r="A82" s="2" t="s">
        <v>43</v>
      </c>
      <c r="B82" s="2" t="s">
        <v>54</v>
      </c>
      <c r="C82" s="2" t="s">
        <v>55</v>
      </c>
      <c r="D82" s="2" t="s">
        <v>56</v>
      </c>
      <c r="E82" s="2">
        <v>2</v>
      </c>
      <c r="F82" s="2"/>
      <c r="G82" s="2" t="s">
        <v>27</v>
      </c>
      <c r="H82" s="2">
        <v>3.2699999999999998E-4</v>
      </c>
      <c r="I82" s="2">
        <v>3.1399999999999999E-4</v>
      </c>
      <c r="J82" s="2">
        <v>1.0389999999999999</v>
      </c>
      <c r="K82" s="2">
        <v>12</v>
      </c>
      <c r="L82" s="2">
        <v>70.75</v>
      </c>
      <c r="M82" s="2">
        <v>0</v>
      </c>
      <c r="N82" s="2">
        <v>28</v>
      </c>
    </row>
    <row r="83" spans="1:14" ht="30" x14ac:dyDescent="0.25">
      <c r="A83" s="2" t="s">
        <v>43</v>
      </c>
      <c r="B83" s="2" t="s">
        <v>54</v>
      </c>
      <c r="C83" s="2" t="s">
        <v>55</v>
      </c>
      <c r="D83" s="2" t="s">
        <v>56</v>
      </c>
      <c r="E83" s="2">
        <v>3</v>
      </c>
      <c r="F83" s="2"/>
      <c r="G83" s="2" t="s">
        <v>27</v>
      </c>
      <c r="H83" s="2">
        <v>4.2999999999999999E-4</v>
      </c>
      <c r="I83" s="2">
        <v>3.1E-4</v>
      </c>
      <c r="J83" s="2">
        <v>1.3859999999999999</v>
      </c>
      <c r="K83" s="2">
        <v>12</v>
      </c>
      <c r="L83" s="2">
        <v>70.75</v>
      </c>
      <c r="M83" s="2">
        <v>0</v>
      </c>
      <c r="N83" s="2">
        <v>28</v>
      </c>
    </row>
    <row r="84" spans="1:14" ht="30" x14ac:dyDescent="0.25">
      <c r="A84" s="2" t="s">
        <v>43</v>
      </c>
      <c r="B84" s="2" t="s">
        <v>59</v>
      </c>
      <c r="C84" s="2" t="s">
        <v>55</v>
      </c>
      <c r="D84" s="2" t="s">
        <v>56</v>
      </c>
      <c r="E84" s="2">
        <v>1</v>
      </c>
      <c r="F84" s="2"/>
      <c r="G84" s="2" t="s">
        <v>28</v>
      </c>
      <c r="H84" s="2">
        <v>3.6499999999999998E-4</v>
      </c>
      <c r="I84" s="2">
        <v>3.2499999999999999E-4</v>
      </c>
      <c r="J84" s="2">
        <v>1.1220000000000001</v>
      </c>
      <c r="K84" s="2">
        <v>5</v>
      </c>
      <c r="L84" s="2">
        <v>0</v>
      </c>
      <c r="M84" s="2">
        <v>16.5</v>
      </c>
      <c r="N84" s="2">
        <v>28</v>
      </c>
    </row>
    <row r="85" spans="1:14" ht="30" x14ac:dyDescent="0.25">
      <c r="A85" s="2" t="s">
        <v>43</v>
      </c>
      <c r="B85" s="2" t="s">
        <v>59</v>
      </c>
      <c r="C85" s="2" t="s">
        <v>55</v>
      </c>
      <c r="D85" s="2" t="s">
        <v>56</v>
      </c>
      <c r="E85" s="2">
        <v>2</v>
      </c>
      <c r="F85" s="2"/>
      <c r="G85" s="2" t="s">
        <v>28</v>
      </c>
      <c r="H85" s="2">
        <v>3.5100000000000002E-4</v>
      </c>
      <c r="I85" s="2">
        <v>3.2299999999999999E-4</v>
      </c>
      <c r="J85" s="2">
        <v>1.089</v>
      </c>
      <c r="K85" s="2">
        <v>13</v>
      </c>
      <c r="L85" s="2">
        <v>84.500100000000003</v>
      </c>
      <c r="M85" s="2">
        <v>16.5</v>
      </c>
      <c r="N85" s="2">
        <v>28</v>
      </c>
    </row>
    <row r="86" spans="1:14" ht="30" x14ac:dyDescent="0.25">
      <c r="A86" s="2" t="s">
        <v>43</v>
      </c>
      <c r="B86" s="2" t="s">
        <v>59</v>
      </c>
      <c r="C86" s="2" t="s">
        <v>55</v>
      </c>
      <c r="D86" s="2" t="s">
        <v>56</v>
      </c>
      <c r="E86" s="2">
        <v>3</v>
      </c>
      <c r="F86" s="2"/>
      <c r="G86" s="2" t="s">
        <v>28</v>
      </c>
      <c r="H86" s="2">
        <v>4.35E-4</v>
      </c>
      <c r="I86" s="2">
        <v>3.2699999999999998E-4</v>
      </c>
      <c r="J86" s="2">
        <v>1.33</v>
      </c>
      <c r="K86" s="2">
        <v>5</v>
      </c>
      <c r="L86" s="2">
        <v>0</v>
      </c>
      <c r="M86" s="2">
        <v>16.5</v>
      </c>
      <c r="N86" s="2">
        <v>28</v>
      </c>
    </row>
    <row r="87" spans="1:14" ht="30" x14ac:dyDescent="0.25">
      <c r="A87" s="2" t="s">
        <v>44</v>
      </c>
      <c r="B87" s="2" t="s">
        <v>54</v>
      </c>
      <c r="C87" s="2" t="s">
        <v>55</v>
      </c>
      <c r="D87" s="2" t="s">
        <v>56</v>
      </c>
      <c r="E87" s="2">
        <v>1</v>
      </c>
      <c r="F87" s="2"/>
      <c r="G87" s="2" t="s">
        <v>27</v>
      </c>
      <c r="H87" s="2">
        <v>2.9E-4</v>
      </c>
      <c r="I87" s="2">
        <v>2.22E-4</v>
      </c>
      <c r="J87" s="2">
        <v>1.3049999999999999</v>
      </c>
      <c r="K87" s="2">
        <v>1</v>
      </c>
      <c r="L87" s="2">
        <v>0</v>
      </c>
      <c r="M87" s="2">
        <v>0</v>
      </c>
      <c r="N87" s="2">
        <v>18</v>
      </c>
    </row>
    <row r="88" spans="1:14" ht="30" x14ac:dyDescent="0.25">
      <c r="A88" s="2" t="s">
        <v>44</v>
      </c>
      <c r="B88" s="2" t="s">
        <v>54</v>
      </c>
      <c r="C88" s="2" t="s">
        <v>55</v>
      </c>
      <c r="D88" s="2" t="s">
        <v>56</v>
      </c>
      <c r="E88" s="2">
        <v>2</v>
      </c>
      <c r="F88" s="2"/>
      <c r="G88" s="2" t="s">
        <v>27</v>
      </c>
      <c r="H88" s="2">
        <v>2.4399999999999999E-4</v>
      </c>
      <c r="I88" s="2">
        <v>2.2000000000000001E-4</v>
      </c>
      <c r="J88" s="2">
        <v>1.107</v>
      </c>
      <c r="K88" s="2">
        <v>35</v>
      </c>
      <c r="L88" s="2">
        <v>51.5</v>
      </c>
      <c r="M88" s="2">
        <v>39.25</v>
      </c>
      <c r="N88" s="2">
        <v>18</v>
      </c>
    </row>
    <row r="89" spans="1:14" ht="30" x14ac:dyDescent="0.25">
      <c r="A89" s="2" t="s">
        <v>44</v>
      </c>
      <c r="B89" s="2" t="s">
        <v>54</v>
      </c>
      <c r="C89" s="2" t="s">
        <v>55</v>
      </c>
      <c r="D89" s="2" t="s">
        <v>56</v>
      </c>
      <c r="E89" s="2">
        <v>3</v>
      </c>
      <c r="F89" s="2"/>
      <c r="G89" s="2" t="s">
        <v>27</v>
      </c>
      <c r="H89" s="2">
        <v>3.3700000000000001E-4</v>
      </c>
      <c r="I89" s="2">
        <v>2.2100000000000001E-4</v>
      </c>
      <c r="J89" s="2">
        <v>1.5209999999999999</v>
      </c>
      <c r="K89" s="2">
        <v>1</v>
      </c>
      <c r="L89" s="2">
        <v>0</v>
      </c>
      <c r="M89" s="2">
        <v>0</v>
      </c>
      <c r="N89" s="2">
        <v>18</v>
      </c>
    </row>
    <row r="90" spans="1:14" ht="30" x14ac:dyDescent="0.25">
      <c r="A90" s="2" t="s">
        <v>44</v>
      </c>
      <c r="B90" s="2" t="s">
        <v>59</v>
      </c>
      <c r="C90" s="2" t="s">
        <v>55</v>
      </c>
      <c r="D90" s="2" t="s">
        <v>56</v>
      </c>
      <c r="E90" s="2">
        <v>1</v>
      </c>
      <c r="F90" s="2"/>
      <c r="G90" s="2" t="s">
        <v>28</v>
      </c>
      <c r="H90" s="2">
        <v>2.7700000000000001E-4</v>
      </c>
      <c r="I90" s="2">
        <v>2.34E-4</v>
      </c>
      <c r="J90" s="2">
        <v>1.1859999999999999</v>
      </c>
      <c r="K90" s="2">
        <v>5</v>
      </c>
      <c r="L90" s="2">
        <v>0</v>
      </c>
      <c r="M90" s="2">
        <v>16.5</v>
      </c>
      <c r="N90" s="2">
        <v>18</v>
      </c>
    </row>
    <row r="91" spans="1:14" ht="30" x14ac:dyDescent="0.25">
      <c r="A91" s="2" t="s">
        <v>44</v>
      </c>
      <c r="B91" s="2" t="s">
        <v>59</v>
      </c>
      <c r="C91" s="2" t="s">
        <v>55</v>
      </c>
      <c r="D91" s="2" t="s">
        <v>56</v>
      </c>
      <c r="E91" s="2">
        <v>2</v>
      </c>
      <c r="F91" s="2"/>
      <c r="G91" s="2" t="s">
        <v>28</v>
      </c>
      <c r="H91" s="2">
        <v>2.4899999999999998E-4</v>
      </c>
      <c r="I91" s="2">
        <v>2.31E-4</v>
      </c>
      <c r="J91" s="2">
        <v>1.0780000000000001</v>
      </c>
      <c r="K91" s="2">
        <v>16</v>
      </c>
      <c r="L91" s="2">
        <v>76.916700000000006</v>
      </c>
      <c r="M91" s="2">
        <v>57.666600000000003</v>
      </c>
      <c r="N91" s="2">
        <v>18</v>
      </c>
    </row>
    <row r="92" spans="1:14" ht="30" x14ac:dyDescent="0.25">
      <c r="A92" s="2" t="s">
        <v>44</v>
      </c>
      <c r="B92" s="2" t="s">
        <v>59</v>
      </c>
      <c r="C92" s="2" t="s">
        <v>55</v>
      </c>
      <c r="D92" s="2" t="s">
        <v>56</v>
      </c>
      <c r="E92" s="2">
        <v>3</v>
      </c>
      <c r="F92" s="2"/>
      <c r="G92" s="2" t="s">
        <v>28</v>
      </c>
      <c r="H92" s="2">
        <v>3.4000000000000002E-4</v>
      </c>
      <c r="I92" s="2">
        <v>2.3599999999999999E-4</v>
      </c>
      <c r="J92" s="2">
        <v>1.4419999999999999</v>
      </c>
      <c r="K92" s="2">
        <v>5</v>
      </c>
      <c r="L92" s="2">
        <v>0</v>
      </c>
      <c r="M92" s="2">
        <v>16.5</v>
      </c>
      <c r="N92" s="2">
        <v>18</v>
      </c>
    </row>
  </sheetData>
  <mergeCells count="11">
    <mergeCell ref="G1:G2"/>
    <mergeCell ref="H1:H2"/>
    <mergeCell ref="I1:I2"/>
    <mergeCell ref="J1:J2"/>
    <mergeCell ref="K1:K2"/>
    <mergeCell ref="F1:F2"/>
    <mergeCell ref="A1:A2"/>
    <mergeCell ref="B1:B2"/>
    <mergeCell ref="C1:C2"/>
    <mergeCell ref="D1:D2"/>
    <mergeCell ref="E1: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Torsional Irregularity</vt:lpstr>
      <vt:lpstr>Torsional Irregularity (2)</vt:lpstr>
      <vt:lpstr>Video &amp; Instruction </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 Hedaetullah</dc:creator>
  <cp:lastModifiedBy>SM Hedaetullah</cp:lastModifiedBy>
  <dcterms:created xsi:type="dcterms:W3CDTF">2015-06-05T18:17:20Z</dcterms:created>
  <dcterms:modified xsi:type="dcterms:W3CDTF">2025-07-11T17:57:47Z</dcterms:modified>
</cp:coreProperties>
</file>