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filterPrivacy="1" defaultThemeVersion="124226"/>
  <xr:revisionPtr revIDLastSave="0" documentId="13_ncr:1_{5B2F3ECA-BB94-4879-82E5-E7E650CDB9C1}" xr6:coauthVersionLast="47" xr6:coauthVersionMax="47" xr10:uidLastSave="{00000000-0000-0000-0000-000000000000}"/>
  <bookViews>
    <workbookView xWindow="1035" yWindow="1560" windowWidth="15405" windowHeight="12555" xr2:uid="{00000000-000D-0000-FFFF-FFFF00000000}"/>
  </bookViews>
  <sheets>
    <sheet name="Video &amp; Instruction " sheetId="5" r:id="rId1"/>
    <sheet name="Longitudinal Steel Calculation" sheetId="4" r:id="rId2"/>
    <sheet name="Shear Steel Calculation" sheetId="1" r:id="rId3"/>
  </sheets>
  <externalReferences>
    <externalReference r:id="rId4"/>
  </externalReferences>
  <definedNames>
    <definedName name="framesystem">[1]Sheet3!$B$39:$B$45</definedName>
  </definedNames>
  <calcPr calcId="181029"/>
</workbook>
</file>

<file path=xl/calcChain.xml><?xml version="1.0" encoding="utf-8"?>
<calcChain xmlns="http://schemas.openxmlformats.org/spreadsheetml/2006/main">
  <c r="M24" i="4" l="1"/>
  <c r="M23" i="4"/>
  <c r="M25" i="4" l="1"/>
  <c r="N25" i="4"/>
  <c r="J14" i="4"/>
  <c r="K12" i="4"/>
  <c r="G7" i="4" l="1"/>
  <c r="K20" i="1" l="1"/>
  <c r="K19" i="1"/>
  <c r="K18" i="1"/>
  <c r="L22" i="1" l="1"/>
  <c r="M11" i="1"/>
  <c r="L11" i="1"/>
  <c r="H11" i="1"/>
  <c r="K11" i="1"/>
  <c r="K9" i="1"/>
  <c r="K8" i="1"/>
  <c r="Q8" i="1"/>
  <c r="Q11" i="1" s="1"/>
  <c r="Q13" i="1" s="1"/>
  <c r="K10" i="1" s="1"/>
  <c r="G8" i="4" l="1"/>
  <c r="I7" i="4"/>
  <c r="M14" i="1"/>
  <c r="K14" i="1"/>
  <c r="I14" i="1"/>
  <c r="D16" i="1"/>
  <c r="K7" i="1" s="1"/>
  <c r="I15" i="1" s="1"/>
  <c r="K15" i="1" s="1"/>
  <c r="M15" i="1" l="1"/>
</calcChain>
</file>

<file path=xl/sharedStrings.xml><?xml version="1.0" encoding="utf-8"?>
<sst xmlns="http://schemas.openxmlformats.org/spreadsheetml/2006/main" count="81" uniqueCount="61">
  <si>
    <t>BEAM SHEAR REINFORCEMENT DESIGN USING ETABS RESULT</t>
  </si>
  <si>
    <t>fy=</t>
  </si>
  <si>
    <t>in</t>
  </si>
  <si>
    <t>legs</t>
  </si>
  <si>
    <t>Required Shear bar=</t>
  </si>
  <si>
    <t>in^2</t>
  </si>
  <si>
    <t>Dia of Shear Bar</t>
  </si>
  <si>
    <t>mm</t>
  </si>
  <si>
    <t>Used Shear Bar</t>
  </si>
  <si>
    <t>Spacing of Shear Bar=</t>
  </si>
  <si>
    <t>in C/C</t>
  </si>
  <si>
    <t>For Design Requriement</t>
  </si>
  <si>
    <t>Frame Type</t>
  </si>
  <si>
    <t>SMF</t>
  </si>
  <si>
    <r>
      <t>Max. Spacing (S</t>
    </r>
    <r>
      <rPr>
        <sz val="9"/>
        <color theme="1"/>
        <rFont val="Calibri"/>
        <family val="2"/>
        <scheme val="minor"/>
      </rPr>
      <t>max</t>
    </r>
    <r>
      <rPr>
        <sz val="11"/>
        <color theme="1"/>
        <rFont val="Calibri"/>
        <family val="2"/>
        <scheme val="minor"/>
      </rPr>
      <t>)=</t>
    </r>
  </si>
  <si>
    <t>As Per BNBC 2020 &amp; ACI 318</t>
  </si>
  <si>
    <t>Dia of smallest long bar</t>
  </si>
  <si>
    <t>Special Moment Frame</t>
  </si>
  <si>
    <t>Dia of Bar Want  to Use =</t>
  </si>
  <si>
    <t xml:space="preserve">Nos </t>
  </si>
  <si>
    <t>mm Dia Bar</t>
  </si>
  <si>
    <t>Requried Longitudinal Reinforcement=</t>
  </si>
  <si>
    <t>Max. Dim. of Column C1=</t>
  </si>
  <si>
    <t>Min. Dim. of Column, C2=</t>
  </si>
  <si>
    <t>Intermediate Moment Frame/other</t>
  </si>
  <si>
    <t>IMF/OTHER</t>
  </si>
  <si>
    <t>HX</t>
  </si>
  <si>
    <t>F</t>
  </si>
  <si>
    <t>Maximum Spacing For Column Ties</t>
  </si>
  <si>
    <t>Leg Number of ties</t>
  </si>
  <si>
    <t>Clrar span</t>
  </si>
  <si>
    <t>ft</t>
  </si>
  <si>
    <t>Tie Spacing Calculation</t>
  </si>
  <si>
    <t>Lo Calculation (Distance for Support End ties spacing)</t>
  </si>
  <si>
    <t>Min. Distance Lo=</t>
  </si>
  <si>
    <t>As Per BNBC 2020 &amp; ACI 319</t>
  </si>
  <si>
    <t>As Per BNBC 2020 &amp; ACI 320</t>
  </si>
  <si>
    <t xml:space="preserve">in </t>
  </si>
  <si>
    <t>Final=</t>
  </si>
  <si>
    <t>Kips</t>
  </si>
  <si>
    <t>Sec 8.3.5.4</t>
  </si>
  <si>
    <t>Privided=</t>
  </si>
  <si>
    <t>For Longitudinal Reinforcement Use=</t>
  </si>
  <si>
    <t>qLearnify is an educational platform dedicated to the professional development of engineers and architects.</t>
  </si>
  <si>
    <t>Website:</t>
  </si>
  <si>
    <t>https://qlearnify.com/</t>
  </si>
  <si>
    <t>Facebook:</t>
  </si>
  <si>
    <t>https://www.facebook.com/qlearnify</t>
  </si>
  <si>
    <t>Youtube (Bangla):</t>
  </si>
  <si>
    <t>https://www.youtube.com/@qlearnify-bn</t>
  </si>
  <si>
    <t>Youtube (English):</t>
  </si>
  <si>
    <t>https://www.youtube.com/@qlearnify-en</t>
  </si>
  <si>
    <t>WhatsApp:</t>
  </si>
  <si>
    <t>https://wa.me/8801511250108</t>
  </si>
  <si>
    <t>LinkedIn:</t>
  </si>
  <si>
    <t>https://www.linkedin.com/company/qlearnify/</t>
  </si>
  <si>
    <t>Note: This Excel sheet has been created for educational purposes; please validate it according to your own standards before using it for professional work.</t>
  </si>
  <si>
    <t>Bangla:</t>
  </si>
  <si>
    <t>https://youtube.com/playlist?list=PLxle8F-wJI7P43K0GljphED4I5TRXu6Zx&amp;si=el-Lrxm5mB1Vmgcf</t>
  </si>
  <si>
    <t>English:</t>
  </si>
  <si>
    <t>https://youtube.com/playlist?list=PLTscI_CLWNfB_1x6_7zylwLZWo7mKypCq&amp;si=QzFh_rJa61GU0YNW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</si>
</sst>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44">
    <xf numFmtId="0" fontId="0" fillId="0" borderId="0" xfId="0"/>
    <xf numFmtId="164" fontId="0" fillId="0" borderId="0" xfId="0" applyNumberFormat="1"/>
    <xf numFmtId="0" fontId="0" fillId="2" borderId="1" xfId="0" applyFill="1" applyBorder="1"/>
    <xf numFmtId="2" fontId="0" fillId="0" borderId="0" xfId="0" applyNumberFormat="1"/>
    <xf numFmtId="0" fontId="0" fillId="2" borderId="1" xfId="0" applyFill="1" applyBorder="1" applyAlignment="1">
      <alignment horizontal="center" vertical="center"/>
    </xf>
    <xf numFmtId="0" fontId="2" fillId="0" borderId="0" xfId="0" applyFont="1"/>
    <xf numFmtId="0" fontId="0" fillId="3" borderId="0" xfId="0" applyFill="1"/>
    <xf numFmtId="0" fontId="0" fillId="2" borderId="4" xfId="0" applyFill="1" applyBorder="1"/>
    <xf numFmtId="0" fontId="0" fillId="3" borderId="1" xfId="0" applyFill="1" applyBorder="1"/>
    <xf numFmtId="0" fontId="2" fillId="0" borderId="0" xfId="0" applyFont="1" applyAlignment="1">
      <alignment horizontal="right"/>
    </xf>
    <xf numFmtId="0" fontId="1" fillId="3" borderId="1" xfId="0" applyFont="1" applyFill="1" applyBorder="1"/>
    <xf numFmtId="0" fontId="0" fillId="5" borderId="1" xfId="0" applyFill="1" applyBorder="1"/>
    <xf numFmtId="0" fontId="0" fillId="4" borderId="1" xfId="0" applyFill="1" applyBorder="1"/>
    <xf numFmtId="0" fontId="2" fillId="0" borderId="7" xfId="0" applyFont="1" applyBorder="1"/>
    <xf numFmtId="0" fontId="0" fillId="0" borderId="8" xfId="0" applyBorder="1"/>
    <xf numFmtId="0" fontId="2" fillId="0" borderId="9" xfId="0" applyFont="1" applyBorder="1"/>
    <xf numFmtId="0" fontId="0" fillId="0" borderId="10" xfId="0" applyBorder="1"/>
    <xf numFmtId="0" fontId="2" fillId="0" borderId="11" xfId="0" applyFont="1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2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Alignment="1">
      <alignment horizontal="center" vertical="center"/>
    </xf>
    <xf numFmtId="0" fontId="1" fillId="4" borderId="0" xfId="0" applyFont="1" applyFill="1" applyAlignment="1">
      <alignment horizontal="center"/>
    </xf>
    <xf numFmtId="2" fontId="1" fillId="4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right"/>
    </xf>
    <xf numFmtId="2" fontId="1" fillId="3" borderId="1" xfId="0" applyNumberFormat="1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5" fillId="0" borderId="0" xfId="0" applyFont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0" fontId="0" fillId="0" borderId="0" xfId="0" applyAlignment="1" applyProtection="1">
      <alignment horizontal="right"/>
      <protection hidden="1"/>
    </xf>
    <xf numFmtId="0" fontId="4" fillId="0" borderId="0" xfId="1" applyAlignment="1" applyProtection="1">
      <alignment horizontal="left"/>
      <protection hidden="1"/>
    </xf>
    <xf numFmtId="0" fontId="6" fillId="0" borderId="0" xfId="0" applyFont="1" applyAlignment="1" applyProtection="1">
      <alignment horizontal="center" vertical="center" wrapText="1"/>
      <protection hidden="1"/>
    </xf>
    <xf numFmtId="0" fontId="7" fillId="0" borderId="0" xfId="0" applyFont="1" applyProtection="1">
      <protection hidden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190501</xdr:colOff>
      <xdr:row>0</xdr:row>
      <xdr:rowOff>19050</xdr:rowOff>
    </xdr:from>
    <xdr:to>
      <xdr:col>7</xdr:col>
      <xdr:colOff>400051</xdr:colOff>
      <xdr:row>12</xdr:row>
      <xdr:rowOff>157824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4DAA0AA-9725-468F-BF6C-FD9A9BBD9D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19301" y="19050"/>
          <a:ext cx="2647950" cy="2424774"/>
        </a:xfrm>
        <a:prstGeom prst="rect">
          <a:avLst/>
        </a:prstGeom>
      </xdr:spPr>
    </xdr:pic>
    <xdr:clientData/>
  </xdr:twoCellAnchor>
  <xdr:twoCellAnchor>
    <xdr:from>
      <xdr:col>3</xdr:col>
      <xdr:colOff>200025</xdr:colOff>
      <xdr:row>29</xdr:row>
      <xdr:rowOff>85725</xdr:rowOff>
    </xdr:from>
    <xdr:to>
      <xdr:col>6</xdr:col>
      <xdr:colOff>495300</xdr:colOff>
      <xdr:row>31</xdr:row>
      <xdr:rowOff>171450</xdr:rowOff>
    </xdr:to>
    <xdr:sp macro="" textlink="">
      <xdr:nvSpPr>
        <xdr:cNvPr id="3" name="Flowchart: Alternate Process 2">
          <a:extLst>
            <a:ext uri="{FF2B5EF4-FFF2-40B4-BE49-F238E27FC236}">
              <a16:creationId xmlns:a16="http://schemas.microsoft.com/office/drawing/2014/main" id="{090363DD-FECC-4756-B21F-EEE1A4C10C3B}"/>
            </a:ext>
          </a:extLst>
        </xdr:cNvPr>
        <xdr:cNvSpPr/>
      </xdr:nvSpPr>
      <xdr:spPr>
        <a:xfrm>
          <a:off x="2028825" y="5610225"/>
          <a:ext cx="2124075" cy="466725"/>
        </a:xfrm>
        <a:prstGeom prst="flowChartAlternateProcess">
          <a:avLst/>
        </a:prstGeom>
        <a:solidFill>
          <a:srgbClr val="FF0000"/>
        </a:solidFill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 b="1" kern="1200"/>
            <a:t>Video</a:t>
          </a:r>
          <a:r>
            <a:rPr lang="en-US" sz="2400" b="1" kern="1200" baseline="0"/>
            <a:t> Tutorial</a:t>
          </a:r>
          <a:endParaRPr lang="en-US" sz="2400" b="1" kern="12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QLearnify\All%20Excel%20file\A.%20Wind%20and%20Earthquake%20load\A1%20Earth%20Quake%20Analysis%20Excel%20As%20per%20BNBC-2020,%20ASCE%207-05.xlsx" TargetMode="External"/><Relationship Id="rId1" Type="http://schemas.openxmlformats.org/officeDocument/2006/relationships/externalLinkPath" Target="/QLearnify/All%20Excel%20file/A.%20Wind%20and%20Earthquake%20load/A1%20Earth%20Quake%20Analysis%20Excel%20As%20per%20BNBC-2020,%20ASCE%207-0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ideo &amp; Instruction "/>
      <sheetName val="EQ Analysis"/>
      <sheetName val="Sheet2"/>
      <sheetName val="Sheet3"/>
    </sheetNames>
    <sheetDataSet>
      <sheetData sheetId="0"/>
      <sheetData sheetId="1"/>
      <sheetData sheetId="2"/>
      <sheetData sheetId="3">
        <row r="39">
          <cell r="B39" t="str">
            <v>BEARING_WALL_SYSTEMS_no_frame</v>
          </cell>
        </row>
        <row r="40">
          <cell r="B40" t="str">
            <v>BUILDING_FRAME_SYSTEMS_with_bracing_or_shear_wall</v>
          </cell>
        </row>
        <row r="41">
          <cell r="B41" t="str">
            <v>MOMENT_RESISTING_FRAME_SYSTEMS_no_shear_wall</v>
          </cell>
        </row>
        <row r="42">
          <cell r="B42" t="str">
            <v>DUAL_SYSTEMS_SPECIAL_MOMENT_FRAMES</v>
          </cell>
        </row>
        <row r="43">
          <cell r="B43" t="str">
            <v>DUAL_SYSTEMS_INTERMEDIATE_MOMENT_FRAMES</v>
          </cell>
        </row>
        <row r="44">
          <cell r="B44" t="str">
            <v>DUAL_SHEAR_WALL_FRAME_SYSTEM</v>
          </cell>
        </row>
        <row r="45">
          <cell r="B45" t="str">
            <v xml:space="preserve">STEEL_SYSTEMS_NOT_SPECIFICALLY_DETAILED 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https://www.youtube.com/@qlearnify-bn" TargetMode="External"/><Relationship Id="rId7" Type="http://schemas.openxmlformats.org/officeDocument/2006/relationships/hyperlink" Target="https://youtube.com/playlist?list=PLxle8F-wJI7P43K0GljphED4I5TRXu6Zx&amp;si=el-Lrxm5mB1Vmgcf" TargetMode="External"/><Relationship Id="rId2" Type="http://schemas.openxmlformats.org/officeDocument/2006/relationships/hyperlink" Target="https://www.facebook.com/qlearnify" TargetMode="External"/><Relationship Id="rId1" Type="http://schemas.openxmlformats.org/officeDocument/2006/relationships/hyperlink" Target="https://qlearnify.com/" TargetMode="External"/><Relationship Id="rId6" Type="http://schemas.openxmlformats.org/officeDocument/2006/relationships/hyperlink" Target="https://youtube.com/playlist?list=PLTscI_CLWNfB_1x6_7zylwLZWo7mKypCq&amp;si=QzFh_rJa61GU0YNW" TargetMode="External"/><Relationship Id="rId5" Type="http://schemas.openxmlformats.org/officeDocument/2006/relationships/hyperlink" Target="https://www.linkedin.com/company/qlearnify/" TargetMode="External"/><Relationship Id="rId4" Type="http://schemas.openxmlformats.org/officeDocument/2006/relationships/hyperlink" Target="https://wa.me/8801511250108" TargetMode="External"/><Relationship Id="rId9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D1E77-ED7E-4261-8B77-91778238AB19}">
  <dimension ref="A14:M36"/>
  <sheetViews>
    <sheetView showGridLines="0" tabSelected="1" workbookViewId="0">
      <selection activeCell="M8" sqref="M8"/>
    </sheetView>
  </sheetViews>
  <sheetFormatPr defaultRowHeight="15" x14ac:dyDescent="0.25"/>
  <cols>
    <col min="1" max="1" width="9.140625" style="39" customWidth="1"/>
    <col min="2" max="16384" width="9.140625" style="39"/>
  </cols>
  <sheetData>
    <row r="14" spans="2:10" ht="15" customHeight="1" x14ac:dyDescent="0.25">
      <c r="B14" s="38" t="s">
        <v>43</v>
      </c>
      <c r="C14" s="38"/>
      <c r="D14" s="38"/>
      <c r="E14" s="38"/>
      <c r="F14" s="38"/>
      <c r="G14" s="38"/>
      <c r="H14" s="38"/>
      <c r="I14" s="38"/>
      <c r="J14" s="38"/>
    </row>
    <row r="15" spans="2:10" ht="15" customHeight="1" x14ac:dyDescent="0.25">
      <c r="B15" s="38"/>
      <c r="C15" s="38"/>
      <c r="D15" s="38"/>
      <c r="E15" s="38"/>
      <c r="F15" s="38"/>
      <c r="G15" s="38"/>
      <c r="H15" s="38"/>
      <c r="I15" s="38"/>
      <c r="J15" s="38"/>
    </row>
    <row r="16" spans="2:10" x14ac:dyDescent="0.25">
      <c r="B16" s="38"/>
      <c r="C16" s="38"/>
      <c r="D16" s="38"/>
      <c r="E16" s="38"/>
      <c r="F16" s="38"/>
      <c r="G16" s="38"/>
      <c r="H16" s="38"/>
      <c r="I16" s="38"/>
      <c r="J16" s="38"/>
    </row>
    <row r="17" spans="2:10" x14ac:dyDescent="0.25">
      <c r="C17" s="40" t="s">
        <v>44</v>
      </c>
      <c r="D17" s="40"/>
      <c r="E17" s="41" t="s">
        <v>45</v>
      </c>
      <c r="F17" s="41"/>
      <c r="G17" s="41"/>
      <c r="H17" s="41"/>
      <c r="I17" s="41"/>
      <c r="J17" s="41"/>
    </row>
    <row r="18" spans="2:10" x14ac:dyDescent="0.25">
      <c r="C18" s="40" t="s">
        <v>46</v>
      </c>
      <c r="D18" s="40"/>
      <c r="E18" s="41" t="s">
        <v>47</v>
      </c>
      <c r="F18" s="41"/>
      <c r="G18" s="41"/>
      <c r="H18" s="41"/>
      <c r="I18" s="41"/>
      <c r="J18" s="41"/>
    </row>
    <row r="19" spans="2:10" x14ac:dyDescent="0.25">
      <c r="C19" s="40" t="s">
        <v>48</v>
      </c>
      <c r="D19" s="40"/>
      <c r="E19" s="41" t="s">
        <v>49</v>
      </c>
      <c r="F19" s="41"/>
      <c r="G19" s="41"/>
      <c r="H19" s="41"/>
      <c r="I19" s="41"/>
      <c r="J19" s="41"/>
    </row>
    <row r="20" spans="2:10" x14ac:dyDescent="0.25">
      <c r="C20" s="40" t="s">
        <v>50</v>
      </c>
      <c r="D20" s="40"/>
      <c r="E20" s="41" t="s">
        <v>51</v>
      </c>
      <c r="F20" s="41"/>
      <c r="G20" s="41"/>
      <c r="H20" s="41"/>
      <c r="I20" s="41"/>
      <c r="J20" s="41"/>
    </row>
    <row r="21" spans="2:10" x14ac:dyDescent="0.25">
      <c r="C21" s="40" t="s">
        <v>52</v>
      </c>
      <c r="D21" s="40"/>
      <c r="E21" s="41" t="s">
        <v>53</v>
      </c>
      <c r="F21" s="41"/>
      <c r="G21" s="41"/>
      <c r="H21" s="41"/>
      <c r="I21" s="41"/>
      <c r="J21" s="41"/>
    </row>
    <row r="22" spans="2:10" x14ac:dyDescent="0.25">
      <c r="C22" s="40" t="s">
        <v>54</v>
      </c>
      <c r="D22" s="40"/>
      <c r="E22" s="41" t="s">
        <v>55</v>
      </c>
      <c r="F22" s="41"/>
      <c r="G22" s="41"/>
      <c r="H22" s="41"/>
      <c r="I22" s="41"/>
      <c r="J22" s="41"/>
    </row>
    <row r="24" spans="2:10" ht="15" customHeight="1" x14ac:dyDescent="0.25">
      <c r="B24" s="42" t="s">
        <v>56</v>
      </c>
      <c r="C24" s="42"/>
      <c r="D24" s="42"/>
      <c r="E24" s="42"/>
      <c r="F24" s="42"/>
      <c r="G24" s="42"/>
      <c r="H24" s="42"/>
      <c r="I24" s="42"/>
      <c r="J24" s="42"/>
    </row>
    <row r="25" spans="2:10" ht="15" customHeight="1" x14ac:dyDescent="0.25">
      <c r="B25" s="42"/>
      <c r="C25" s="42"/>
      <c r="D25" s="42"/>
      <c r="E25" s="42"/>
      <c r="F25" s="42"/>
      <c r="G25" s="42"/>
      <c r="H25" s="42"/>
      <c r="I25" s="42"/>
      <c r="J25" s="42"/>
    </row>
    <row r="26" spans="2:10" ht="15" customHeight="1" x14ac:dyDescent="0.25">
      <c r="B26" s="42"/>
      <c r="C26" s="42"/>
      <c r="D26" s="42"/>
      <c r="E26" s="42"/>
      <c r="F26" s="42"/>
      <c r="G26" s="42"/>
      <c r="H26" s="42"/>
      <c r="I26" s="42"/>
      <c r="J26" s="42"/>
    </row>
    <row r="27" spans="2:10" x14ac:dyDescent="0.25">
      <c r="B27" s="42"/>
      <c r="C27" s="42"/>
      <c r="D27" s="42"/>
      <c r="E27" s="42"/>
      <c r="F27" s="42"/>
      <c r="G27" s="42"/>
      <c r="H27" s="42"/>
      <c r="I27" s="42"/>
      <c r="J27" s="42"/>
    </row>
    <row r="34" spans="1:13" ht="15.75" x14ac:dyDescent="0.25">
      <c r="A34" s="43" t="s">
        <v>57</v>
      </c>
      <c r="B34" s="41" t="s">
        <v>58</v>
      </c>
      <c r="C34" s="41"/>
      <c r="D34" s="41"/>
      <c r="E34" s="41"/>
      <c r="F34" s="41"/>
      <c r="G34" s="41"/>
      <c r="H34" s="41"/>
      <c r="I34" s="41"/>
      <c r="J34" s="41"/>
      <c r="K34" s="41"/>
      <c r="L34" s="41"/>
      <c r="M34" s="41"/>
    </row>
    <row r="35" spans="1:13" ht="15.75" x14ac:dyDescent="0.25">
      <c r="A35" s="43"/>
    </row>
    <row r="36" spans="1:13" ht="15.75" x14ac:dyDescent="0.25">
      <c r="A36" s="43" t="s">
        <v>59</v>
      </c>
      <c r="B36" s="41" t="s">
        <v>60</v>
      </c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</row>
  </sheetData>
  <sheetProtection algorithmName="SHA-512" hashValue="mNHzYPo3myyRtQ0hKyAUCtH3O8JA/5aSzrOCEvq79hjgO7Gw0D0RAPuqDa+nbmkoY+GsluGOCqvByLa5A+R8oA==" saltValue="eVx23pLryyNGOGnMNvyHQw==" spinCount="100000" sheet="1" objects="1" scenarios="1"/>
  <mergeCells count="16">
    <mergeCell ref="B24:J27"/>
    <mergeCell ref="B34:M34"/>
    <mergeCell ref="B36:M36"/>
    <mergeCell ref="C20:D20"/>
    <mergeCell ref="E20:J20"/>
    <mergeCell ref="C21:D21"/>
    <mergeCell ref="E21:J21"/>
    <mergeCell ref="C22:D22"/>
    <mergeCell ref="E22:J22"/>
    <mergeCell ref="B14:J16"/>
    <mergeCell ref="C17:D17"/>
    <mergeCell ref="E17:J17"/>
    <mergeCell ref="C18:D18"/>
    <mergeCell ref="E18:J18"/>
    <mergeCell ref="C19:D19"/>
    <mergeCell ref="E19:J19"/>
  </mergeCells>
  <hyperlinks>
    <hyperlink ref="E17" r:id="rId1" xr:uid="{3FDB5224-A190-4D0A-A8D4-78004047FC6F}"/>
    <hyperlink ref="E18" r:id="rId2" xr:uid="{7B4FFEF8-21FA-48E6-8024-998B02A33AAF}"/>
    <hyperlink ref="E19" r:id="rId3" xr:uid="{AC4991AF-377D-45FE-8271-D107019A9E91}"/>
    <hyperlink ref="E21" r:id="rId4" xr:uid="{85397671-1463-4D48-B030-59BF09AFBE31}"/>
    <hyperlink ref="E22" r:id="rId5" xr:uid="{58B8051F-1387-41A8-9F21-BED4ECEF531D}"/>
    <hyperlink ref="B36" r:id="rId6" xr:uid="{8C43C5A9-B853-433E-8973-C28C52BDD70C}"/>
    <hyperlink ref="B34" r:id="rId7" xr:uid="{779FCAE2-62F3-49CE-87D0-EE7DD2416D1E}"/>
  </hyperlinks>
  <pageMargins left="0.7" right="0.7" top="0.75" bottom="0.75" header="0.3" footer="0.3"/>
  <pageSetup orientation="portrait" horizontalDpi="1200" verticalDpi="1200" r:id="rId8"/>
  <drawing r:id="rId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5:Q25"/>
  <sheetViews>
    <sheetView workbookViewId="0">
      <selection activeCell="O6" sqref="O6"/>
    </sheetView>
  </sheetViews>
  <sheetFormatPr defaultRowHeight="15" x14ac:dyDescent="0.25"/>
  <cols>
    <col min="3" max="3" width="16.28515625" customWidth="1"/>
    <col min="5" max="5" width="13.85546875" customWidth="1"/>
    <col min="7" max="7" width="8.42578125" bestFit="1" customWidth="1"/>
    <col min="8" max="8" width="6.140625" customWidth="1"/>
    <col min="9" max="9" width="4.7109375" customWidth="1"/>
    <col min="10" max="10" width="11.7109375" customWidth="1"/>
    <col min="17" max="17" width="9.140625" style="5"/>
  </cols>
  <sheetData>
    <row r="5" spans="3:17" x14ac:dyDescent="0.25">
      <c r="C5" s="28" t="s">
        <v>21</v>
      </c>
      <c r="D5" s="28"/>
      <c r="E5" s="28"/>
      <c r="F5" s="28"/>
      <c r="G5" s="2">
        <v>3.5</v>
      </c>
      <c r="H5" t="s">
        <v>5</v>
      </c>
    </row>
    <row r="6" spans="3:17" x14ac:dyDescent="0.25">
      <c r="C6" s="22" t="s">
        <v>18</v>
      </c>
      <c r="D6" s="23"/>
      <c r="E6" s="23"/>
      <c r="F6" s="24"/>
      <c r="G6" s="7">
        <v>20</v>
      </c>
      <c r="H6" t="s">
        <v>7</v>
      </c>
      <c r="Q6" s="5">
        <v>8</v>
      </c>
    </row>
    <row r="7" spans="3:17" x14ac:dyDescent="0.25">
      <c r="C7" s="25" t="s">
        <v>42</v>
      </c>
      <c r="D7" s="26"/>
      <c r="E7" s="26"/>
      <c r="F7" s="27"/>
      <c r="G7" s="8">
        <f>_xlfn.CEILING.MATH((G5/((0.785398*G6^2)/(25.4*25.4))),1)</f>
        <v>8</v>
      </c>
      <c r="H7" s="6" t="s">
        <v>19</v>
      </c>
      <c r="I7" s="6">
        <f>G6</f>
        <v>20</v>
      </c>
      <c r="J7" s="6" t="s">
        <v>20</v>
      </c>
      <c r="Q7" s="5">
        <v>10</v>
      </c>
    </row>
    <row r="8" spans="3:17" x14ac:dyDescent="0.25">
      <c r="E8" s="29" t="s">
        <v>41</v>
      </c>
      <c r="F8" s="29"/>
      <c r="G8">
        <f>((3.1416*G6*G6)/(4*25.4*25.4))*G7</f>
        <v>3.8955917911835827</v>
      </c>
      <c r="H8" t="s">
        <v>5</v>
      </c>
      <c r="Q8" s="5">
        <v>12</v>
      </c>
    </row>
    <row r="9" spans="3:17" x14ac:dyDescent="0.25">
      <c r="Q9" s="5">
        <v>14</v>
      </c>
    </row>
    <row r="10" spans="3:17" x14ac:dyDescent="0.25">
      <c r="Q10" s="5">
        <v>16</v>
      </c>
    </row>
    <row r="11" spans="3:17" x14ac:dyDescent="0.25">
      <c r="Q11" s="5">
        <v>20</v>
      </c>
    </row>
    <row r="12" spans="3:17" x14ac:dyDescent="0.25">
      <c r="J12">
        <v>1.9477958955917913</v>
      </c>
      <c r="K12">
        <f>G5-J12</f>
        <v>1.5522041044082087</v>
      </c>
      <c r="Q12" s="5">
        <v>22</v>
      </c>
    </row>
    <row r="13" spans="3:17" x14ac:dyDescent="0.25">
      <c r="J13">
        <v>1.8698840597681194</v>
      </c>
      <c r="Q13" s="5">
        <v>25</v>
      </c>
    </row>
    <row r="14" spans="3:17" x14ac:dyDescent="0.25">
      <c r="J14">
        <f>SUM(J12:J13)</f>
        <v>3.8176799553599108</v>
      </c>
      <c r="Q14" s="5">
        <v>28</v>
      </c>
    </row>
    <row r="15" spans="3:17" x14ac:dyDescent="0.25">
      <c r="Q15" s="5">
        <v>32</v>
      </c>
    </row>
    <row r="16" spans="3:17" x14ac:dyDescent="0.25">
      <c r="Q16" s="5">
        <v>40</v>
      </c>
    </row>
    <row r="18" spans="11:14" x14ac:dyDescent="0.25">
      <c r="M18" s="5"/>
    </row>
    <row r="19" spans="11:14" x14ac:dyDescent="0.25">
      <c r="K19">
        <v>1.9477958955917913</v>
      </c>
    </row>
    <row r="22" spans="11:14" x14ac:dyDescent="0.25">
      <c r="M22">
        <v>3.5</v>
      </c>
    </row>
    <row r="23" spans="11:14" x14ac:dyDescent="0.25">
      <c r="K23" s="12">
        <v>20</v>
      </c>
      <c r="L23" s="12">
        <v>2</v>
      </c>
      <c r="M23">
        <f>((3.1416*K23*K23)/(4*25.4*25.4))*L23</f>
        <v>0.97389794779589567</v>
      </c>
    </row>
    <row r="24" spans="11:14" x14ac:dyDescent="0.25">
      <c r="K24" s="12">
        <v>16</v>
      </c>
      <c r="L24" s="12">
        <v>8</v>
      </c>
      <c r="M24">
        <f>((3.1416*K24*K24)/(4*25.4*25.4))*L24</f>
        <v>2.4931787463574926</v>
      </c>
    </row>
    <row r="25" spans="11:14" x14ac:dyDescent="0.25">
      <c r="M25">
        <f>SUM(M23:M24)</f>
        <v>3.4670766941533881</v>
      </c>
      <c r="N25">
        <f>M22-(M23+M24)</f>
        <v>3.292330584661185E-2</v>
      </c>
    </row>
  </sheetData>
  <mergeCells count="4">
    <mergeCell ref="C6:F6"/>
    <mergeCell ref="C7:F7"/>
    <mergeCell ref="C5:F5"/>
    <mergeCell ref="E8:F8"/>
  </mergeCells>
  <dataValidations count="1">
    <dataValidation type="list" allowBlank="1" showInputMessage="1" showErrorMessage="1" sqref="G6" xr:uid="{00000000-0002-0000-0000-000000000000}">
      <formula1>$Q$6:$Q$16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3:T28"/>
  <sheetViews>
    <sheetView workbookViewId="0">
      <selection activeCell="H26" sqref="H26"/>
    </sheetView>
  </sheetViews>
  <sheetFormatPr defaultRowHeight="15" x14ac:dyDescent="0.25"/>
  <cols>
    <col min="2" max="2" width="15.140625" customWidth="1"/>
    <col min="3" max="3" width="14.140625" customWidth="1"/>
    <col min="4" max="4" width="13.140625" customWidth="1"/>
    <col min="11" max="11" width="11.5703125" customWidth="1"/>
    <col min="12" max="12" width="9.42578125" customWidth="1"/>
    <col min="14" max="14" width="10" customWidth="1"/>
    <col min="18" max="18" width="9.140625" style="5"/>
    <col min="19" max="19" width="11.85546875" customWidth="1"/>
  </cols>
  <sheetData>
    <row r="3" spans="2:20" x14ac:dyDescent="0.25">
      <c r="K3" t="s">
        <v>40</v>
      </c>
    </row>
    <row r="4" spans="2:20" x14ac:dyDescent="0.25">
      <c r="B4" s="34" t="s">
        <v>0</v>
      </c>
      <c r="C4" s="34"/>
      <c r="D4" s="34"/>
      <c r="E4" s="34"/>
      <c r="F4" s="34"/>
      <c r="G4" s="34"/>
      <c r="H4" s="34"/>
    </row>
    <row r="6" spans="2:20" x14ac:dyDescent="0.25">
      <c r="I6" s="31" t="s">
        <v>32</v>
      </c>
      <c r="J6" s="31"/>
      <c r="K6" s="31"/>
      <c r="L6" s="31"/>
      <c r="M6" s="31"/>
      <c r="N6" s="31"/>
      <c r="O6" s="31"/>
    </row>
    <row r="7" spans="2:20" x14ac:dyDescent="0.25">
      <c r="B7" s="28" t="s">
        <v>22</v>
      </c>
      <c r="C7" s="28"/>
      <c r="D7" s="4">
        <v>22</v>
      </c>
      <c r="E7" t="s">
        <v>2</v>
      </c>
      <c r="H7" s="35" t="s">
        <v>9</v>
      </c>
      <c r="I7" s="35"/>
      <c r="J7" s="35"/>
      <c r="K7" s="3">
        <f>(D16*12/D13)</f>
        <v>11.686775373550747</v>
      </c>
      <c r="L7" t="s">
        <v>10</v>
      </c>
      <c r="M7" s="30" t="s">
        <v>11</v>
      </c>
      <c r="N7" s="30"/>
      <c r="O7" s="30"/>
      <c r="R7" s="5">
        <v>8</v>
      </c>
      <c r="S7" t="s">
        <v>13</v>
      </c>
      <c r="T7" t="s">
        <v>17</v>
      </c>
    </row>
    <row r="8" spans="2:20" x14ac:dyDescent="0.25">
      <c r="B8" s="28" t="s">
        <v>23</v>
      </c>
      <c r="C8" s="28"/>
      <c r="D8" s="4">
        <v>15</v>
      </c>
      <c r="E8" t="s">
        <v>2</v>
      </c>
      <c r="H8" s="35" t="s">
        <v>14</v>
      </c>
      <c r="I8" s="35"/>
      <c r="J8" s="35"/>
      <c r="K8" s="3">
        <f>IF(D10="SMF",D8/4,D8/2)</f>
        <v>3.75</v>
      </c>
      <c r="L8" t="s">
        <v>10</v>
      </c>
      <c r="M8" s="30" t="s">
        <v>15</v>
      </c>
      <c r="N8" s="30"/>
      <c r="O8" s="30"/>
      <c r="P8" s="5" t="s">
        <v>26</v>
      </c>
      <c r="Q8" s="5">
        <f>MIN((MAX((D7/3)*25.4,(D8/2)*25.4)),350)</f>
        <v>190.5</v>
      </c>
      <c r="R8" s="5">
        <v>10</v>
      </c>
      <c r="S8" t="s">
        <v>25</v>
      </c>
      <c r="T8" t="s">
        <v>24</v>
      </c>
    </row>
    <row r="9" spans="2:20" x14ac:dyDescent="0.25">
      <c r="B9" s="22" t="s">
        <v>30</v>
      </c>
      <c r="C9" s="24"/>
      <c r="D9" s="4">
        <v>8.75</v>
      </c>
      <c r="E9" t="s">
        <v>31</v>
      </c>
      <c r="H9" s="35" t="s">
        <v>14</v>
      </c>
      <c r="I9" s="35"/>
      <c r="J9" s="35"/>
      <c r="K9" s="3">
        <f>IF(D10="SMF",6*D15/25.4,8*D15/25.4)</f>
        <v>3.7795275590551185</v>
      </c>
      <c r="L9" t="s">
        <v>10</v>
      </c>
      <c r="M9" s="30" t="s">
        <v>15</v>
      </c>
      <c r="N9" s="30"/>
      <c r="O9" s="30"/>
      <c r="P9" s="5"/>
      <c r="Q9" s="5"/>
      <c r="R9" s="5">
        <v>12</v>
      </c>
    </row>
    <row r="10" spans="2:20" x14ac:dyDescent="0.25">
      <c r="B10" s="22" t="s">
        <v>12</v>
      </c>
      <c r="C10" s="24"/>
      <c r="D10" s="4" t="s">
        <v>13</v>
      </c>
      <c r="H10" s="35" t="s">
        <v>14</v>
      </c>
      <c r="I10" s="35"/>
      <c r="J10" s="35"/>
      <c r="K10" s="3">
        <f>IF(D10="SMF",Q13,24*D14/25.4)</f>
        <v>6</v>
      </c>
      <c r="L10" t="s">
        <v>10</v>
      </c>
      <c r="M10" s="30" t="s">
        <v>15</v>
      </c>
      <c r="N10" s="30"/>
      <c r="O10" s="30"/>
      <c r="P10" s="5"/>
      <c r="Q10" s="5">
        <v>4</v>
      </c>
      <c r="R10" s="5">
        <v>14</v>
      </c>
    </row>
    <row r="11" spans="2:20" x14ac:dyDescent="0.25">
      <c r="B11" s="28" t="s">
        <v>1</v>
      </c>
      <c r="C11" s="28"/>
      <c r="D11" s="4">
        <v>72.5</v>
      </c>
      <c r="E11" t="s">
        <v>39</v>
      </c>
      <c r="H11" s="35" t="str">
        <f>IF(D10="SMF","","Max. Spacing (Smax)=")</f>
        <v/>
      </c>
      <c r="I11" s="35"/>
      <c r="J11" s="35"/>
      <c r="K11" s="3" t="str">
        <f>IF(D10="SMF","",12)</f>
        <v/>
      </c>
      <c r="L11" t="str">
        <f>IF(D10="SMF","","in C/C")</f>
        <v/>
      </c>
      <c r="M11" s="30" t="str">
        <f>IF(D10="SMF","","As Per BNBC 2020 &amp; ACI 318")</f>
        <v/>
      </c>
      <c r="N11" s="30"/>
      <c r="O11" s="30"/>
      <c r="P11" s="5"/>
      <c r="Q11" s="5">
        <f>(100+((350-Q8)/3))/25.4</f>
        <v>6.030183727034121</v>
      </c>
      <c r="R11" s="5">
        <v>16</v>
      </c>
    </row>
    <row r="12" spans="2:20" x14ac:dyDescent="0.25">
      <c r="B12" s="28" t="s">
        <v>29</v>
      </c>
      <c r="C12" s="28"/>
      <c r="D12" s="4">
        <v>4</v>
      </c>
      <c r="E12" t="s">
        <v>3</v>
      </c>
      <c r="P12" s="5"/>
      <c r="Q12" s="5">
        <v>6</v>
      </c>
      <c r="R12" s="5">
        <v>20</v>
      </c>
    </row>
    <row r="13" spans="2:20" x14ac:dyDescent="0.25">
      <c r="B13" s="28" t="s">
        <v>4</v>
      </c>
      <c r="C13" s="28"/>
      <c r="D13" s="4">
        <v>0.5</v>
      </c>
      <c r="E13" t="s">
        <v>5</v>
      </c>
      <c r="I13" s="37" t="s">
        <v>28</v>
      </c>
      <c r="J13" s="37"/>
      <c r="K13" s="37"/>
      <c r="L13" s="37"/>
      <c r="M13" s="37"/>
      <c r="N13" s="37"/>
      <c r="O13" s="37"/>
      <c r="P13" s="9" t="s">
        <v>27</v>
      </c>
      <c r="Q13" s="5">
        <f>MIN(Q11:Q12)</f>
        <v>6</v>
      </c>
      <c r="R13" s="5">
        <v>22</v>
      </c>
    </row>
    <row r="14" spans="2:20" x14ac:dyDescent="0.25">
      <c r="B14" s="28" t="s">
        <v>6</v>
      </c>
      <c r="C14" s="28"/>
      <c r="D14" s="4">
        <v>10</v>
      </c>
      <c r="E14" t="s">
        <v>7</v>
      </c>
      <c r="I14" s="37" t="str">
        <f>IF(D10="Other","","Left Side")</f>
        <v>Left Side</v>
      </c>
      <c r="J14" s="37"/>
      <c r="K14" s="37" t="str">
        <f>IF(D10="Other","For Enter Length","Middle Portion")</f>
        <v>Middle Portion</v>
      </c>
      <c r="L14" s="37"/>
      <c r="M14" s="37" t="str">
        <f>IF(D10="Other","","Right Side")</f>
        <v>Right Side</v>
      </c>
      <c r="N14" s="37"/>
      <c r="O14" s="10"/>
      <c r="P14" s="5"/>
      <c r="Q14" s="5"/>
      <c r="R14" s="5">
        <v>25</v>
      </c>
    </row>
    <row r="15" spans="2:20" x14ac:dyDescent="0.25">
      <c r="B15" s="28" t="s">
        <v>16</v>
      </c>
      <c r="C15" s="28"/>
      <c r="D15" s="4">
        <v>16</v>
      </c>
      <c r="E15" t="s">
        <v>7</v>
      </c>
      <c r="I15" s="36">
        <f>IF(D10="SMF",(_xlfn.FLOOR.MATH(MIN(K7:K10),0.25)),(_xlfn.FLOOR.MATH(MIN(K7:K11),0.25)))</f>
        <v>3.75</v>
      </c>
      <c r="J15" s="36"/>
      <c r="K15" s="36">
        <f>_xlfn.FLOOR.MATH((MIN(I15*2,K7)),0.25)</f>
        <v>7.5</v>
      </c>
      <c r="L15" s="36"/>
      <c r="M15" s="36">
        <f>IF(D10="SMF",(_xlfn.FLOOR.MATH(MIN(K7:K10),0.25)),(_xlfn.FLOOR.MATH(MIN(K7:K11),0.25)))</f>
        <v>3.75</v>
      </c>
      <c r="N15" s="36"/>
      <c r="O15" s="10"/>
      <c r="R15" s="5">
        <v>28</v>
      </c>
    </row>
    <row r="16" spans="2:20" ht="15.75" thickBot="1" x14ac:dyDescent="0.3">
      <c r="B16" s="33" t="s">
        <v>8</v>
      </c>
      <c r="C16" s="33"/>
      <c r="D16" s="1">
        <f>((0.7854*D14^2)/(25.4*25.4))*D12</f>
        <v>0.48694897389794778</v>
      </c>
      <c r="E16" t="s">
        <v>5</v>
      </c>
      <c r="R16" s="5">
        <v>32</v>
      </c>
    </row>
    <row r="17" spans="9:20" x14ac:dyDescent="0.25">
      <c r="I17" s="32" t="s">
        <v>33</v>
      </c>
      <c r="J17" s="32"/>
      <c r="K17" s="32"/>
      <c r="L17" s="32"/>
      <c r="M17" s="32"/>
      <c r="N17" s="32"/>
      <c r="O17" s="32"/>
      <c r="R17" s="13">
        <v>40</v>
      </c>
      <c r="S17" s="19"/>
      <c r="T17" s="14"/>
    </row>
    <row r="18" spans="9:20" x14ac:dyDescent="0.25">
      <c r="I18" s="33" t="s">
        <v>34</v>
      </c>
      <c r="J18" s="33"/>
      <c r="K18">
        <f>D9*12/6</f>
        <v>17.5</v>
      </c>
      <c r="L18" t="s">
        <v>37</v>
      </c>
      <c r="M18" s="30" t="s">
        <v>15</v>
      </c>
      <c r="N18" s="30"/>
      <c r="O18" s="30"/>
      <c r="R18" s="15"/>
      <c r="S18" s="20"/>
      <c r="T18" s="16"/>
    </row>
    <row r="19" spans="9:20" x14ac:dyDescent="0.25">
      <c r="I19" s="33" t="s">
        <v>34</v>
      </c>
      <c r="J19" s="33"/>
      <c r="K19">
        <f>MAX(D7:D9)</f>
        <v>22</v>
      </c>
      <c r="L19" t="s">
        <v>2</v>
      </c>
      <c r="M19" s="30" t="s">
        <v>35</v>
      </c>
      <c r="N19" s="30"/>
      <c r="O19" s="30"/>
      <c r="R19" s="15"/>
      <c r="S19" s="20"/>
      <c r="T19" s="16"/>
    </row>
    <row r="20" spans="9:20" ht="15.75" thickBot="1" x14ac:dyDescent="0.3">
      <c r="I20" s="33" t="s">
        <v>34</v>
      </c>
      <c r="J20" s="33"/>
      <c r="K20">
        <f>IF(D10="SMF",18,20)</f>
        <v>18</v>
      </c>
      <c r="L20" t="s">
        <v>37</v>
      </c>
      <c r="M20" s="30" t="s">
        <v>36</v>
      </c>
      <c r="N20" s="30"/>
      <c r="O20" s="30"/>
      <c r="R20" s="15"/>
      <c r="S20" s="20"/>
      <c r="T20" s="16"/>
    </row>
    <row r="21" spans="9:20" x14ac:dyDescent="0.25">
      <c r="R21" s="13"/>
      <c r="S21" s="19"/>
      <c r="T21" s="14"/>
    </row>
    <row r="22" spans="9:20" x14ac:dyDescent="0.25">
      <c r="K22" s="11" t="s">
        <v>38</v>
      </c>
      <c r="L22" s="11">
        <f>MAX(K18:K20)</f>
        <v>22</v>
      </c>
      <c r="M22" s="11" t="s">
        <v>2</v>
      </c>
      <c r="R22" s="15"/>
      <c r="S22" s="20"/>
      <c r="T22" s="16"/>
    </row>
    <row r="23" spans="9:20" x14ac:dyDescent="0.25">
      <c r="R23" s="15"/>
      <c r="S23" s="20"/>
      <c r="T23" s="16"/>
    </row>
    <row r="24" spans="9:20" ht="15.75" thickBot="1" x14ac:dyDescent="0.3">
      <c r="R24" s="17"/>
      <c r="S24" s="21"/>
      <c r="T24" s="18"/>
    </row>
    <row r="25" spans="9:20" x14ac:dyDescent="0.25">
      <c r="R25" s="15"/>
      <c r="S25" s="20"/>
      <c r="T25" s="16"/>
    </row>
    <row r="26" spans="9:20" x14ac:dyDescent="0.25">
      <c r="R26" s="15"/>
      <c r="S26" s="20"/>
      <c r="T26" s="16"/>
    </row>
    <row r="27" spans="9:20" x14ac:dyDescent="0.25">
      <c r="R27" s="15"/>
      <c r="S27" s="20"/>
      <c r="T27" s="16"/>
    </row>
    <row r="28" spans="9:20" ht="15.75" thickBot="1" x14ac:dyDescent="0.3">
      <c r="R28" s="17"/>
      <c r="S28" s="21"/>
      <c r="T28" s="18"/>
    </row>
  </sheetData>
  <mergeCells count="36">
    <mergeCell ref="I19:J19"/>
    <mergeCell ref="I20:J20"/>
    <mergeCell ref="M19:O19"/>
    <mergeCell ref="M20:O20"/>
    <mergeCell ref="B9:C9"/>
    <mergeCell ref="B12:C12"/>
    <mergeCell ref="B15:C15"/>
    <mergeCell ref="B13:C13"/>
    <mergeCell ref="B14:C14"/>
    <mergeCell ref="I13:O13"/>
    <mergeCell ref="I14:J14"/>
    <mergeCell ref="K14:L14"/>
    <mergeCell ref="K15:L15"/>
    <mergeCell ref="M14:N14"/>
    <mergeCell ref="M15:N15"/>
    <mergeCell ref="I6:O6"/>
    <mergeCell ref="I17:O17"/>
    <mergeCell ref="I18:J18"/>
    <mergeCell ref="M18:O18"/>
    <mergeCell ref="B4:H4"/>
    <mergeCell ref="B7:C7"/>
    <mergeCell ref="B8:C8"/>
    <mergeCell ref="B11:C11"/>
    <mergeCell ref="B16:C16"/>
    <mergeCell ref="B10:C10"/>
    <mergeCell ref="H7:J7"/>
    <mergeCell ref="H8:J8"/>
    <mergeCell ref="H9:J9"/>
    <mergeCell ref="H10:J10"/>
    <mergeCell ref="H11:J11"/>
    <mergeCell ref="I15:J15"/>
    <mergeCell ref="M7:O7"/>
    <mergeCell ref="M8:O8"/>
    <mergeCell ref="M9:O9"/>
    <mergeCell ref="M10:O10"/>
    <mergeCell ref="M11:O11"/>
  </mergeCells>
  <dataValidations count="2">
    <dataValidation type="list" allowBlank="1" showInputMessage="1" showErrorMessage="1" sqref="D10" xr:uid="{00000000-0002-0000-0200-000000000000}">
      <formula1>$S$7:$S$9</formula1>
    </dataValidation>
    <dataValidation type="list" allowBlank="1" showInputMessage="1" showErrorMessage="1" sqref="D14:D15" xr:uid="{00000000-0002-0000-0200-000001000000}">
      <formula1>$R$7:$R$17</formula1>
    </dataValidation>
  </dataValidation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Video &amp; Instruction </vt:lpstr>
      <vt:lpstr>Longitudinal Steel Calculation</vt:lpstr>
      <vt:lpstr>Shear Steel Calculation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2024-11-01T07:47:10Z</dcterms:modified>
</cp:coreProperties>
</file>