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 activeTab="1"/>
  </bookViews>
  <sheets>
    <sheet name="Video &amp; Instruction " sheetId="2" r:id="rId1"/>
    <sheet name="Shear Wall Rebar Calculation" sheetId="1" r:id="rId2"/>
  </sheets>
  <externalReferences>
    <externalReference r:id="rId3"/>
  </externalReferences>
  <definedNames>
    <definedName name="Ah">'Shear Wall Rebar Calculation'!$L$11</definedName>
    <definedName name="Av">'Shear Wall Rebar Calculation'!$F$11</definedName>
    <definedName name="Dh">'Shear Wall Rebar Calculation'!$L$12</definedName>
    <definedName name="Dv">'Shear Wall Rebar Calculation'!$F$12</definedName>
    <definedName name="framesystem">[1]Sheet3!$B$39:$B$45</definedName>
    <definedName name="H">'Shear Wall Rebar Calculation'!$U$6</definedName>
    <definedName name="L">'Shear Wall Rebar Calculation'!$U$7</definedName>
    <definedName name="Sp">'Shear Wall Rebar Calculation'!$F$14</definedName>
    <definedName name="Sph">'Shear Wall Rebar Calculation'!$L$14</definedName>
    <definedName name="Sr">'Shear Wall Rebar Calculation'!$F$15</definedName>
    <definedName name="t">'Shear Wall Rebar Calculation'!$U$8</definedName>
    <definedName name="ρ">'Shear Wall Rebar Calculation'!$F$13</definedName>
  </definedNames>
  <calcPr calcId="162913"/>
</workbook>
</file>

<file path=xl/calcChain.xml><?xml version="1.0" encoding="utf-8"?>
<calcChain xmlns="http://schemas.openxmlformats.org/spreadsheetml/2006/main">
  <c r="L15" i="1" l="1"/>
  <c r="D30" i="1" l="1"/>
  <c r="P22" i="1" l="1"/>
  <c r="P20" i="1"/>
  <c r="O22" i="1"/>
  <c r="O20" i="1"/>
  <c r="S14" i="1"/>
  <c r="S13" i="1"/>
  <c r="S12" i="1"/>
  <c r="S11" i="1"/>
  <c r="N22" i="1" l="1"/>
  <c r="N20" i="1"/>
  <c r="K17" i="1" l="1"/>
  <c r="E17" i="1"/>
  <c r="M18" i="1"/>
  <c r="M17" i="1"/>
  <c r="M15" i="1"/>
  <c r="M14" i="1"/>
  <c r="M11" i="1"/>
  <c r="G18" i="1"/>
  <c r="G17" i="1"/>
  <c r="G15" i="1"/>
  <c r="G14" i="1"/>
  <c r="G11" i="1"/>
  <c r="U8" i="1" l="1"/>
  <c r="L16" i="1" s="1"/>
  <c r="U7" i="1"/>
  <c r="F15" i="1" s="1"/>
  <c r="U6" i="1"/>
  <c r="G8" i="1"/>
  <c r="G7" i="1"/>
  <c r="G6" i="1"/>
  <c r="M16" i="1" l="1"/>
  <c r="F16" i="1"/>
  <c r="D17" i="1"/>
  <c r="J17" i="1"/>
  <c r="F17" i="1"/>
  <c r="L17" i="1"/>
  <c r="F18" i="1" l="1"/>
  <c r="L18" i="1"/>
  <c r="G16" i="1"/>
</calcChain>
</file>

<file path=xl/sharedStrings.xml><?xml version="1.0" encoding="utf-8"?>
<sst xmlns="http://schemas.openxmlformats.org/spreadsheetml/2006/main" count="55" uniqueCount="42">
  <si>
    <t>Height of Wall, H=</t>
  </si>
  <si>
    <t>Length of wall, L=</t>
  </si>
  <si>
    <t>Thickness of Wall, t=</t>
  </si>
  <si>
    <t>Total Vertical (Main) Rebar Area, Av=</t>
  </si>
  <si>
    <t>Dia of Used Vertical (Main) Rebar, Dv=</t>
  </si>
  <si>
    <t>mm</t>
  </si>
  <si>
    <r>
      <t xml:space="preserve">Min. Required Rebar Ratio, </t>
    </r>
    <r>
      <rPr>
        <sz val="11"/>
        <color theme="1"/>
        <rFont val="Calibri"/>
        <family val="2"/>
      </rPr>
      <t>ρ=</t>
    </r>
  </si>
  <si>
    <t>Required Spacing, Sr=</t>
  </si>
  <si>
    <t>Provided Spacing, S=</t>
  </si>
  <si>
    <t>Provided Rebar Ratio, ρ =</t>
  </si>
  <si>
    <t>Maximum Spacing=</t>
  </si>
  <si>
    <t>Allowable Max. Spacing=</t>
  </si>
  <si>
    <t>m</t>
  </si>
  <si>
    <t>MKS</t>
  </si>
  <si>
    <t>FPS</t>
  </si>
  <si>
    <t>Select Unit=</t>
  </si>
  <si>
    <t>Horizontal Reinforcement Calculation</t>
  </si>
  <si>
    <t>Vertical Reinforcement Calculation</t>
  </si>
  <si>
    <t>This Excel Sheet is Created By Engr Hedaetullah &amp; NJ Disha</t>
  </si>
  <si>
    <t>Stay Connected and support Us.</t>
  </si>
  <si>
    <t xml:space="preserve"> </t>
  </si>
  <si>
    <t>Total Horixontal Rebar Area, Ah=</t>
  </si>
  <si>
    <t>Dia of Used Horixontal Rebar, Dh=</t>
  </si>
  <si>
    <t>qLearnify</t>
  </si>
  <si>
    <t>qLearnify is an educational platform dedicated to the professional development of engineers and architects.</t>
  </si>
  <si>
    <t>Website:</t>
  </si>
  <si>
    <t>https://qlearnify.com/</t>
  </si>
  <si>
    <t>Facebook:</t>
  </si>
  <si>
    <t>https://www.facebook.com/qlearnify</t>
  </si>
  <si>
    <t>Youtube (Bangla):</t>
  </si>
  <si>
    <t>https://www.youtube.com/@qlearnify-bn</t>
  </si>
  <si>
    <t>Youtube (English):</t>
  </si>
  <si>
    <t>https://www.youtube.com/@qlearnify-en</t>
  </si>
  <si>
    <t>WhatsApp:</t>
  </si>
  <si>
    <t>https://wa.me/8801511250108</t>
  </si>
  <si>
    <t>LinkedIn:</t>
  </si>
  <si>
    <t>https://www.linkedin.com/company/qlearnify/</t>
  </si>
  <si>
    <t>Note: This Excel sheet has been created for educational purposes; please validate it according to your own standards before using it for professional work.</t>
  </si>
  <si>
    <t>Bangla:</t>
  </si>
  <si>
    <t>https://youtube.com/playlist?list=PLxle8F-wJI7P43K0GljphED4I5TRXu6Zx&amp;si=el-Lrxm5mB1Vmgcf</t>
  </si>
  <si>
    <t>English:</t>
  </si>
  <si>
    <t>https://youtube.com/playlist?list=PLTscI_CLWNfB_1x6_7zylwLZWo7mKypCq&amp;si=QzFh_rJa61GU0YNW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</si>
</sst>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&quot;Փ&quot;\ 0\ "/>
    <numFmt numFmtId="165" formatCode="0.00000"/>
    <numFmt numFmtId="166" formatCode="&quot;@&quot;\ 0\ &quot;mm C/C&quot;"/>
    <numFmt numFmtId="167" formatCode="&quot;φ&quot;\ 0\ &quot;mm&quot;"/>
    <numFmt numFmtId="168" formatCode="0.0000"/>
    <numFmt numFmtId="169" formatCode="&quot;@&quot;\ 0\ &quot;in C/C&quot;"/>
    <numFmt numFmtId="170" formatCode="&quot;@&quot;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  <font>
      <sz val="18"/>
      <color rgb="FFC00000"/>
      <name val="Calibri"/>
      <family val="2"/>
      <scheme val="minor"/>
    </font>
    <font>
      <sz val="22"/>
      <color rgb="FFFF0000"/>
      <name val="Calibri"/>
      <family val="2"/>
      <scheme val="minor"/>
    </font>
    <font>
      <sz val="2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Protection="1">
      <protection hidden="1"/>
    </xf>
    <xf numFmtId="0" fontId="14" fillId="0" borderId="0" xfId="0" applyFont="1" applyProtection="1">
      <protection hidden="1"/>
    </xf>
    <xf numFmtId="0" fontId="7" fillId="0" borderId="13" xfId="0" applyFont="1" applyBorder="1" applyProtection="1">
      <protection hidden="1"/>
    </xf>
    <xf numFmtId="0" fontId="8" fillId="0" borderId="0" xfId="0" applyFont="1" applyProtection="1">
      <protection hidden="1"/>
    </xf>
    <xf numFmtId="0" fontId="7" fillId="0" borderId="0" xfId="0" applyFont="1" applyProtection="1">
      <protection hidden="1"/>
    </xf>
    <xf numFmtId="166" fontId="7" fillId="0" borderId="0" xfId="0" applyNumberFormat="1" applyFont="1" applyProtection="1">
      <protection hidden="1"/>
    </xf>
    <xf numFmtId="169" fontId="7" fillId="0" borderId="0" xfId="0" applyNumberFormat="1" applyFont="1" applyProtection="1">
      <protection hidden="1"/>
    </xf>
    <xf numFmtId="2" fontId="0" fillId="0" borderId="1" xfId="0" applyNumberFormat="1" applyBorder="1" applyProtection="1">
      <protection hidden="1"/>
    </xf>
    <xf numFmtId="165" fontId="0" fillId="0" borderId="1" xfId="0" applyNumberFormat="1" applyBorder="1" applyProtection="1">
      <protection hidden="1"/>
    </xf>
    <xf numFmtId="2" fontId="0" fillId="0" borderId="2" xfId="0" applyNumberFormat="1" applyBorder="1" applyProtection="1">
      <protection hidden="1"/>
    </xf>
    <xf numFmtId="167" fontId="6" fillId="5" borderId="11" xfId="0" applyNumberFormat="1" applyFont="1" applyFill="1" applyBorder="1" applyAlignment="1" applyProtection="1">
      <alignment horizontal="right"/>
      <protection hidden="1"/>
    </xf>
    <xf numFmtId="170" fontId="6" fillId="5" borderId="14" xfId="0" applyNumberFormat="1" applyFont="1" applyFill="1" applyBorder="1" applyProtection="1">
      <protection hidden="1"/>
    </xf>
    <xf numFmtId="0" fontId="6" fillId="5" borderId="12" xfId="0" applyFont="1" applyFill="1" applyBorder="1" applyProtection="1">
      <protection hidden="1"/>
    </xf>
    <xf numFmtId="0" fontId="1" fillId="0" borderId="0" xfId="0" applyFont="1" applyProtection="1">
      <protection hidden="1"/>
    </xf>
    <xf numFmtId="0" fontId="0" fillId="2" borderId="1" xfId="0" applyFill="1" applyBorder="1" applyAlignment="1" applyProtection="1">
      <alignment horizontal="center" vertical="center"/>
      <protection locked="0" hidden="1"/>
    </xf>
    <xf numFmtId="0" fontId="0" fillId="2" borderId="1" xfId="0" applyFill="1" applyBorder="1" applyProtection="1">
      <protection locked="0" hidden="1"/>
    </xf>
    <xf numFmtId="164" fontId="0" fillId="2" borderId="1" xfId="0" applyNumberFormat="1" applyFill="1" applyBorder="1" applyProtection="1">
      <protection locked="0" hidden="1"/>
    </xf>
    <xf numFmtId="168" fontId="0" fillId="2" borderId="1" xfId="0" applyNumberFormat="1" applyFill="1" applyBorder="1" applyProtection="1">
      <protection locked="0" hidden="1"/>
    </xf>
    <xf numFmtId="0" fontId="13" fillId="0" borderId="0" xfId="0" applyFont="1" applyAlignment="1" applyProtection="1">
      <alignment horizontal="center" vertical="center" wrapText="1"/>
      <protection hidden="1"/>
    </xf>
    <xf numFmtId="0" fontId="11" fillId="0" borderId="0" xfId="1" applyAlignment="1" applyProtection="1">
      <alignment horizontal="left"/>
      <protection hidden="1"/>
    </xf>
    <xf numFmtId="0" fontId="0" fillId="0" borderId="0" xfId="0" applyAlignment="1" applyProtection="1">
      <alignment horizontal="right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9" fillId="5" borderId="0" xfId="0" applyFont="1" applyFill="1" applyAlignment="1" applyProtection="1">
      <alignment horizontal="center"/>
      <protection hidden="1"/>
    </xf>
    <xf numFmtId="0" fontId="10" fillId="5" borderId="0" xfId="0" applyFont="1" applyFill="1" applyAlignment="1" applyProtection="1">
      <alignment horizontal="center"/>
      <protection hidden="1"/>
    </xf>
    <xf numFmtId="0" fontId="3" fillId="3" borderId="0" xfId="0" applyFont="1" applyFill="1" applyAlignment="1" applyProtection="1">
      <alignment horizontal="center"/>
      <protection hidden="1"/>
    </xf>
    <xf numFmtId="0" fontId="4" fillId="4" borderId="4" xfId="0" applyFont="1" applyFill="1" applyBorder="1" applyAlignment="1" applyProtection="1">
      <alignment horizontal="center"/>
      <protection hidden="1"/>
    </xf>
    <xf numFmtId="0" fontId="4" fillId="4" borderId="5" xfId="0" applyFont="1" applyFill="1" applyBorder="1" applyAlignment="1" applyProtection="1">
      <alignment horizontal="center"/>
      <protection hidden="1"/>
    </xf>
    <xf numFmtId="0" fontId="4" fillId="4" borderId="6" xfId="0" applyFont="1" applyFill="1" applyBorder="1" applyAlignment="1" applyProtection="1">
      <alignment horizontal="center"/>
      <protection hidden="1"/>
    </xf>
    <xf numFmtId="0" fontId="5" fillId="4" borderId="3" xfId="0" applyFont="1" applyFill="1" applyBorder="1" applyAlignment="1" applyProtection="1">
      <alignment horizontal="center"/>
      <protection hidden="1"/>
    </xf>
    <xf numFmtId="0" fontId="5" fillId="4" borderId="0" xfId="0" applyFont="1" applyFill="1" applyAlignment="1" applyProtection="1">
      <alignment horizontal="center"/>
      <protection hidden="1"/>
    </xf>
    <xf numFmtId="0" fontId="5" fillId="4" borderId="7" xfId="0" applyFont="1" applyFill="1" applyBorder="1" applyAlignment="1" applyProtection="1">
      <alignment horizontal="center"/>
      <protection hidden="1"/>
    </xf>
    <xf numFmtId="0" fontId="2" fillId="4" borderId="8" xfId="0" applyFont="1" applyFill="1" applyBorder="1" applyAlignment="1" applyProtection="1">
      <alignment horizontal="center"/>
      <protection hidden="1"/>
    </xf>
    <xf numFmtId="0" fontId="2" fillId="4" borderId="9" xfId="0" applyFont="1" applyFill="1" applyBorder="1" applyAlignment="1" applyProtection="1">
      <alignment horizontal="center"/>
      <protection hidden="1"/>
    </xf>
    <xf numFmtId="0" fontId="2" fillId="4" borderId="10" xfId="0" applyFont="1" applyFill="1" applyBorder="1" applyAlignment="1" applyProtection="1">
      <alignment horizontal="center"/>
      <protection hidden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0</xdr:row>
      <xdr:rowOff>19050</xdr:rowOff>
    </xdr:from>
    <xdr:to>
      <xdr:col>7</xdr:col>
      <xdr:colOff>400051</xdr:colOff>
      <xdr:row>12</xdr:row>
      <xdr:rowOff>157824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0D3400-17EA-4748-B82C-7B0B78748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1" y="19050"/>
          <a:ext cx="2647950" cy="2424774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29</xdr:row>
      <xdr:rowOff>85725</xdr:rowOff>
    </xdr:from>
    <xdr:to>
      <xdr:col>6</xdr:col>
      <xdr:colOff>495300</xdr:colOff>
      <xdr:row>31</xdr:row>
      <xdr:rowOff>171450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70FC3876-85E8-4C17-AC58-2D7EB059DA27}"/>
            </a:ext>
          </a:extLst>
        </xdr:cNvPr>
        <xdr:cNvSpPr/>
      </xdr:nvSpPr>
      <xdr:spPr>
        <a:xfrm>
          <a:off x="2028825" y="5610225"/>
          <a:ext cx="2124075" cy="466725"/>
        </a:xfrm>
        <a:prstGeom prst="flowChartAlternateProcess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kern="1200"/>
            <a:t>Video</a:t>
          </a:r>
          <a:r>
            <a:rPr lang="en-US" sz="2400" b="1" kern="1200" baseline="0"/>
            <a:t> Tutorial</a:t>
          </a:r>
          <a:endParaRPr lang="en-US" sz="2400" b="1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21</xdr:row>
      <xdr:rowOff>38100</xdr:rowOff>
    </xdr:from>
    <xdr:to>
      <xdr:col>12</xdr:col>
      <xdr:colOff>142875</xdr:colOff>
      <xdr:row>28</xdr:row>
      <xdr:rowOff>19050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866775" y="3657600"/>
          <a:ext cx="6705600" cy="1314450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428625</xdr:colOff>
      <xdr:row>22</xdr:row>
      <xdr:rowOff>19050</xdr:rowOff>
    </xdr:from>
    <xdr:to>
      <xdr:col>11</xdr:col>
      <xdr:colOff>552450</xdr:colOff>
      <xdr:row>27</xdr:row>
      <xdr:rowOff>9525</xdr:rowOff>
    </xdr:to>
    <xdr:sp macro="" textlink="">
      <xdr:nvSpPr>
        <xdr:cNvPr id="26" name="Rounded Rect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038225" y="3829050"/>
          <a:ext cx="6334125" cy="9429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485775</xdr:colOff>
      <xdr:row>22</xdr:row>
      <xdr:rowOff>28575</xdr:rowOff>
    </xdr:from>
    <xdr:to>
      <xdr:col>2</xdr:col>
      <xdr:colOff>57150</xdr:colOff>
      <xdr:row>23</xdr:row>
      <xdr:rowOff>28575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1095375" y="3838575"/>
          <a:ext cx="180975" cy="190500"/>
        </a:xfrm>
        <a:prstGeom prst="ellipse">
          <a:avLst/>
        </a:prstGeom>
        <a:solidFill>
          <a:srgbClr val="FF0000"/>
        </a:solidFill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495300</xdr:colOff>
      <xdr:row>25</xdr:row>
      <xdr:rowOff>171450</xdr:rowOff>
    </xdr:from>
    <xdr:to>
      <xdr:col>2</xdr:col>
      <xdr:colOff>66675</xdr:colOff>
      <xdr:row>26</xdr:row>
      <xdr:rowOff>171450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1104900" y="4552950"/>
          <a:ext cx="180975" cy="190500"/>
        </a:xfrm>
        <a:prstGeom prst="ellipse">
          <a:avLst/>
        </a:prstGeom>
        <a:solidFill>
          <a:srgbClr val="FF0000"/>
        </a:solidFill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533400</xdr:colOff>
      <xdr:row>22</xdr:row>
      <xdr:rowOff>38100</xdr:rowOff>
    </xdr:from>
    <xdr:to>
      <xdr:col>2</xdr:col>
      <xdr:colOff>714375</xdr:colOff>
      <xdr:row>23</xdr:row>
      <xdr:rowOff>38100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752600" y="3848100"/>
          <a:ext cx="180975" cy="190500"/>
        </a:xfrm>
        <a:prstGeom prst="ellipse">
          <a:avLst/>
        </a:prstGeom>
        <a:solidFill>
          <a:srgbClr val="FF0000"/>
        </a:solidFill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542925</xdr:colOff>
      <xdr:row>25</xdr:row>
      <xdr:rowOff>180975</xdr:rowOff>
    </xdr:from>
    <xdr:to>
      <xdr:col>3</xdr:col>
      <xdr:colOff>0</xdr:colOff>
      <xdr:row>26</xdr:row>
      <xdr:rowOff>180975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762125" y="4562475"/>
          <a:ext cx="180975" cy="190500"/>
        </a:xfrm>
        <a:prstGeom prst="ellipse">
          <a:avLst/>
        </a:prstGeom>
        <a:solidFill>
          <a:srgbClr val="FF0000"/>
        </a:solidFill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476250</xdr:colOff>
      <xdr:row>22</xdr:row>
      <xdr:rowOff>38100</xdr:rowOff>
    </xdr:from>
    <xdr:to>
      <xdr:col>4</xdr:col>
      <xdr:colOff>47625</xdr:colOff>
      <xdr:row>23</xdr:row>
      <xdr:rowOff>38100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2419350" y="3848100"/>
          <a:ext cx="180975" cy="190500"/>
        </a:xfrm>
        <a:prstGeom prst="ellipse">
          <a:avLst/>
        </a:prstGeom>
        <a:solidFill>
          <a:srgbClr val="FF0000"/>
        </a:solidFill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485775</xdr:colOff>
      <xdr:row>25</xdr:row>
      <xdr:rowOff>180975</xdr:rowOff>
    </xdr:from>
    <xdr:to>
      <xdr:col>4</xdr:col>
      <xdr:colOff>57150</xdr:colOff>
      <xdr:row>26</xdr:row>
      <xdr:rowOff>180975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428875" y="4562475"/>
          <a:ext cx="180975" cy="190500"/>
        </a:xfrm>
        <a:prstGeom prst="ellipse">
          <a:avLst/>
        </a:prstGeom>
        <a:solidFill>
          <a:srgbClr val="FF0000"/>
        </a:solidFill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514350</xdr:colOff>
      <xdr:row>22</xdr:row>
      <xdr:rowOff>28575</xdr:rowOff>
    </xdr:from>
    <xdr:to>
      <xdr:col>5</xdr:col>
      <xdr:colOff>85725</xdr:colOff>
      <xdr:row>23</xdr:row>
      <xdr:rowOff>28575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3067050" y="3838575"/>
          <a:ext cx="180975" cy="190500"/>
        </a:xfrm>
        <a:prstGeom prst="ellipse">
          <a:avLst/>
        </a:prstGeom>
        <a:solidFill>
          <a:srgbClr val="FF0000"/>
        </a:solidFill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523875</xdr:colOff>
      <xdr:row>25</xdr:row>
      <xdr:rowOff>171450</xdr:rowOff>
    </xdr:from>
    <xdr:to>
      <xdr:col>5</xdr:col>
      <xdr:colOff>95250</xdr:colOff>
      <xdr:row>26</xdr:row>
      <xdr:rowOff>171450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3076575" y="4552950"/>
          <a:ext cx="180975" cy="190500"/>
        </a:xfrm>
        <a:prstGeom prst="ellipse">
          <a:avLst/>
        </a:prstGeom>
        <a:solidFill>
          <a:srgbClr val="FF0000"/>
        </a:solidFill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639908</xdr:colOff>
      <xdr:row>22</xdr:row>
      <xdr:rowOff>28575</xdr:rowOff>
    </xdr:from>
    <xdr:to>
      <xdr:col>5</xdr:col>
      <xdr:colOff>813956</xdr:colOff>
      <xdr:row>23</xdr:row>
      <xdr:rowOff>25978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3791817" y="4912302"/>
          <a:ext cx="174048" cy="187903"/>
        </a:xfrm>
        <a:prstGeom prst="ellipse">
          <a:avLst/>
        </a:prstGeom>
        <a:solidFill>
          <a:srgbClr val="FF0000"/>
        </a:solidFill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649433</xdr:colOff>
      <xdr:row>25</xdr:row>
      <xdr:rowOff>181841</xdr:rowOff>
    </xdr:from>
    <xdr:to>
      <xdr:col>6</xdr:col>
      <xdr:colOff>8659</xdr:colOff>
      <xdr:row>26</xdr:row>
      <xdr:rowOff>162791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3801342" y="5637068"/>
          <a:ext cx="181840" cy="171450"/>
        </a:xfrm>
        <a:prstGeom prst="ellipse">
          <a:avLst/>
        </a:prstGeom>
        <a:solidFill>
          <a:srgbClr val="FF0000"/>
        </a:solidFill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581025</xdr:colOff>
      <xdr:row>22</xdr:row>
      <xdr:rowOff>38100</xdr:rowOff>
    </xdr:from>
    <xdr:to>
      <xdr:col>7</xdr:col>
      <xdr:colOff>152400</xdr:colOff>
      <xdr:row>23</xdr:row>
      <xdr:rowOff>38100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4352925" y="3848100"/>
          <a:ext cx="180975" cy="190500"/>
        </a:xfrm>
        <a:prstGeom prst="ellipse">
          <a:avLst/>
        </a:prstGeom>
        <a:solidFill>
          <a:srgbClr val="FF0000"/>
        </a:solidFill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590550</xdr:colOff>
      <xdr:row>25</xdr:row>
      <xdr:rowOff>180975</xdr:rowOff>
    </xdr:from>
    <xdr:to>
      <xdr:col>7</xdr:col>
      <xdr:colOff>161925</xdr:colOff>
      <xdr:row>26</xdr:row>
      <xdr:rowOff>180975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4362450" y="4562475"/>
          <a:ext cx="180975" cy="190500"/>
        </a:xfrm>
        <a:prstGeom prst="ellipse">
          <a:avLst/>
        </a:prstGeom>
        <a:solidFill>
          <a:srgbClr val="FF0000"/>
        </a:solidFill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95250</xdr:colOff>
      <xdr:row>22</xdr:row>
      <xdr:rowOff>28575</xdr:rowOff>
    </xdr:from>
    <xdr:to>
      <xdr:col>8</xdr:col>
      <xdr:colOff>276225</xdr:colOff>
      <xdr:row>23</xdr:row>
      <xdr:rowOff>28575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5086350" y="3838575"/>
          <a:ext cx="180975" cy="190500"/>
        </a:xfrm>
        <a:prstGeom prst="ellipse">
          <a:avLst/>
        </a:prstGeom>
        <a:solidFill>
          <a:srgbClr val="FF0000"/>
        </a:solidFill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104775</xdr:colOff>
      <xdr:row>25</xdr:row>
      <xdr:rowOff>171450</xdr:rowOff>
    </xdr:from>
    <xdr:to>
      <xdr:col>8</xdr:col>
      <xdr:colOff>285750</xdr:colOff>
      <xdr:row>26</xdr:row>
      <xdr:rowOff>171450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5095875" y="4552950"/>
          <a:ext cx="180975" cy="190500"/>
        </a:xfrm>
        <a:prstGeom prst="ellipse">
          <a:avLst/>
        </a:prstGeom>
        <a:solidFill>
          <a:srgbClr val="FF0000"/>
        </a:solidFill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200025</xdr:colOff>
      <xdr:row>22</xdr:row>
      <xdr:rowOff>19050</xdr:rowOff>
    </xdr:from>
    <xdr:to>
      <xdr:col>9</xdr:col>
      <xdr:colOff>381000</xdr:colOff>
      <xdr:row>23</xdr:row>
      <xdr:rowOff>19050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800725" y="3829050"/>
          <a:ext cx="180975" cy="190500"/>
        </a:xfrm>
        <a:prstGeom prst="ellipse">
          <a:avLst/>
        </a:prstGeom>
        <a:solidFill>
          <a:srgbClr val="FF0000"/>
        </a:solidFill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209550</xdr:colOff>
      <xdr:row>25</xdr:row>
      <xdr:rowOff>161925</xdr:rowOff>
    </xdr:from>
    <xdr:to>
      <xdr:col>9</xdr:col>
      <xdr:colOff>390525</xdr:colOff>
      <xdr:row>26</xdr:row>
      <xdr:rowOff>161925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5810250" y="4543425"/>
          <a:ext cx="180975" cy="190500"/>
        </a:xfrm>
        <a:prstGeom prst="ellipse">
          <a:avLst/>
        </a:prstGeom>
        <a:solidFill>
          <a:srgbClr val="FF0000"/>
        </a:solidFill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247650</xdr:colOff>
      <xdr:row>22</xdr:row>
      <xdr:rowOff>19050</xdr:rowOff>
    </xdr:from>
    <xdr:to>
      <xdr:col>10</xdr:col>
      <xdr:colOff>428625</xdr:colOff>
      <xdr:row>23</xdr:row>
      <xdr:rowOff>19050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6457950" y="3829050"/>
          <a:ext cx="180975" cy="190500"/>
        </a:xfrm>
        <a:prstGeom prst="ellipse">
          <a:avLst/>
        </a:prstGeom>
        <a:solidFill>
          <a:srgbClr val="FF0000"/>
        </a:solidFill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257175</xdr:colOff>
      <xdr:row>25</xdr:row>
      <xdr:rowOff>161925</xdr:rowOff>
    </xdr:from>
    <xdr:to>
      <xdr:col>10</xdr:col>
      <xdr:colOff>438150</xdr:colOff>
      <xdr:row>26</xdr:row>
      <xdr:rowOff>161925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6467475" y="4543425"/>
          <a:ext cx="180975" cy="190500"/>
        </a:xfrm>
        <a:prstGeom prst="ellipse">
          <a:avLst/>
        </a:prstGeom>
        <a:solidFill>
          <a:srgbClr val="FF0000"/>
        </a:solidFill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266700</xdr:colOff>
      <xdr:row>22</xdr:row>
      <xdr:rowOff>28575</xdr:rowOff>
    </xdr:from>
    <xdr:to>
      <xdr:col>11</xdr:col>
      <xdr:colOff>447675</xdr:colOff>
      <xdr:row>23</xdr:row>
      <xdr:rowOff>28575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7086600" y="3838575"/>
          <a:ext cx="180975" cy="190500"/>
        </a:xfrm>
        <a:prstGeom prst="ellipse">
          <a:avLst/>
        </a:prstGeom>
        <a:solidFill>
          <a:srgbClr val="FF0000"/>
        </a:solidFill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276225</xdr:colOff>
      <xdr:row>25</xdr:row>
      <xdr:rowOff>171450</xdr:rowOff>
    </xdr:from>
    <xdr:to>
      <xdr:col>11</xdr:col>
      <xdr:colOff>457200</xdr:colOff>
      <xdr:row>26</xdr:row>
      <xdr:rowOff>171450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7096125" y="4552950"/>
          <a:ext cx="180975" cy="190500"/>
        </a:xfrm>
        <a:prstGeom prst="ellipse">
          <a:avLst/>
        </a:prstGeom>
        <a:solidFill>
          <a:srgbClr val="FF0000"/>
        </a:solidFill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57150</xdr:colOff>
      <xdr:row>31</xdr:row>
      <xdr:rowOff>185737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3829050" y="57102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11</xdr:col>
      <xdr:colOff>209550</xdr:colOff>
      <xdr:row>21</xdr:row>
      <xdr:rowOff>142875</xdr:rowOff>
    </xdr:from>
    <xdr:to>
      <xdr:col>11</xdr:col>
      <xdr:colOff>523875</xdr:colOff>
      <xdr:row>23</xdr:row>
      <xdr:rowOff>114300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029450" y="4819650"/>
          <a:ext cx="314325" cy="35242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200025</xdr:colOff>
      <xdr:row>25</xdr:row>
      <xdr:rowOff>95250</xdr:rowOff>
    </xdr:from>
    <xdr:to>
      <xdr:col>10</xdr:col>
      <xdr:colOff>514350</xdr:colOff>
      <xdr:row>27</xdr:row>
      <xdr:rowOff>66675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6410325" y="5534025"/>
          <a:ext cx="314325" cy="35242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171450</xdr:colOff>
      <xdr:row>19</xdr:row>
      <xdr:rowOff>85725</xdr:rowOff>
    </xdr:from>
    <xdr:to>
      <xdr:col>12</xdr:col>
      <xdr:colOff>600075</xdr:colOff>
      <xdr:row>19</xdr:row>
      <xdr:rowOff>95250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6991350" y="4371975"/>
          <a:ext cx="1066800" cy="952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180975</xdr:colOff>
      <xdr:row>19</xdr:row>
      <xdr:rowOff>95250</xdr:rowOff>
    </xdr:from>
    <xdr:to>
      <xdr:col>11</xdr:col>
      <xdr:colOff>366713</xdr:colOff>
      <xdr:row>21</xdr:row>
      <xdr:rowOff>142875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>
          <a:endCxn id="2" idx="0"/>
        </xdr:cNvCxnSpPr>
      </xdr:nvCxnSpPr>
      <xdr:spPr>
        <a:xfrm>
          <a:off x="7000875" y="4381500"/>
          <a:ext cx="185738" cy="43815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357188</xdr:colOff>
      <xdr:row>19</xdr:row>
      <xdr:rowOff>95250</xdr:rowOff>
    </xdr:from>
    <xdr:to>
      <xdr:col>11</xdr:col>
      <xdr:colOff>190500</xdr:colOff>
      <xdr:row>25</xdr:row>
      <xdr:rowOff>95250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endCxn id="48" idx="0"/>
        </xdr:cNvCxnSpPr>
      </xdr:nvCxnSpPr>
      <xdr:spPr>
        <a:xfrm flipH="1">
          <a:off x="6555765" y="4374173"/>
          <a:ext cx="441447" cy="1150327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555015</xdr:colOff>
      <xdr:row>21</xdr:row>
      <xdr:rowOff>95250</xdr:rowOff>
    </xdr:from>
    <xdr:to>
      <xdr:col>13</xdr:col>
      <xdr:colOff>0</xdr:colOff>
      <xdr:row>24</xdr:row>
      <xdr:rowOff>148536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 flipH="1">
          <a:off x="7343742" y="4779818"/>
          <a:ext cx="691894" cy="63344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51955</xdr:colOff>
      <xdr:row>0</xdr:row>
      <xdr:rowOff>17319</xdr:rowOff>
    </xdr:from>
    <xdr:to>
      <xdr:col>27</xdr:col>
      <xdr:colOff>442479</xdr:colOff>
      <xdr:row>17</xdr:row>
      <xdr:rowOff>154132</xdr:rowOff>
    </xdr:to>
    <xdr:pic>
      <xdr:nvPicPr>
        <xdr:cNvPr id="52" name="Picture 51" descr="https://www.structuremag.org/wp-content/uploads/2016/06/0716-cu-6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2455" y="17319"/>
          <a:ext cx="7661274" cy="403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43296</xdr:colOff>
      <xdr:row>17</xdr:row>
      <xdr:rowOff>138545</xdr:rowOff>
    </xdr:from>
    <xdr:to>
      <xdr:col>27</xdr:col>
      <xdr:colOff>433820</xdr:colOff>
      <xdr:row>42</xdr:row>
      <xdr:rowOff>161059</xdr:rowOff>
    </xdr:to>
    <xdr:pic>
      <xdr:nvPicPr>
        <xdr:cNvPr id="53" name="Picture 52" descr="https://www.structuremag.org/wp-content/uploads/2016/06/0716-cu-5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7114" y="4035136"/>
          <a:ext cx="7586229" cy="481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514216</xdr:colOff>
      <xdr:row>21</xdr:row>
      <xdr:rowOff>193165</xdr:rowOff>
    </xdr:from>
    <xdr:to>
      <xdr:col>4</xdr:col>
      <xdr:colOff>522875</xdr:colOff>
      <xdr:row>26</xdr:row>
      <xdr:rowOff>177179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3063985" y="4867742"/>
          <a:ext cx="8659" cy="943841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494900</xdr:colOff>
      <xdr:row>22</xdr:row>
      <xdr:rowOff>8659</xdr:rowOff>
    </xdr:from>
    <xdr:to>
      <xdr:col>5</xdr:col>
      <xdr:colOff>205154</xdr:colOff>
      <xdr:row>22</xdr:row>
      <xdr:rowOff>8660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 flipV="1">
          <a:off x="3044669" y="4881063"/>
          <a:ext cx="318389" cy="1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512886</xdr:colOff>
      <xdr:row>26</xdr:row>
      <xdr:rowOff>153866</xdr:rowOff>
    </xdr:from>
    <xdr:to>
      <xdr:col>5</xdr:col>
      <xdr:colOff>5495</xdr:colOff>
      <xdr:row>26</xdr:row>
      <xdr:rowOff>171450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>
          <a:stCxn id="34" idx="4"/>
        </xdr:cNvCxnSpPr>
      </xdr:nvCxnSpPr>
      <xdr:spPr>
        <a:xfrm flipH="1" flipV="1">
          <a:off x="3062655" y="5788270"/>
          <a:ext cx="100744" cy="17584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26</xdr:row>
      <xdr:rowOff>80596</xdr:rowOff>
    </xdr:from>
    <xdr:to>
      <xdr:col>5</xdr:col>
      <xdr:colOff>219808</xdr:colOff>
      <xdr:row>26</xdr:row>
      <xdr:rowOff>168519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 flipH="1">
          <a:off x="3157904" y="5715000"/>
          <a:ext cx="219808" cy="87923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725232</xdr:colOff>
      <xdr:row>22</xdr:row>
      <xdr:rowOff>15854</xdr:rowOff>
    </xdr:from>
    <xdr:to>
      <xdr:col>3</xdr:col>
      <xdr:colOff>8525</xdr:colOff>
      <xdr:row>27</xdr:row>
      <xdr:rowOff>7195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/>
      </xdr:nvCxnSpPr>
      <xdr:spPr>
        <a:xfrm>
          <a:off x="1941501" y="4888258"/>
          <a:ext cx="8659" cy="943841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383531</xdr:colOff>
      <xdr:row>22</xdr:row>
      <xdr:rowOff>29175</xdr:rowOff>
    </xdr:from>
    <xdr:to>
      <xdr:col>2</xdr:col>
      <xdr:colOff>701920</xdr:colOff>
      <xdr:row>22</xdr:row>
      <xdr:rowOff>29176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flipH="1" flipV="1">
          <a:off x="1599800" y="4901579"/>
          <a:ext cx="318389" cy="1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621323</xdr:colOff>
      <xdr:row>27</xdr:row>
      <xdr:rowOff>3865</xdr:rowOff>
    </xdr:from>
    <xdr:to>
      <xdr:col>3</xdr:col>
      <xdr:colOff>14522</xdr:colOff>
      <xdr:row>27</xdr:row>
      <xdr:rowOff>35170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/>
      </xdr:nvCxnSpPr>
      <xdr:spPr>
        <a:xfrm flipH="1">
          <a:off x="1837592" y="5828769"/>
          <a:ext cx="118565" cy="31305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445477</xdr:colOff>
      <xdr:row>26</xdr:row>
      <xdr:rowOff>123093</xdr:rowOff>
    </xdr:from>
    <xdr:to>
      <xdr:col>2</xdr:col>
      <xdr:colOff>624655</xdr:colOff>
      <xdr:row>27</xdr:row>
      <xdr:rowOff>42499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 flipH="1" flipV="1">
          <a:off x="1661746" y="5757497"/>
          <a:ext cx="179178" cy="109906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183040</xdr:colOff>
      <xdr:row>22</xdr:row>
      <xdr:rowOff>8527</xdr:rowOff>
    </xdr:from>
    <xdr:to>
      <xdr:col>7</xdr:col>
      <xdr:colOff>191699</xdr:colOff>
      <xdr:row>26</xdr:row>
      <xdr:rowOff>190368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>
          <a:off x="4769694" y="4880931"/>
          <a:ext cx="8659" cy="943841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449474</xdr:colOff>
      <xdr:row>22</xdr:row>
      <xdr:rowOff>21848</xdr:rowOff>
    </xdr:from>
    <xdr:to>
      <xdr:col>7</xdr:col>
      <xdr:colOff>159728</xdr:colOff>
      <xdr:row>22</xdr:row>
      <xdr:rowOff>21849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/>
      </xdr:nvCxnSpPr>
      <xdr:spPr>
        <a:xfrm flipH="1" flipV="1">
          <a:off x="4427993" y="4894252"/>
          <a:ext cx="318389" cy="1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79131</xdr:colOff>
      <xdr:row>26</xdr:row>
      <xdr:rowOff>187038</xdr:rowOff>
    </xdr:from>
    <xdr:to>
      <xdr:col>7</xdr:col>
      <xdr:colOff>197696</xdr:colOff>
      <xdr:row>27</xdr:row>
      <xdr:rowOff>27843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/>
      </xdr:nvCxnSpPr>
      <xdr:spPr>
        <a:xfrm flipH="1">
          <a:off x="4665785" y="5821442"/>
          <a:ext cx="118565" cy="31305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511420</xdr:colOff>
      <xdr:row>26</xdr:row>
      <xdr:rowOff>115766</xdr:rowOff>
    </xdr:from>
    <xdr:to>
      <xdr:col>7</xdr:col>
      <xdr:colOff>82463</xdr:colOff>
      <xdr:row>27</xdr:row>
      <xdr:rowOff>35172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/>
      </xdr:nvCxnSpPr>
      <xdr:spPr>
        <a:xfrm flipH="1" flipV="1">
          <a:off x="4489939" y="5750170"/>
          <a:ext cx="179178" cy="109906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718039</xdr:colOff>
      <xdr:row>28</xdr:row>
      <xdr:rowOff>65942</xdr:rowOff>
    </xdr:from>
    <xdr:to>
      <xdr:col>3</xdr:col>
      <xdr:colOff>0</xdr:colOff>
      <xdr:row>31</xdr:row>
      <xdr:rowOff>7327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934308" y="6081346"/>
          <a:ext cx="7327" cy="512885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592017</xdr:colOff>
      <xdr:row>28</xdr:row>
      <xdr:rowOff>64477</xdr:rowOff>
    </xdr:from>
    <xdr:to>
      <xdr:col>4</xdr:col>
      <xdr:colOff>599344</xdr:colOff>
      <xdr:row>31</xdr:row>
      <xdr:rowOff>5862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/>
      </xdr:nvCxnSpPr>
      <xdr:spPr>
        <a:xfrm>
          <a:off x="3141786" y="6079881"/>
          <a:ext cx="7327" cy="512885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14653</xdr:colOff>
      <xdr:row>30</xdr:row>
      <xdr:rowOff>95250</xdr:rowOff>
    </xdr:from>
    <xdr:to>
      <xdr:col>4</xdr:col>
      <xdr:colOff>578827</xdr:colOff>
      <xdr:row>30</xdr:row>
      <xdr:rowOff>95250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1956288" y="6491654"/>
          <a:ext cx="1172308" cy="0"/>
        </a:xfrm>
        <a:prstGeom prst="straightConnector1">
          <a:avLst/>
        </a:prstGeom>
        <a:ln w="19050">
          <a:solidFill>
            <a:schemeClr val="accent2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Learnify/All%20Excel%20file/A.%20Wind%20and%20Earthquake%20load/A1%20Earth%20Quake%20Analysis%20Excel%20As%20per%20BNBC-2020,%20ASCE%207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deo &amp; Instruction "/>
      <sheetName val="EQ Analysis"/>
      <sheetName val="Sheet2"/>
      <sheetName val="Sheet3"/>
    </sheetNames>
    <sheetDataSet>
      <sheetData sheetId="0"/>
      <sheetData sheetId="1"/>
      <sheetData sheetId="2"/>
      <sheetData sheetId="3">
        <row r="39">
          <cell r="B39" t="str">
            <v>BEARING_WALL_SYSTEMS_no_frame</v>
          </cell>
        </row>
        <row r="40">
          <cell r="B40" t="str">
            <v>BUILDING_FRAME_SYSTEMS_with_bracing_or_shear_wall</v>
          </cell>
        </row>
        <row r="41">
          <cell r="B41" t="str">
            <v>MOMENT_RESISTING_FRAME_SYSTEMS_no_shear_wall</v>
          </cell>
        </row>
        <row r="42">
          <cell r="B42" t="str">
            <v>DUAL_SYSTEMS_SPECIAL_MOMENT_FRAMES</v>
          </cell>
        </row>
        <row r="43">
          <cell r="B43" t="str">
            <v>DUAL_SYSTEMS_INTERMEDIATE_MOMENT_FRAMES</v>
          </cell>
        </row>
        <row r="44">
          <cell r="B44" t="str">
            <v>DUAL_SHEAR_WALL_FRAME_SYSTEM</v>
          </cell>
        </row>
        <row r="45">
          <cell r="B45" t="str">
            <v xml:space="preserve">STEEL_SYSTEMS_NOT_SPECIFICALLY_DETAILED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@qlearnify-bn" TargetMode="External"/><Relationship Id="rId7" Type="http://schemas.openxmlformats.org/officeDocument/2006/relationships/hyperlink" Target="https://youtube.com/playlist?list=PLxle8F-wJI7P43K0GljphED4I5TRXu6Zx&amp;si=el-Lrxm5mB1Vmgcf" TargetMode="External"/><Relationship Id="rId2" Type="http://schemas.openxmlformats.org/officeDocument/2006/relationships/hyperlink" Target="https://www.facebook.com/qlearnify" TargetMode="External"/><Relationship Id="rId1" Type="http://schemas.openxmlformats.org/officeDocument/2006/relationships/hyperlink" Target="https://qlearnify.com/" TargetMode="External"/><Relationship Id="rId6" Type="http://schemas.openxmlformats.org/officeDocument/2006/relationships/hyperlink" Target="https://youtube.com/playlist?list=PLTscI_CLWNfB_1x6_7zylwLZWo7mKypCq&amp;si=QzFh_rJa61GU0YNW" TargetMode="External"/><Relationship Id="rId5" Type="http://schemas.openxmlformats.org/officeDocument/2006/relationships/hyperlink" Target="https://www.linkedin.com/company/qlearnify/" TargetMode="External"/><Relationship Id="rId4" Type="http://schemas.openxmlformats.org/officeDocument/2006/relationships/hyperlink" Target="https://wa.me/8801511250108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M36"/>
  <sheetViews>
    <sheetView showGridLines="0" workbookViewId="0">
      <selection activeCell="M8" sqref="M8"/>
    </sheetView>
  </sheetViews>
  <sheetFormatPr defaultRowHeight="15" x14ac:dyDescent="0.25"/>
  <cols>
    <col min="1" max="1" width="9.140625" style="1" customWidth="1"/>
    <col min="2" max="16384" width="9.140625" style="1"/>
  </cols>
  <sheetData>
    <row r="14" spans="2:10" ht="15" customHeight="1" x14ac:dyDescent="0.25">
      <c r="B14" s="22" t="s">
        <v>24</v>
      </c>
      <c r="C14" s="22"/>
      <c r="D14" s="22"/>
      <c r="E14" s="22"/>
      <c r="F14" s="22"/>
      <c r="G14" s="22"/>
      <c r="H14" s="22"/>
      <c r="I14" s="22"/>
      <c r="J14" s="22"/>
    </row>
    <row r="15" spans="2:10" ht="15" customHeight="1" x14ac:dyDescent="0.25">
      <c r="B15" s="22"/>
      <c r="C15" s="22"/>
      <c r="D15" s="22"/>
      <c r="E15" s="22"/>
      <c r="F15" s="22"/>
      <c r="G15" s="22"/>
      <c r="H15" s="22"/>
      <c r="I15" s="22"/>
      <c r="J15" s="22"/>
    </row>
    <row r="16" spans="2:10" x14ac:dyDescent="0.25">
      <c r="B16" s="22"/>
      <c r="C16" s="22"/>
      <c r="D16" s="22"/>
      <c r="E16" s="22"/>
      <c r="F16" s="22"/>
      <c r="G16" s="22"/>
      <c r="H16" s="22"/>
      <c r="I16" s="22"/>
      <c r="J16" s="22"/>
    </row>
    <row r="17" spans="2:10" x14ac:dyDescent="0.25">
      <c r="C17" s="21" t="s">
        <v>25</v>
      </c>
      <c r="D17" s="21"/>
      <c r="E17" s="20" t="s">
        <v>26</v>
      </c>
      <c r="F17" s="20"/>
      <c r="G17" s="20"/>
      <c r="H17" s="20"/>
      <c r="I17" s="20"/>
      <c r="J17" s="20"/>
    </row>
    <row r="18" spans="2:10" x14ac:dyDescent="0.25">
      <c r="C18" s="21" t="s">
        <v>27</v>
      </c>
      <c r="D18" s="21"/>
      <c r="E18" s="20" t="s">
        <v>28</v>
      </c>
      <c r="F18" s="20"/>
      <c r="G18" s="20"/>
      <c r="H18" s="20"/>
      <c r="I18" s="20"/>
      <c r="J18" s="20"/>
    </row>
    <row r="19" spans="2:10" x14ac:dyDescent="0.25">
      <c r="C19" s="21" t="s">
        <v>29</v>
      </c>
      <c r="D19" s="21"/>
      <c r="E19" s="20" t="s">
        <v>30</v>
      </c>
      <c r="F19" s="20"/>
      <c r="G19" s="20"/>
      <c r="H19" s="20"/>
      <c r="I19" s="20"/>
      <c r="J19" s="20"/>
    </row>
    <row r="20" spans="2:10" x14ac:dyDescent="0.25">
      <c r="C20" s="21" t="s">
        <v>31</v>
      </c>
      <c r="D20" s="21"/>
      <c r="E20" s="20" t="s">
        <v>32</v>
      </c>
      <c r="F20" s="20"/>
      <c r="G20" s="20"/>
      <c r="H20" s="20"/>
      <c r="I20" s="20"/>
      <c r="J20" s="20"/>
    </row>
    <row r="21" spans="2:10" x14ac:dyDescent="0.25">
      <c r="C21" s="21" t="s">
        <v>33</v>
      </c>
      <c r="D21" s="21"/>
      <c r="E21" s="20" t="s">
        <v>34</v>
      </c>
      <c r="F21" s="20"/>
      <c r="G21" s="20"/>
      <c r="H21" s="20"/>
      <c r="I21" s="20"/>
      <c r="J21" s="20"/>
    </row>
    <row r="22" spans="2:10" x14ac:dyDescent="0.25">
      <c r="C22" s="21" t="s">
        <v>35</v>
      </c>
      <c r="D22" s="21"/>
      <c r="E22" s="20" t="s">
        <v>36</v>
      </c>
      <c r="F22" s="20"/>
      <c r="G22" s="20"/>
      <c r="H22" s="20"/>
      <c r="I22" s="20"/>
      <c r="J22" s="20"/>
    </row>
    <row r="24" spans="2:10" ht="15" customHeight="1" x14ac:dyDescent="0.25">
      <c r="B24" s="19" t="s">
        <v>37</v>
      </c>
      <c r="C24" s="19"/>
      <c r="D24" s="19"/>
      <c r="E24" s="19"/>
      <c r="F24" s="19"/>
      <c r="G24" s="19"/>
      <c r="H24" s="19"/>
      <c r="I24" s="19"/>
      <c r="J24" s="19"/>
    </row>
    <row r="25" spans="2:10" ht="15" customHeight="1" x14ac:dyDescent="0.25">
      <c r="B25" s="19"/>
      <c r="C25" s="19"/>
      <c r="D25" s="19"/>
      <c r="E25" s="19"/>
      <c r="F25" s="19"/>
      <c r="G25" s="19"/>
      <c r="H25" s="19"/>
      <c r="I25" s="19"/>
      <c r="J25" s="19"/>
    </row>
    <row r="26" spans="2:10" ht="15" customHeight="1" x14ac:dyDescent="0.25">
      <c r="B26" s="19"/>
      <c r="C26" s="19"/>
      <c r="D26" s="19"/>
      <c r="E26" s="19"/>
      <c r="F26" s="19"/>
      <c r="G26" s="19"/>
      <c r="H26" s="19"/>
      <c r="I26" s="19"/>
      <c r="J26" s="19"/>
    </row>
    <row r="27" spans="2:10" x14ac:dyDescent="0.25">
      <c r="B27" s="19"/>
      <c r="C27" s="19"/>
      <c r="D27" s="19"/>
      <c r="E27" s="19"/>
      <c r="F27" s="19"/>
      <c r="G27" s="19"/>
      <c r="H27" s="19"/>
      <c r="I27" s="19"/>
      <c r="J27" s="19"/>
    </row>
    <row r="34" spans="1:13" ht="15.75" x14ac:dyDescent="0.25">
      <c r="A34" s="2" t="s">
        <v>38</v>
      </c>
      <c r="B34" s="20" t="s">
        <v>39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spans="1:13" ht="15.75" x14ac:dyDescent="0.25">
      <c r="A35" s="2"/>
    </row>
    <row r="36" spans="1:13" ht="15.75" x14ac:dyDescent="0.25">
      <c r="A36" s="2" t="s">
        <v>40</v>
      </c>
      <c r="B36" s="20" t="s">
        <v>41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</row>
  </sheetData>
  <sheetProtection algorithmName="SHA-512" hashValue="mNHzYPo3myyRtQ0hKyAUCtH3O8JA/5aSzrOCEvq79hjgO7Gw0D0RAPuqDa+nbmkoY+GsluGOCqvByLa5A+R8oA==" saltValue="eVx23pLryyNGOGnMNvyHQw==" spinCount="100000" sheet="1" objects="1" scenarios="1"/>
  <mergeCells count="16">
    <mergeCell ref="C19:D19"/>
    <mergeCell ref="E19:J19"/>
    <mergeCell ref="B14:J16"/>
    <mergeCell ref="C17:D17"/>
    <mergeCell ref="E17:J17"/>
    <mergeCell ref="C18:D18"/>
    <mergeCell ref="E18:J18"/>
    <mergeCell ref="B24:J27"/>
    <mergeCell ref="B34:M34"/>
    <mergeCell ref="B36:M36"/>
    <mergeCell ref="C20:D20"/>
    <mergeCell ref="E20:J20"/>
    <mergeCell ref="C21:D21"/>
    <mergeCell ref="E21:J21"/>
    <mergeCell ref="C22:D22"/>
    <mergeCell ref="E22:J22"/>
  </mergeCells>
  <hyperlinks>
    <hyperlink ref="E17" r:id="rId1"/>
    <hyperlink ref="E18" r:id="rId2"/>
    <hyperlink ref="E19" r:id="rId3"/>
    <hyperlink ref="E21" r:id="rId4"/>
    <hyperlink ref="E22" r:id="rId5"/>
    <hyperlink ref="B36" r:id="rId6"/>
    <hyperlink ref="B34" r:id="rId7"/>
  </hyperlinks>
  <pageMargins left="0.7" right="0.7" top="0.75" bottom="0.75" header="0.3" footer="0.3"/>
  <pageSetup orientation="portrait" horizontalDpi="1200" verticalDpi="1200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30"/>
  <sheetViews>
    <sheetView tabSelected="1" zoomScale="90" zoomScaleNormal="90" workbookViewId="0">
      <selection activeCell="F5" sqref="F5"/>
    </sheetView>
  </sheetViews>
  <sheetFormatPr defaultRowHeight="15" x14ac:dyDescent="0.25"/>
  <cols>
    <col min="1" max="2" width="9.140625" style="1"/>
    <col min="3" max="3" width="10.85546875" style="1" customWidth="1"/>
    <col min="4" max="5" width="9.140625" style="1"/>
    <col min="6" max="6" width="12.28515625" style="1" bestFit="1" customWidth="1"/>
    <col min="7" max="11" width="9.140625" style="1"/>
    <col min="12" max="12" width="10.5703125" style="1" customWidth="1"/>
    <col min="13" max="13" width="9.140625" style="1"/>
    <col min="14" max="14" width="10.42578125" style="1" customWidth="1"/>
    <col min="15" max="15" width="9.85546875" style="1" customWidth="1"/>
    <col min="16" max="18" width="9.140625" style="1"/>
    <col min="19" max="19" width="17" style="5" customWidth="1"/>
    <col min="20" max="23" width="9.140625" style="5"/>
    <col min="24" max="24" width="9.140625" style="4"/>
    <col min="25" max="16384" width="9.140625" style="1"/>
  </cols>
  <sheetData>
    <row r="1" spans="2:23" ht="28.5" x14ac:dyDescent="0.45">
      <c r="B1" s="26" t="s">
        <v>18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S1" s="3"/>
      <c r="T1" s="3"/>
      <c r="U1" s="3"/>
      <c r="V1" s="3"/>
      <c r="W1" s="3"/>
    </row>
    <row r="2" spans="2:23" ht="36" x14ac:dyDescent="0.55000000000000004">
      <c r="B2" s="29" t="s">
        <v>23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</row>
    <row r="3" spans="2:23" ht="24" thickBot="1" x14ac:dyDescent="0.4">
      <c r="B3" s="32" t="s">
        <v>19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  <c r="S3" s="1"/>
    </row>
    <row r="5" spans="2:23" x14ac:dyDescent="0.25">
      <c r="D5" s="1" t="s">
        <v>15</v>
      </c>
      <c r="F5" s="15" t="s">
        <v>14</v>
      </c>
    </row>
    <row r="6" spans="2:23" x14ac:dyDescent="0.25">
      <c r="D6" s="1" t="s">
        <v>0</v>
      </c>
      <c r="F6" s="15">
        <v>10</v>
      </c>
      <c r="G6" s="1" t="str">
        <f>IF(F5="MKS","m","ft")</f>
        <v>ft</v>
      </c>
      <c r="S6" s="5" t="s">
        <v>0</v>
      </c>
      <c r="U6" s="5">
        <f>IF(F5="MKS",F6,F6/3.28)</f>
        <v>3.0487804878048781</v>
      </c>
      <c r="V6" s="5" t="s">
        <v>12</v>
      </c>
    </row>
    <row r="7" spans="2:23" x14ac:dyDescent="0.25">
      <c r="D7" s="1" t="s">
        <v>1</v>
      </c>
      <c r="F7" s="15">
        <v>15.833</v>
      </c>
      <c r="G7" s="1" t="str">
        <f>IF(F5="MKS","m","ft")</f>
        <v>ft</v>
      </c>
      <c r="S7" s="5" t="s">
        <v>1</v>
      </c>
      <c r="U7" s="5">
        <f>IF(F5="MKS",F7,F7/3.28)</f>
        <v>4.8271341463414634</v>
      </c>
      <c r="V7" s="5" t="s">
        <v>12</v>
      </c>
    </row>
    <row r="8" spans="2:23" x14ac:dyDescent="0.25">
      <c r="D8" s="1" t="s">
        <v>2</v>
      </c>
      <c r="F8" s="15">
        <v>8</v>
      </c>
      <c r="G8" s="1" t="str">
        <f>IF(F5="MKS","mm","in")</f>
        <v>in</v>
      </c>
      <c r="S8" s="5" t="s">
        <v>2</v>
      </c>
      <c r="U8" s="5">
        <f>IF(F5="MKS",F8,F8*25.4)</f>
        <v>203.2</v>
      </c>
      <c r="V8" s="5" t="s">
        <v>5</v>
      </c>
    </row>
    <row r="9" spans="2:23" x14ac:dyDescent="0.25">
      <c r="U9" s="5" t="s">
        <v>13</v>
      </c>
    </row>
    <row r="10" spans="2:23" ht="23.25" x14ac:dyDescent="0.35">
      <c r="B10" s="25" t="s">
        <v>17</v>
      </c>
      <c r="C10" s="25"/>
      <c r="D10" s="25"/>
      <c r="E10" s="25"/>
      <c r="F10" s="25"/>
      <c r="G10" s="25"/>
      <c r="H10" s="25" t="s">
        <v>16</v>
      </c>
      <c r="I10" s="25"/>
      <c r="J10" s="25"/>
      <c r="K10" s="25"/>
      <c r="L10" s="25"/>
      <c r="M10" s="25"/>
      <c r="U10" s="5" t="s">
        <v>14</v>
      </c>
    </row>
    <row r="11" spans="2:23" x14ac:dyDescent="0.25">
      <c r="B11" s="1" t="s">
        <v>3</v>
      </c>
      <c r="F11" s="16">
        <v>3.82</v>
      </c>
      <c r="G11" s="1" t="str">
        <f>IF(F5="MKS","mm^2","in^2")</f>
        <v>in^2</v>
      </c>
      <c r="H11" s="1" t="s">
        <v>21</v>
      </c>
      <c r="L11" s="16">
        <v>0.34</v>
      </c>
      <c r="M11" s="1" t="str">
        <f>IF(F5="MKS","mm^2/m","in^2/ft")</f>
        <v>in^2/ft</v>
      </c>
      <c r="S11" s="6">
        <f>Sp</f>
        <v>10</v>
      </c>
      <c r="U11" s="5">
        <v>8</v>
      </c>
    </row>
    <row r="12" spans="2:23" x14ac:dyDescent="0.25">
      <c r="B12" s="1" t="s">
        <v>4</v>
      </c>
      <c r="F12" s="17">
        <v>12</v>
      </c>
      <c r="G12" s="1" t="s">
        <v>5</v>
      </c>
      <c r="H12" s="1" t="s">
        <v>22</v>
      </c>
      <c r="L12" s="17">
        <v>10</v>
      </c>
      <c r="M12" s="1" t="s">
        <v>5</v>
      </c>
      <c r="S12" s="7">
        <f>Sp</f>
        <v>10</v>
      </c>
      <c r="U12" s="5">
        <v>10</v>
      </c>
    </row>
    <row r="13" spans="2:23" x14ac:dyDescent="0.25">
      <c r="B13" s="1" t="s">
        <v>6</v>
      </c>
      <c r="F13" s="16">
        <v>2.5000000000000001E-3</v>
      </c>
      <c r="H13" s="1" t="s">
        <v>6</v>
      </c>
      <c r="L13" s="18">
        <v>2.5000000000000001E-3</v>
      </c>
      <c r="S13" s="6">
        <f>Sph</f>
        <v>8</v>
      </c>
      <c r="U13" s="5">
        <v>12</v>
      </c>
    </row>
    <row r="14" spans="2:23" x14ac:dyDescent="0.25">
      <c r="B14" s="1" t="s">
        <v>8</v>
      </c>
      <c r="F14" s="16">
        <v>10</v>
      </c>
      <c r="G14" s="1" t="str">
        <f>IF(F5="MKS","mm","in")</f>
        <v>in</v>
      </c>
      <c r="H14" s="1" t="s">
        <v>8</v>
      </c>
      <c r="L14" s="16">
        <v>8</v>
      </c>
      <c r="M14" s="1" t="str">
        <f>IF(F5="MKS","mm","in")</f>
        <v>in</v>
      </c>
      <c r="S14" s="7">
        <f>Sph</f>
        <v>8</v>
      </c>
      <c r="U14" s="5">
        <v>14</v>
      </c>
    </row>
    <row r="15" spans="2:23" x14ac:dyDescent="0.25">
      <c r="B15" s="1" t="s">
        <v>7</v>
      </c>
      <c r="F15" s="8">
        <f>IF(F5="MKS",(2*PI()*Dv*Dv/4*L*1000/Av),(2*PI()*((Dv*Dv/4)/(25.4*25.4))*12*L*3.28/(Av)))</f>
        <v>17.437974200492228</v>
      </c>
      <c r="G15" s="1" t="str">
        <f>IF(F5="MKS","mm","in")</f>
        <v>in</v>
      </c>
      <c r="H15" s="1" t="s">
        <v>7</v>
      </c>
      <c r="L15" s="8">
        <f>IF(F5="MKS",(2*PI()*Dh*Dh/4*1000/Ah),(2*PI()*((Dh*Dh/4)/(25.4*25.4))*12/(Ah)))</f>
        <v>8.5931970918015583</v>
      </c>
      <c r="M15" s="1" t="str">
        <f>IF(F5="MKS","mm","in")</f>
        <v>in</v>
      </c>
      <c r="U15" s="5">
        <v>16</v>
      </c>
    </row>
    <row r="16" spans="2:23" x14ac:dyDescent="0.25">
      <c r="B16" s="1" t="s">
        <v>9</v>
      </c>
      <c r="F16" s="9">
        <f>IF(F5="MKS",((2*PI()*Dv*Dv/4)/(Sp*t)),((2*PI()*Dv*Dv/4)/(Sp*25.4*t)))</f>
        <v>4.3825305168187952E-3</v>
      </c>
      <c r="G16" s="1" t="str">
        <f>IF(F16&gt;=ρ,"OK","NOT OK")</f>
        <v>OK</v>
      </c>
      <c r="H16" s="1" t="s">
        <v>9</v>
      </c>
      <c r="L16" s="9">
        <f>IF(F5="MKS",((2*3.1416*Dh*Dh/4)/(Sph*t)),((2*3.1416*Dh*Dh/4)/(Sph*25.4*t)))</f>
        <v>3.8042888585777175E-3</v>
      </c>
      <c r="M16" s="1" t="str">
        <f>IF(L16&gt;=L13,"OK","NOT OK")</f>
        <v>OK</v>
      </c>
      <c r="U16" s="5">
        <v>20</v>
      </c>
    </row>
    <row r="17" spans="2:21" x14ac:dyDescent="0.25">
      <c r="B17" s="1" t="s">
        <v>10</v>
      </c>
      <c r="D17" s="8">
        <f>IF(F5="MKS",(3*t),(3*t/25.4))</f>
        <v>23.999999999999996</v>
      </c>
      <c r="E17" s="10">
        <f>IF(F5="MKS",(18*25),18)</f>
        <v>18</v>
      </c>
      <c r="F17" s="8">
        <f>IF(F5="MKS",(L*1000/3),(L*1000/3)/25.4)</f>
        <v>63.348217143588769</v>
      </c>
      <c r="G17" s="1" t="str">
        <f>IF(F5="MKS","mm","in")</f>
        <v>in</v>
      </c>
      <c r="H17" s="1" t="s">
        <v>10</v>
      </c>
      <c r="J17" s="8">
        <f>IF(F5="MKS",(3*t),(3*t/25.4))</f>
        <v>23.999999999999996</v>
      </c>
      <c r="K17" s="10">
        <f>IF(F5="MKS",(18*25),18)</f>
        <v>18</v>
      </c>
      <c r="L17" s="8">
        <f>IF(F5="MKS",(L*1000/5),(L*1000/5)/25.4)</f>
        <v>38.008930286153259</v>
      </c>
      <c r="M17" s="1" t="str">
        <f>IF(F5="MKS","mm","in")</f>
        <v>in</v>
      </c>
      <c r="U17" s="5">
        <v>22</v>
      </c>
    </row>
    <row r="18" spans="2:21" x14ac:dyDescent="0.25">
      <c r="B18" s="1" t="s">
        <v>11</v>
      </c>
      <c r="F18" s="8">
        <f>MIN(D17:F17)</f>
        <v>18</v>
      </c>
      <c r="G18" s="1" t="str">
        <f>IF(F5="MKS","mm","in")</f>
        <v>in</v>
      </c>
      <c r="H18" s="1" t="s">
        <v>11</v>
      </c>
      <c r="L18" s="8">
        <f>MIN(J17:L17)</f>
        <v>18</v>
      </c>
      <c r="M18" s="1" t="str">
        <f>IF(F5="MKS","mm","in")</f>
        <v>in</v>
      </c>
      <c r="U18" s="5">
        <v>25</v>
      </c>
    </row>
    <row r="19" spans="2:21" ht="15.75" thickBot="1" x14ac:dyDescent="0.3">
      <c r="U19" s="5">
        <v>28</v>
      </c>
    </row>
    <row r="20" spans="2:21" ht="15.75" thickBot="1" x14ac:dyDescent="0.3">
      <c r="H20" s="1" t="s">
        <v>20</v>
      </c>
      <c r="N20" s="11">
        <f>Dv</f>
        <v>12</v>
      </c>
      <c r="O20" s="12">
        <f>Sp</f>
        <v>10</v>
      </c>
      <c r="P20" s="13" t="str">
        <f>IF(F5="MKS","mm C/C","in C/C")</f>
        <v>in C/C</v>
      </c>
      <c r="U20" s="5">
        <v>32</v>
      </c>
    </row>
    <row r="21" spans="2:21" ht="15.75" thickBot="1" x14ac:dyDescent="0.3">
      <c r="N21" s="14"/>
      <c r="U21" s="5">
        <v>40</v>
      </c>
    </row>
    <row r="22" spans="2:21" ht="15.75" thickBot="1" x14ac:dyDescent="0.3">
      <c r="N22" s="11">
        <f>Dh</f>
        <v>10</v>
      </c>
      <c r="O22" s="12">
        <f>Sph</f>
        <v>8</v>
      </c>
      <c r="P22" s="13" t="str">
        <f>IF(F5="MKS","mm C/C","in C/C")</f>
        <v>in C/C</v>
      </c>
    </row>
    <row r="30" spans="2:21" x14ac:dyDescent="0.25">
      <c r="D30" s="23" t="str">
        <f>IF(F5="MKS","≤355 mm","≤14 in")</f>
        <v>≤14 in</v>
      </c>
      <c r="E30" s="24"/>
    </row>
  </sheetData>
  <sheetProtection algorithmName="SHA-512" hashValue="zWojylFKZvQBodqA1CLGvdaHEyJm3oEMKo0F3CG/qtuyMobcXRXgN0CMMHfHd+tRS4B8BTP3K9Z+VS5J4C+YBA==" saltValue="w4tGu/tHriI9a8oSxlRTNg==" spinCount="100000" sheet="1" objects="1" scenarios="1" selectLockedCells="1"/>
  <mergeCells count="6">
    <mergeCell ref="D30:E30"/>
    <mergeCell ref="B10:G10"/>
    <mergeCell ref="H10:M10"/>
    <mergeCell ref="B1:M1"/>
    <mergeCell ref="B2:M2"/>
    <mergeCell ref="B3:M3"/>
  </mergeCells>
  <dataValidations count="2">
    <dataValidation type="list" allowBlank="1" showInputMessage="1" showErrorMessage="1" sqref="F12 L12">
      <formula1>$U$11:$U$21</formula1>
    </dataValidation>
    <dataValidation type="list" allowBlank="1" showInputMessage="1" showErrorMessage="1" sqref="F5">
      <formula1>$U$9:$U$10</formula1>
    </dataValidation>
  </dataValidation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11</vt:i4>
      </vt:variant>
    </vt:vector>
  </HeadingPairs>
  <TitlesOfParts>
    <vt:vector size="13" baseType="lpstr">
      <vt:lpstr>Video &amp; Instruction </vt:lpstr>
      <vt:lpstr>Shear Wall Rebar Calculation</vt:lpstr>
      <vt:lpstr>Ah</vt:lpstr>
      <vt:lpstr>Av</vt:lpstr>
      <vt:lpstr>Dh</vt:lpstr>
      <vt:lpstr>Dv</vt:lpstr>
      <vt:lpstr>H</vt:lpstr>
      <vt:lpstr>L</vt:lpstr>
      <vt:lpstr>Sp</vt:lpstr>
      <vt:lpstr>Sph</vt:lpstr>
      <vt:lpstr>Sr</vt:lpstr>
      <vt:lpstr>t</vt:lpstr>
      <vt:lpstr>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2025-08-03T16:26:20Z</dcterms:modified>
</cp:coreProperties>
</file>