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BUILDING DESIGN PARAMETERS\All Excel file\B. Building Check file\"/>
    </mc:Choice>
  </mc:AlternateContent>
  <bookViews>
    <workbookView xWindow="-1515" yWindow="705" windowWidth="15405" windowHeight="12555"/>
  </bookViews>
  <sheets>
    <sheet name="Drifts and sway limitation" sheetId="3" r:id="rId1"/>
    <sheet name="Video &amp; Instruction " sheetId="4" r:id="rId2"/>
  </sheets>
  <externalReferences>
    <externalReference r:id="rId3"/>
  </externalReferences>
  <definedNames>
    <definedName name="framesystem">[1]Sheet3!$B$39:$B$45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2" i="3" l="1"/>
  <c r="T13" i="3"/>
  <c r="T14" i="3"/>
  <c r="T15" i="3"/>
  <c r="T16" i="3"/>
  <c r="T17" i="3"/>
  <c r="T18" i="3"/>
  <c r="T19" i="3"/>
  <c r="T20" i="3"/>
  <c r="T21" i="3"/>
  <c r="T22" i="3"/>
  <c r="T11" i="3"/>
  <c r="P11" i="3" l="1"/>
  <c r="P12" i="3"/>
  <c r="P13" i="3"/>
  <c r="P14" i="3"/>
  <c r="P15" i="3"/>
  <c r="P16" i="3"/>
  <c r="R11" i="3"/>
  <c r="R12" i="3"/>
  <c r="R13" i="3"/>
  <c r="R14" i="3"/>
  <c r="R15" i="3"/>
  <c r="R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T23" i="3" l="1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K12" i="3"/>
  <c r="L12" i="3" s="1"/>
  <c r="M12" i="3" s="1"/>
  <c r="E12" i="3"/>
  <c r="D12" i="3"/>
  <c r="K13" i="3" l="1"/>
  <c r="D14" i="3"/>
  <c r="D19" i="3" s="1"/>
  <c r="C22" i="3" s="1"/>
  <c r="L13" i="3" l="1"/>
  <c r="M13" i="3" s="1"/>
  <c r="K14" i="3"/>
  <c r="L14" i="3" l="1"/>
  <c r="M14" i="3" s="1"/>
  <c r="K15" i="3"/>
  <c r="L15" i="3" l="1"/>
  <c r="M15" i="3" s="1"/>
  <c r="K16" i="3"/>
  <c r="L16" i="3" s="1"/>
  <c r="M16" i="3" l="1"/>
  <c r="K17" i="3"/>
  <c r="K18" i="3" l="1"/>
  <c r="L17" i="3"/>
  <c r="M17" i="3" s="1"/>
  <c r="K19" i="3" l="1"/>
  <c r="L18" i="3"/>
  <c r="M18" i="3" s="1"/>
  <c r="K20" i="3" l="1"/>
  <c r="L19" i="3"/>
  <c r="M19" i="3" s="1"/>
  <c r="K21" i="3" l="1"/>
  <c r="L20" i="3"/>
  <c r="M20" i="3" s="1"/>
  <c r="K22" i="3" l="1"/>
  <c r="L21" i="3"/>
  <c r="M21" i="3" s="1"/>
  <c r="K23" i="3" l="1"/>
  <c r="L22" i="3"/>
  <c r="M22" i="3" s="1"/>
  <c r="K24" i="3" l="1"/>
  <c r="L23" i="3"/>
  <c r="M23" i="3" s="1"/>
  <c r="K25" i="3" l="1"/>
  <c r="L24" i="3"/>
  <c r="M24" i="3" s="1"/>
  <c r="K26" i="3" l="1"/>
  <c r="L25" i="3"/>
  <c r="M25" i="3" s="1"/>
  <c r="K27" i="3" l="1"/>
  <c r="L26" i="3"/>
  <c r="M26" i="3" s="1"/>
  <c r="K28" i="3" l="1"/>
  <c r="L27" i="3"/>
  <c r="M27" i="3" s="1"/>
  <c r="K29" i="3" l="1"/>
  <c r="L28" i="3"/>
  <c r="M28" i="3" s="1"/>
  <c r="K30" i="3" l="1"/>
  <c r="L29" i="3"/>
  <c r="M29" i="3" s="1"/>
  <c r="K31" i="3" l="1"/>
  <c r="L31" i="3" s="1"/>
  <c r="M31" i="3" s="1"/>
  <c r="L30" i="3"/>
  <c r="M30" i="3" s="1"/>
</calcChain>
</file>

<file path=xl/sharedStrings.xml><?xml version="1.0" encoding="utf-8"?>
<sst xmlns="http://schemas.openxmlformats.org/spreadsheetml/2006/main" count="95" uniqueCount="86">
  <si>
    <t>F1</t>
  </si>
  <si>
    <t>F2</t>
  </si>
  <si>
    <t>F3</t>
  </si>
  <si>
    <t>F4</t>
  </si>
  <si>
    <t>F5</t>
  </si>
  <si>
    <t>H1</t>
  </si>
  <si>
    <t>Check</t>
  </si>
  <si>
    <t>Structure type</t>
  </si>
  <si>
    <t>Ct</t>
  </si>
  <si>
    <t>m</t>
  </si>
  <si>
    <t>Concrete moment-resisting frames</t>
  </si>
  <si>
    <t>CMRF</t>
  </si>
  <si>
    <t>Steel moment-resisting frames</t>
  </si>
  <si>
    <t>SMRF</t>
  </si>
  <si>
    <t>Eccentrically braced steel frame</t>
  </si>
  <si>
    <t>EBSF</t>
  </si>
  <si>
    <t>All other structural systems</t>
  </si>
  <si>
    <t>AOSS</t>
  </si>
  <si>
    <t>Table 6.2.20: Values for Coefficients to Estimate Approximate Period</t>
  </si>
  <si>
    <t>Total hight of the building (hx) --&gt;</t>
  </si>
  <si>
    <t>meters</t>
  </si>
  <si>
    <t xml:space="preserve"> </t>
  </si>
  <si>
    <t>Time period (T) --&gt;</t>
  </si>
  <si>
    <t>sec</t>
  </si>
  <si>
    <r>
      <t>Storey Drift Limitation (</t>
    </r>
    <r>
      <rPr>
        <sz val="11"/>
        <color theme="1"/>
        <rFont val="Calibri"/>
        <family val="2"/>
      </rPr>
      <t>Δ) =</t>
    </r>
  </si>
  <si>
    <t>Storey Drift from Structure--&gt;</t>
  </si>
  <si>
    <t>mm</t>
  </si>
  <si>
    <t>Storey</t>
  </si>
  <si>
    <t>Storey Drift Limitation check</t>
  </si>
  <si>
    <t>Cum.Ht.</t>
  </si>
  <si>
    <t>Limitation of Sway</t>
  </si>
  <si>
    <t>No</t>
  </si>
  <si>
    <t>Sway limitation or displacement limitation check</t>
  </si>
  <si>
    <t>F6</t>
  </si>
  <si>
    <t>F7</t>
  </si>
  <si>
    <t>F8</t>
  </si>
  <si>
    <t>F9</t>
  </si>
  <si>
    <t>H2</t>
  </si>
  <si>
    <t>H3</t>
  </si>
  <si>
    <t>H4</t>
  </si>
  <si>
    <t>H5</t>
  </si>
  <si>
    <t>H6</t>
  </si>
  <si>
    <t>H7</t>
  </si>
  <si>
    <t>H8</t>
  </si>
  <si>
    <t>H9</t>
  </si>
  <si>
    <t>I1</t>
  </si>
  <si>
    <r>
      <t>Dispalacement (</t>
    </r>
    <r>
      <rPr>
        <sz val="11"/>
        <color rgb="FFFF0000"/>
        <rFont val="Calibri"/>
        <family val="2"/>
        <scheme val="minor"/>
      </rPr>
      <t>mm</t>
    </r>
    <r>
      <rPr>
        <sz val="11"/>
        <color theme="1"/>
        <rFont val="Calibri"/>
        <family val="2"/>
        <scheme val="minor"/>
      </rPr>
      <t>)</t>
    </r>
  </si>
  <si>
    <r>
      <t>Storey  Height (</t>
    </r>
    <r>
      <rPr>
        <sz val="11"/>
        <color rgb="FFFF0000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)</t>
    </r>
  </si>
  <si>
    <t>Conveter</t>
  </si>
  <si>
    <t>ft</t>
  </si>
  <si>
    <t>in</t>
  </si>
  <si>
    <t>BF</t>
  </si>
  <si>
    <t>Support us And stay connected</t>
  </si>
  <si>
    <t>This file is only for edicational Perpose. Pls don't misuse it.</t>
  </si>
  <si>
    <t>This is the Poperty of qlearnify</t>
  </si>
  <si>
    <t>This Channel are Manageing By SM Hedaetullah And N.J. Disha</t>
  </si>
  <si>
    <t>qLearnify is an educational platform dedicated to the professional development of engineers and architects.</t>
  </si>
  <si>
    <t>Website:</t>
  </si>
  <si>
    <t>https://qlearnify.com/</t>
  </si>
  <si>
    <t>Facebook:</t>
  </si>
  <si>
    <t>https://www.facebook.com/qlearnify</t>
  </si>
  <si>
    <t>Youtube (Bangla):</t>
  </si>
  <si>
    <t>https://www.youtube.com/@qlearnify-bn</t>
  </si>
  <si>
    <t>Youtube (English):</t>
  </si>
  <si>
    <t>https://www.youtube.com/@qlearnify-en</t>
  </si>
  <si>
    <t>WhatsApp:</t>
  </si>
  <si>
    <t>https://wa.me/8801511250108</t>
  </si>
  <si>
    <t>LinkedIn:</t>
  </si>
  <si>
    <t>https://www.linkedin.com/company/qlearnify/</t>
  </si>
  <si>
    <t>Note: This Excel sheet has been created for educational purposes; please validate it according to your own standards before using it for professional work.</t>
  </si>
  <si>
    <t>Bangla:</t>
  </si>
  <si>
    <t>https://youtube.com/playlist?list=PLxle8F-wJI7P43K0GljphED4I5TRXu6Zx&amp;si=el-Lrxm5mB1Vmgcf</t>
  </si>
  <si>
    <t>English:</t>
  </si>
  <si>
    <t>https://youtube.com/playlist?list=PLTscI_CLWNfB_1x6_7zylwLZWo7mKypCq&amp;si=QzFh_rJa61GU0YNW</t>
  </si>
  <si>
    <t>GF</t>
  </si>
  <si>
    <t>Story1</t>
  </si>
  <si>
    <t>Story2</t>
  </si>
  <si>
    <t>Story3</t>
  </si>
  <si>
    <t>Story4</t>
  </si>
  <si>
    <t>Story5</t>
  </si>
  <si>
    <t>Story6</t>
  </si>
  <si>
    <t>Story7</t>
  </si>
  <si>
    <t>Story8</t>
  </si>
  <si>
    <t>Story9.Roof</t>
  </si>
  <si>
    <t>Story910.TR</t>
  </si>
  <si>
    <t>Story911.MR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</si>
</sst>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8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2"/>
      <color rgb="FF7030A0"/>
      <name val="Calibri"/>
      <family val="2"/>
      <scheme val="minor"/>
    </font>
    <font>
      <sz val="11"/>
      <color rgb="FFFFFF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9" fillId="0" borderId="0"/>
    <xf numFmtId="0" fontId="4" fillId="0" borderId="0"/>
    <xf numFmtId="0" fontId="14" fillId="0" borderId="0" applyNumberFormat="0" applyFill="0" applyBorder="0" applyAlignment="0" applyProtection="0"/>
  </cellStyleXfs>
  <cellXfs count="54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0" fillId="6" borderId="1" xfId="0" applyFill="1" applyBorder="1" applyAlignment="1" applyProtection="1">
      <alignment horizontal="center" vertical="center"/>
      <protection locked="0"/>
    </xf>
    <xf numFmtId="0" fontId="0" fillId="6" borderId="2" xfId="0" applyFill="1" applyBorder="1" applyAlignment="1" applyProtection="1">
      <alignment horizontal="center" vertical="center"/>
      <protection locked="0"/>
    </xf>
    <xf numFmtId="0" fontId="7" fillId="4" borderId="0" xfId="0" applyFont="1" applyFill="1" applyAlignment="1" applyProtection="1">
      <alignment horizontal="left" vertical="center" wrapText="1"/>
      <protection locked="0"/>
    </xf>
    <xf numFmtId="0" fontId="7" fillId="4" borderId="0" xfId="0" applyFont="1" applyFill="1" applyAlignment="1" applyProtection="1">
      <alignment horizontal="center" vertical="center" wrapText="1"/>
      <protection locked="0"/>
    </xf>
    <xf numFmtId="0" fontId="0" fillId="5" borderId="0" xfId="0" applyFill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7" borderId="1" xfId="0" applyFill="1" applyBorder="1" applyProtection="1">
      <protection locked="0"/>
    </xf>
    <xf numFmtId="0" fontId="0" fillId="7" borderId="3" xfId="0" applyFill="1" applyBorder="1" applyProtection="1">
      <protection locked="0"/>
    </xf>
    <xf numFmtId="0" fontId="0" fillId="7" borderId="13" xfId="0" applyFill="1" applyBorder="1" applyProtection="1">
      <protection locked="0"/>
    </xf>
    <xf numFmtId="0" fontId="7" fillId="0" borderId="1" xfId="0" applyFont="1" applyBorder="1" applyAlignment="1" applyProtection="1">
      <alignment horizontal="left" vertical="center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5" borderId="0" xfId="0" applyFill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" fillId="5" borderId="1" xfId="0" applyFont="1" applyFill="1" applyBorder="1" applyAlignment="1" applyProtection="1">
      <alignment horizontal="center" vertical="center"/>
      <protection locked="0"/>
    </xf>
    <xf numFmtId="0" fontId="8" fillId="7" borderId="1" xfId="0" applyFont="1" applyFill="1" applyBorder="1" applyAlignment="1" applyProtection="1">
      <alignment horizontal="center" vertical="center"/>
      <protection locked="0"/>
    </xf>
    <xf numFmtId="0" fontId="0" fillId="0" borderId="14" xfId="0" applyBorder="1" applyProtection="1"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0" fillId="5" borderId="0" xfId="0" applyFill="1" applyAlignment="1" applyProtection="1">
      <alignment horizontal="right"/>
      <protection locked="0"/>
    </xf>
    <xf numFmtId="0" fontId="0" fillId="2" borderId="0" xfId="0" applyFill="1" applyProtection="1">
      <protection locked="0"/>
    </xf>
    <xf numFmtId="2" fontId="0" fillId="5" borderId="0" xfId="0" applyNumberFormat="1" applyFill="1" applyProtection="1">
      <protection locked="0"/>
    </xf>
    <xf numFmtId="0" fontId="0" fillId="5" borderId="0" xfId="0" applyFill="1" applyProtection="1">
      <protection locked="0"/>
    </xf>
    <xf numFmtId="0" fontId="0" fillId="0" borderId="15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0" xfId="0" applyAlignment="1">
      <alignment vertical="center" wrapText="1"/>
    </xf>
    <xf numFmtId="0" fontId="13" fillId="5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hidden="1"/>
    </xf>
    <xf numFmtId="0" fontId="17" fillId="0" borderId="0" xfId="0" applyFont="1" applyProtection="1">
      <protection hidden="1"/>
    </xf>
    <xf numFmtId="0" fontId="5" fillId="5" borderId="5" xfId="0" applyFont="1" applyFill="1" applyBorder="1" applyAlignment="1" applyProtection="1">
      <alignment horizontal="center" vertical="center" wrapText="1"/>
      <protection locked="0"/>
    </xf>
    <xf numFmtId="0" fontId="5" fillId="5" borderId="6" xfId="0" applyFont="1" applyFill="1" applyBorder="1" applyAlignment="1" applyProtection="1">
      <alignment horizontal="center" vertical="center" wrapText="1"/>
      <protection locked="0"/>
    </xf>
    <xf numFmtId="0" fontId="5" fillId="5" borderId="7" xfId="0" applyFont="1" applyFill="1" applyBorder="1" applyAlignment="1" applyProtection="1">
      <alignment horizontal="center" vertical="center" wrapText="1"/>
      <protection locked="0"/>
    </xf>
    <xf numFmtId="0" fontId="5" fillId="5" borderId="8" xfId="0" applyFont="1" applyFill="1" applyBorder="1" applyAlignment="1" applyProtection="1">
      <alignment horizontal="center" vertical="center" wrapText="1"/>
      <protection locked="0"/>
    </xf>
    <xf numFmtId="0" fontId="5" fillId="5" borderId="0" xfId="0" applyFont="1" applyFill="1" applyAlignment="1" applyProtection="1">
      <alignment horizontal="center" vertical="center" wrapText="1"/>
      <protection locked="0"/>
    </xf>
    <xf numFmtId="0" fontId="5" fillId="5" borderId="9" xfId="0" applyFont="1" applyFill="1" applyBorder="1" applyAlignment="1" applyProtection="1">
      <alignment horizontal="center" vertical="center" wrapText="1"/>
      <protection locked="0"/>
    </xf>
    <xf numFmtId="0" fontId="5" fillId="5" borderId="10" xfId="0" applyFont="1" applyFill="1" applyBorder="1" applyAlignment="1" applyProtection="1">
      <alignment horizontal="center" vertical="center" wrapText="1"/>
      <protection locked="0"/>
    </xf>
    <xf numFmtId="0" fontId="5" fillId="5" borderId="11" xfId="0" applyFont="1" applyFill="1" applyBorder="1" applyAlignment="1" applyProtection="1">
      <alignment horizontal="center" vertical="center" wrapText="1"/>
      <protection locked="0"/>
    </xf>
    <xf numFmtId="0" fontId="5" fillId="5" borderId="12" xfId="0" applyFont="1" applyFill="1" applyBorder="1" applyAlignment="1" applyProtection="1">
      <alignment horizontal="center" vertical="center" wrapText="1"/>
      <protection locked="0"/>
    </xf>
    <xf numFmtId="0" fontId="3" fillId="7" borderId="0" xfId="0" applyFont="1" applyFill="1" applyAlignment="1" applyProtection="1">
      <alignment horizontal="center" vertical="center"/>
      <protection locked="0"/>
    </xf>
    <xf numFmtId="0" fontId="5" fillId="6" borderId="0" xfId="0" applyFont="1" applyFill="1" applyAlignment="1" applyProtection="1">
      <alignment horizontal="center" vertical="center"/>
      <protection locked="0"/>
    </xf>
    <xf numFmtId="0" fontId="6" fillId="6" borderId="0" xfId="0" applyFont="1" applyFill="1" applyAlignment="1" applyProtection="1">
      <alignment horizontal="center" vertical="center"/>
      <protection locked="0"/>
    </xf>
    <xf numFmtId="0" fontId="0" fillId="6" borderId="0" xfId="0" applyFill="1" applyAlignment="1" applyProtection="1">
      <alignment horizontal="center" vertical="center"/>
      <protection locked="0"/>
    </xf>
    <xf numFmtId="0" fontId="0" fillId="6" borderId="4" xfId="0" applyFill="1" applyBorder="1" applyAlignment="1" applyProtection="1">
      <alignment horizontal="center" vertical="center"/>
      <protection locked="0"/>
    </xf>
    <xf numFmtId="0" fontId="11" fillId="2" borderId="0" xfId="0" applyFont="1" applyFill="1" applyAlignment="1">
      <alignment horizontal="center"/>
    </xf>
    <xf numFmtId="0" fontId="12" fillId="5" borderId="0" xfId="0" applyFont="1" applyFill="1" applyAlignment="1">
      <alignment horizontal="center" vertical="center" wrapText="1"/>
    </xf>
    <xf numFmtId="0" fontId="10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 applyProtection="1">
      <alignment horizontal="right"/>
      <protection hidden="1"/>
    </xf>
    <xf numFmtId="0" fontId="14" fillId="0" borderId="0" xfId="3" applyAlignment="1" applyProtection="1">
      <alignment horizontal="left"/>
      <protection hidden="1"/>
    </xf>
    <xf numFmtId="0" fontId="15" fillId="0" borderId="0" xfId="0" applyFont="1" applyAlignment="1" applyProtection="1">
      <alignment horizontal="center" vertical="center" wrapText="1"/>
      <protection hidden="1"/>
    </xf>
    <xf numFmtId="0" fontId="16" fillId="0" borderId="0" xfId="0" applyFont="1" applyAlignment="1" applyProtection="1">
      <alignment horizontal="center" vertical="center" wrapText="1"/>
      <protection hidden="1"/>
    </xf>
  </cellXfs>
  <cellStyles count="4">
    <cellStyle name="Hyperlink" xfId="3" builtinId="8"/>
    <cellStyle name="Normal" xfId="0" builtinId="0"/>
    <cellStyle name="Normal 2" xfId="1"/>
    <cellStyle name="Normal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190501</xdr:colOff>
      <xdr:row>0</xdr:row>
      <xdr:rowOff>19050</xdr:rowOff>
    </xdr:from>
    <xdr:to>
      <xdr:col>7</xdr:col>
      <xdr:colOff>400051</xdr:colOff>
      <xdr:row>12</xdr:row>
      <xdr:rowOff>157824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96EC00-6531-4B2A-8810-DB91685FE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1" y="19050"/>
          <a:ext cx="2647950" cy="2424774"/>
        </a:xfrm>
        <a:prstGeom prst="rect">
          <a:avLst/>
        </a:prstGeom>
      </xdr:spPr>
    </xdr:pic>
    <xdr:clientData/>
  </xdr:twoCellAnchor>
  <xdr:twoCellAnchor>
    <xdr:from>
      <xdr:col>3</xdr:col>
      <xdr:colOff>200025</xdr:colOff>
      <xdr:row>29</xdr:row>
      <xdr:rowOff>85725</xdr:rowOff>
    </xdr:from>
    <xdr:to>
      <xdr:col>6</xdr:col>
      <xdr:colOff>495300</xdr:colOff>
      <xdr:row>31</xdr:row>
      <xdr:rowOff>171450</xdr:rowOff>
    </xdr:to>
    <xdr:sp macro="" textlink="">
      <xdr:nvSpPr>
        <xdr:cNvPr id="3" name="Flowchart: Alternate Process 2">
          <a:extLst>
            <a:ext uri="{FF2B5EF4-FFF2-40B4-BE49-F238E27FC236}">
              <a16:creationId xmlns:a16="http://schemas.microsoft.com/office/drawing/2014/main" id="{311C9D6E-A937-4FCC-8C6F-D19B1079B15A}"/>
            </a:ext>
          </a:extLst>
        </xdr:cNvPr>
        <xdr:cNvSpPr/>
      </xdr:nvSpPr>
      <xdr:spPr>
        <a:xfrm>
          <a:off x="2028825" y="5610225"/>
          <a:ext cx="2124075" cy="466725"/>
        </a:xfrm>
        <a:prstGeom prst="flowChartAlternateProcess">
          <a:avLst/>
        </a:prstGeom>
        <a:solidFill>
          <a:srgbClr val="FF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 kern="1200"/>
            <a:t>Video</a:t>
          </a:r>
          <a:r>
            <a:rPr lang="en-US" sz="2400" b="1" kern="1200" baseline="0"/>
            <a:t> Tutorial</a:t>
          </a:r>
          <a:endParaRPr lang="en-US" sz="2400" b="1" kern="12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QLearnify\All%20Excel%20file\A.%20Wind%20and%20Earthquake%20load\A1%20Earth%20Quake%20Analysis%20Excel%20As%20per%20BNBC-2020,%20ASCE%207-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 Analysis"/>
      <sheetName val="Video &amp; Instruction "/>
      <sheetName val="Sheet2"/>
      <sheetName val="Sheet3"/>
    </sheetNames>
    <sheetDataSet>
      <sheetData sheetId="0"/>
      <sheetData sheetId="1"/>
      <sheetData sheetId="2"/>
      <sheetData sheetId="3">
        <row r="39">
          <cell r="B39" t="str">
            <v>BEARING_WALL_SYSTEMS_no_frame</v>
          </cell>
        </row>
        <row r="40">
          <cell r="B40" t="str">
            <v>BUILDING_FRAME_SYSTEMS_with_bracing_or_shear_wall</v>
          </cell>
        </row>
        <row r="41">
          <cell r="B41" t="str">
            <v>MOMENT_RESISTING_FRAME_SYSTEMS_no_shear_wall</v>
          </cell>
        </row>
        <row r="42">
          <cell r="B42" t="str">
            <v>DUAL_SYSTEMS_SPECIAL_MOMENT_FRAMES</v>
          </cell>
        </row>
        <row r="43">
          <cell r="B43" t="str">
            <v>DUAL_SYSTEMS_INTERMEDIATE_MOMENT_FRAMES</v>
          </cell>
        </row>
        <row r="44">
          <cell r="B44" t="str">
            <v>DUAL_SHEAR_WALL_FRAME_SYSTEM</v>
          </cell>
        </row>
        <row r="45">
          <cell r="B45" t="str">
            <v xml:space="preserve">STEEL_SYSTEMS_NOT_SPECIFICALLY_DETAILED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https://www.youtube.com/@qlearnify-bn" TargetMode="External"/><Relationship Id="rId7" Type="http://schemas.openxmlformats.org/officeDocument/2006/relationships/hyperlink" Target="https://youtube.com/playlist?list=PLxle8F-wJI7P43K0GljphED4I5TRXu6Zx&amp;si=el-Lrxm5mB1Vmgcf" TargetMode="External"/><Relationship Id="rId2" Type="http://schemas.openxmlformats.org/officeDocument/2006/relationships/hyperlink" Target="https://www.facebook.com/qlearnify" TargetMode="External"/><Relationship Id="rId1" Type="http://schemas.openxmlformats.org/officeDocument/2006/relationships/hyperlink" Target="https://qlearnify.com/" TargetMode="External"/><Relationship Id="rId6" Type="http://schemas.openxmlformats.org/officeDocument/2006/relationships/hyperlink" Target="https://youtube.com/playlist?list=PLTscI_CLWNfB_1x6_7zylwLZWo7mKypCq&amp;si=QzFh_rJa61GU0YNW" TargetMode="External"/><Relationship Id="rId5" Type="http://schemas.openxmlformats.org/officeDocument/2006/relationships/hyperlink" Target="https://www.linkedin.com/company/qlearnify/" TargetMode="External"/><Relationship Id="rId4" Type="http://schemas.openxmlformats.org/officeDocument/2006/relationships/hyperlink" Target="https://wa.me/8801511250108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AB127"/>
  <sheetViews>
    <sheetView tabSelected="1" topLeftCell="E7" zoomScale="130" zoomScaleNormal="130" workbookViewId="0">
      <selection activeCell="O22" sqref="O22"/>
    </sheetView>
  </sheetViews>
  <sheetFormatPr defaultRowHeight="15" x14ac:dyDescent="0.25"/>
  <cols>
    <col min="1" max="1" width="9.140625" style="1"/>
    <col min="2" max="2" width="9.140625" style="1" customWidth="1"/>
    <col min="3" max="3" width="32.5703125" style="1" bestFit="1" customWidth="1"/>
    <col min="4" max="7" width="9.140625" style="1"/>
    <col min="8" max="8" width="11.28515625" style="1" bestFit="1" customWidth="1"/>
    <col min="9" max="9" width="19.5703125" style="1" bestFit="1" customWidth="1"/>
    <col min="10" max="10" width="19.7109375" style="1" bestFit="1" customWidth="1"/>
    <col min="11" max="11" width="9.140625" style="1"/>
    <col min="12" max="12" width="17.5703125" style="1" bestFit="1" customWidth="1"/>
    <col min="13" max="13" width="9.42578125" style="1" customWidth="1"/>
    <col min="14" max="24" width="9.140625" style="1"/>
    <col min="25" max="25" width="27.42578125" style="1" bestFit="1" customWidth="1"/>
    <col min="26" max="16384" width="9.140625" style="1"/>
  </cols>
  <sheetData>
    <row r="1" spans="2:28" ht="33.75" x14ac:dyDescent="0.5">
      <c r="B1" s="46" t="s">
        <v>54</v>
      </c>
      <c r="C1" s="46"/>
      <c r="D1" s="46"/>
      <c r="E1" s="46"/>
      <c r="F1" s="46"/>
      <c r="G1" s="46"/>
      <c r="H1" s="46"/>
      <c r="I1" s="46"/>
      <c r="J1" s="46"/>
      <c r="K1" s="46"/>
    </row>
    <row r="2" spans="2:28" ht="56.25" customHeight="1" x14ac:dyDescent="0.25">
      <c r="B2" s="47" t="s">
        <v>55</v>
      </c>
      <c r="C2" s="47"/>
      <c r="D2" s="47"/>
      <c r="E2" s="47"/>
      <c r="F2" s="47"/>
      <c r="G2" s="47"/>
      <c r="H2" s="47"/>
      <c r="I2" s="47"/>
      <c r="J2" s="47"/>
      <c r="K2" s="47"/>
    </row>
    <row r="3" spans="2:28" ht="23.25" x14ac:dyDescent="0.35">
      <c r="B3" s="48" t="s">
        <v>52</v>
      </c>
      <c r="C3" s="48"/>
      <c r="D3" s="48"/>
      <c r="E3" s="48"/>
      <c r="F3" s="48"/>
      <c r="G3" s="48"/>
      <c r="H3" s="48"/>
      <c r="I3" s="48"/>
      <c r="J3" s="48"/>
      <c r="K3" s="48"/>
    </row>
    <row r="4" spans="2:28" x14ac:dyDescent="0.25">
      <c r="B4" s="49" t="s">
        <v>53</v>
      </c>
      <c r="C4" s="49"/>
      <c r="D4" s="49"/>
      <c r="E4" s="49"/>
      <c r="F4" s="49"/>
      <c r="G4" s="49"/>
      <c r="H4" s="49"/>
      <c r="I4" s="49"/>
      <c r="J4" s="49"/>
      <c r="K4" s="49"/>
    </row>
    <row r="6" spans="2:28" ht="15.75" thickBot="1" x14ac:dyDescent="0.3"/>
    <row r="7" spans="2:28" x14ac:dyDescent="0.25">
      <c r="Y7" s="32" t="s">
        <v>18</v>
      </c>
      <c r="Z7" s="33"/>
      <c r="AA7" s="33"/>
      <c r="AB7" s="34"/>
    </row>
    <row r="8" spans="2:28" x14ac:dyDescent="0.25">
      <c r="Y8" s="35"/>
      <c r="Z8" s="36"/>
      <c r="AA8" s="36"/>
      <c r="AB8" s="37"/>
    </row>
    <row r="9" spans="2:28" ht="15.75" thickBot="1" x14ac:dyDescent="0.3">
      <c r="C9" s="42" t="s">
        <v>28</v>
      </c>
      <c r="D9" s="42"/>
      <c r="E9" s="42"/>
      <c r="G9" s="43" t="s">
        <v>32</v>
      </c>
      <c r="H9" s="43"/>
      <c r="I9" s="43"/>
      <c r="J9" s="43"/>
      <c r="K9" s="43"/>
      <c r="L9" s="43"/>
      <c r="M9" s="43"/>
      <c r="O9" s="44" t="s">
        <v>48</v>
      </c>
      <c r="P9" s="44"/>
      <c r="Q9" s="44"/>
      <c r="R9" s="44"/>
      <c r="S9" s="44"/>
      <c r="T9" s="45"/>
      <c r="Y9" s="38"/>
      <c r="Z9" s="39"/>
      <c r="AA9" s="39"/>
      <c r="AB9" s="40"/>
    </row>
    <row r="10" spans="2:28" ht="15.75" thickBot="1" x14ac:dyDescent="0.3">
      <c r="C10" s="42"/>
      <c r="D10" s="42"/>
      <c r="E10" s="42"/>
      <c r="G10" s="43"/>
      <c r="H10" s="43"/>
      <c r="I10" s="43"/>
      <c r="J10" s="43"/>
      <c r="K10" s="43"/>
      <c r="L10" s="43"/>
      <c r="M10" s="43"/>
      <c r="O10" s="3" t="s">
        <v>50</v>
      </c>
      <c r="P10" s="3" t="s">
        <v>49</v>
      </c>
      <c r="Q10" s="3" t="s">
        <v>49</v>
      </c>
      <c r="R10" s="3" t="s">
        <v>9</v>
      </c>
      <c r="S10" s="4" t="s">
        <v>50</v>
      </c>
      <c r="T10" s="4" t="s">
        <v>26</v>
      </c>
      <c r="Y10" s="5" t="s">
        <v>7</v>
      </c>
      <c r="Z10" s="5"/>
      <c r="AA10" s="6" t="s">
        <v>8</v>
      </c>
      <c r="AB10" s="6" t="s">
        <v>9</v>
      </c>
    </row>
    <row r="11" spans="2:28" ht="15.75" thickBot="1" x14ac:dyDescent="0.3">
      <c r="C11" s="7" t="s">
        <v>7</v>
      </c>
      <c r="D11" s="7" t="s">
        <v>8</v>
      </c>
      <c r="E11" s="7" t="s">
        <v>9</v>
      </c>
      <c r="G11" s="8" t="s">
        <v>31</v>
      </c>
      <c r="H11" s="8" t="s">
        <v>27</v>
      </c>
      <c r="I11" s="8" t="s">
        <v>47</v>
      </c>
      <c r="J11" s="8" t="s">
        <v>46</v>
      </c>
      <c r="K11" s="8" t="s">
        <v>29</v>
      </c>
      <c r="L11" s="8" t="s">
        <v>30</v>
      </c>
      <c r="M11" s="8" t="s">
        <v>6</v>
      </c>
      <c r="O11" s="27">
        <v>1.850576</v>
      </c>
      <c r="P11" s="9">
        <f>O11/12</f>
        <v>0.15421466666666667</v>
      </c>
      <c r="Q11" s="2">
        <v>8</v>
      </c>
      <c r="R11" s="10">
        <f>IF(Q11="","",Q11/3.28)</f>
        <v>2.4390243902439024</v>
      </c>
      <c r="S11" s="28">
        <v>1.4616480000000001</v>
      </c>
      <c r="T11" s="11">
        <f>IF(O11="","",O11*25.4)</f>
        <v>47.004630399999996</v>
      </c>
      <c r="Y11" s="12" t="s">
        <v>10</v>
      </c>
      <c r="Z11" s="12" t="s">
        <v>11</v>
      </c>
      <c r="AA11" s="13">
        <v>4.6600000000000003E-2</v>
      </c>
      <c r="AB11" s="13">
        <v>0.9</v>
      </c>
    </row>
    <row r="12" spans="2:28" ht="15.75" thickBot="1" x14ac:dyDescent="0.3">
      <c r="C12" s="14" t="s">
        <v>10</v>
      </c>
      <c r="D12" s="15">
        <f>VLOOKUP(C12,Y11:AB14,3,0)</f>
        <v>4.6600000000000003E-2</v>
      </c>
      <c r="E12" s="15">
        <f>VLOOKUP(C12,Y11:AB14,4,0)</f>
        <v>0.9</v>
      </c>
      <c r="G12" s="16" t="s">
        <v>51</v>
      </c>
      <c r="H12" s="17" t="s">
        <v>74</v>
      </c>
      <c r="I12" s="17">
        <v>3.0487804878048781</v>
      </c>
      <c r="J12" s="17">
        <v>1.4197838</v>
      </c>
      <c r="K12" s="18">
        <f>I12</f>
        <v>3.0487804878048781</v>
      </c>
      <c r="L12" s="29">
        <f>(K12*1000)/500</f>
        <v>6.0975609756097562</v>
      </c>
      <c r="M12" s="19" t="str">
        <f t="shared" ref="M12:M23" si="0">IF(L12&gt;J12,"OK","Not OK")</f>
        <v>OK</v>
      </c>
      <c r="O12" s="27">
        <v>1.726372</v>
      </c>
      <c r="P12" s="9">
        <f t="shared" ref="P12:P75" si="1">O12/12</f>
        <v>0.14386433333333334</v>
      </c>
      <c r="Q12" s="2">
        <v>18</v>
      </c>
      <c r="R12" s="10">
        <f t="shared" ref="R12:R75" si="2">IF(Q12="","",Q12/3.28)</f>
        <v>5.4878048780487809</v>
      </c>
      <c r="S12" s="28">
        <v>1.349675</v>
      </c>
      <c r="T12" s="11">
        <f t="shared" ref="T12:T22" si="3">IF(O12="","",O12*25.4)</f>
        <v>43.849848799999997</v>
      </c>
      <c r="Y12" s="21" t="s">
        <v>12</v>
      </c>
      <c r="Z12" s="21" t="s">
        <v>13</v>
      </c>
      <c r="AA12" s="13">
        <v>7.2400000000000006E-2</v>
      </c>
      <c r="AB12" s="13">
        <v>0.8</v>
      </c>
    </row>
    <row r="13" spans="2:28" ht="15.75" thickBot="1" x14ac:dyDescent="0.3">
      <c r="C13" s="22" t="s">
        <v>19</v>
      </c>
      <c r="D13" s="23">
        <v>46.95</v>
      </c>
      <c r="E13" s="7" t="s">
        <v>20</v>
      </c>
      <c r="G13" s="16" t="s">
        <v>0</v>
      </c>
      <c r="H13" s="17" t="s">
        <v>75</v>
      </c>
      <c r="I13" s="17">
        <v>3.0487804878048781</v>
      </c>
      <c r="J13" s="17">
        <v>4.3670473999999997</v>
      </c>
      <c r="K13" s="18">
        <f>IF(I13="","",(I13+K12))</f>
        <v>6.0975609756097562</v>
      </c>
      <c r="L13" s="29">
        <f t="shared" ref="L13:L31" si="4">(K13*1000)/500</f>
        <v>12.195121951219512</v>
      </c>
      <c r="M13" s="19" t="str">
        <f t="shared" si="0"/>
        <v>OK</v>
      </c>
      <c r="O13" s="27">
        <v>1.9575899999999999</v>
      </c>
      <c r="P13" s="9">
        <f t="shared" si="1"/>
        <v>0.16313249999999999</v>
      </c>
      <c r="Q13" s="2">
        <v>28</v>
      </c>
      <c r="R13" s="10">
        <f t="shared" si="2"/>
        <v>8.536585365853659</v>
      </c>
      <c r="S13" s="28">
        <v>1.206062</v>
      </c>
      <c r="T13" s="11">
        <f t="shared" si="3"/>
        <v>49.722785999999999</v>
      </c>
      <c r="Y13" s="12" t="s">
        <v>14</v>
      </c>
      <c r="Z13" s="12" t="s">
        <v>15</v>
      </c>
      <c r="AA13" s="13">
        <v>7.3099999999999998E-2</v>
      </c>
      <c r="AB13" s="13">
        <v>0.75</v>
      </c>
    </row>
    <row r="14" spans="2:28" ht="15.75" thickBot="1" x14ac:dyDescent="0.3">
      <c r="C14" s="22" t="s">
        <v>22</v>
      </c>
      <c r="D14" s="24">
        <f>D12*D13^E12</f>
        <v>1.4888740263049227</v>
      </c>
      <c r="E14" s="25" t="s">
        <v>23</v>
      </c>
      <c r="G14" s="16" t="s">
        <v>1</v>
      </c>
      <c r="H14" s="17" t="s">
        <v>76</v>
      </c>
      <c r="I14" s="17">
        <v>3.0487804878048781</v>
      </c>
      <c r="J14" s="17">
        <v>8.1195925999999989</v>
      </c>
      <c r="K14" s="18">
        <f t="shared" ref="K14:K31" si="5">IF(I14="","",(I14+K13))</f>
        <v>9.1463414634146343</v>
      </c>
      <c r="L14" s="29">
        <f t="shared" si="4"/>
        <v>18.292682926829269</v>
      </c>
      <c r="M14" s="19" t="str">
        <f t="shared" si="0"/>
        <v>OK</v>
      </c>
      <c r="O14" s="27">
        <v>1.7980910000000001</v>
      </c>
      <c r="P14" s="9">
        <f t="shared" si="1"/>
        <v>0.14984091666666668</v>
      </c>
      <c r="Q14" s="2">
        <v>38</v>
      </c>
      <c r="R14" s="10">
        <f t="shared" si="2"/>
        <v>11.585365853658537</v>
      </c>
      <c r="S14" s="28">
        <v>1.0577639999999999</v>
      </c>
      <c r="T14" s="11">
        <f t="shared" si="3"/>
        <v>45.6715114</v>
      </c>
      <c r="Y14" s="21" t="s">
        <v>16</v>
      </c>
      <c r="Z14" s="21" t="s">
        <v>17</v>
      </c>
      <c r="AA14" s="13">
        <v>4.8800000000000003E-2</v>
      </c>
      <c r="AB14" s="13">
        <v>0.75</v>
      </c>
    </row>
    <row r="15" spans="2:28" ht="15.75" thickBot="1" x14ac:dyDescent="0.3">
      <c r="C15" s="22" t="s">
        <v>25</v>
      </c>
      <c r="D15" s="23">
        <v>2.0599999999999999E-4</v>
      </c>
      <c r="E15" s="25" t="s">
        <v>26</v>
      </c>
      <c r="G15" s="16" t="s">
        <v>2</v>
      </c>
      <c r="H15" s="17" t="s">
        <v>77</v>
      </c>
      <c r="I15" s="17">
        <v>3.0487804878048781</v>
      </c>
      <c r="J15" s="17">
        <v>12.273102199999999</v>
      </c>
      <c r="K15" s="18">
        <f t="shared" si="5"/>
        <v>12.195121951219512</v>
      </c>
      <c r="L15" s="29">
        <f t="shared" si="4"/>
        <v>24.390243902439025</v>
      </c>
      <c r="M15" s="19" t="str">
        <f t="shared" si="0"/>
        <v>OK</v>
      </c>
      <c r="O15" s="27">
        <v>1.6145590000000001</v>
      </c>
      <c r="P15" s="9">
        <f t="shared" si="1"/>
        <v>0.13454658333333333</v>
      </c>
      <c r="Q15" s="2">
        <v>48</v>
      </c>
      <c r="R15" s="10">
        <f t="shared" si="2"/>
        <v>14.634146341463415</v>
      </c>
      <c r="S15" s="28">
        <v>0.90396699999999996</v>
      </c>
      <c r="T15" s="11">
        <f t="shared" si="3"/>
        <v>41.009798599999996</v>
      </c>
    </row>
    <row r="16" spans="2:28" ht="15.75" thickBot="1" x14ac:dyDescent="0.3">
      <c r="G16" s="16" t="s">
        <v>3</v>
      </c>
      <c r="H16" s="17" t="s">
        <v>78</v>
      </c>
      <c r="I16" s="17">
        <v>3.0487804878048781</v>
      </c>
      <c r="J16" s="17">
        <v>16.530243799999997</v>
      </c>
      <c r="K16" s="18">
        <f t="shared" si="5"/>
        <v>15.24390243902439</v>
      </c>
      <c r="L16" s="29">
        <f>(K16*1000)/500</f>
        <v>30.487804878048781</v>
      </c>
      <c r="M16" s="19" t="str">
        <f t="shared" si="0"/>
        <v>OK</v>
      </c>
      <c r="O16" s="27">
        <v>1.408031</v>
      </c>
      <c r="P16" s="9">
        <f t="shared" si="1"/>
        <v>0.11733591666666666</v>
      </c>
      <c r="Q16" s="2">
        <v>58</v>
      </c>
      <c r="R16" s="10">
        <f t="shared" si="2"/>
        <v>17.682926829268293</v>
      </c>
      <c r="S16" s="28">
        <v>0.74673599999999996</v>
      </c>
      <c r="T16" s="11">
        <f t="shared" si="3"/>
        <v>35.763987399999998</v>
      </c>
    </row>
    <row r="17" spans="3:20" ht="15.75" thickBot="1" x14ac:dyDescent="0.3">
      <c r="G17" s="16" t="s">
        <v>4</v>
      </c>
      <c r="H17" s="17" t="s">
        <v>79</v>
      </c>
      <c r="I17" s="17">
        <v>3.0487804878048781</v>
      </c>
      <c r="J17" s="17">
        <v>20.688452399999999</v>
      </c>
      <c r="K17" s="18">
        <f t="shared" si="5"/>
        <v>18.292682926829269</v>
      </c>
      <c r="L17" s="29">
        <f t="shared" si="4"/>
        <v>36.585365853658537</v>
      </c>
      <c r="M17" s="19" t="str">
        <f t="shared" si="0"/>
        <v>OK</v>
      </c>
      <c r="O17" s="27">
        <v>1.1819759999999999</v>
      </c>
      <c r="P17" s="9">
        <f t="shared" si="1"/>
        <v>9.8497999999999988E-2</v>
      </c>
      <c r="Q17" s="2">
        <v>68</v>
      </c>
      <c r="R17" s="10">
        <f t="shared" si="2"/>
        <v>20.731707317073173</v>
      </c>
      <c r="S17" s="28">
        <v>0.58950599999999997</v>
      </c>
      <c r="T17" s="11">
        <f t="shared" si="3"/>
        <v>30.022190399999996</v>
      </c>
    </row>
    <row r="18" spans="3:20" ht="15.75" thickBot="1" x14ac:dyDescent="0.3">
      <c r="G18" s="16" t="s">
        <v>33</v>
      </c>
      <c r="H18" s="17" t="s">
        <v>80</v>
      </c>
      <c r="I18" s="17">
        <v>3.0487804878048781</v>
      </c>
      <c r="J18" s="17">
        <v>24.618441999999998</v>
      </c>
      <c r="K18" s="18">
        <f t="shared" si="5"/>
        <v>21.341463414634148</v>
      </c>
      <c r="L18" s="29">
        <f t="shared" si="4"/>
        <v>42.682926829268297</v>
      </c>
      <c r="M18" s="19" t="str">
        <f t="shared" si="0"/>
        <v>OK</v>
      </c>
      <c r="O18" s="27">
        <v>0.94303700000000001</v>
      </c>
      <c r="P18" s="9">
        <f t="shared" si="1"/>
        <v>7.8586416666666672E-2</v>
      </c>
      <c r="Q18" s="2">
        <v>78</v>
      </c>
      <c r="R18" s="10">
        <f t="shared" si="2"/>
        <v>23.780487804878049</v>
      </c>
      <c r="S18" s="28">
        <v>0.43679099999999998</v>
      </c>
      <c r="T18" s="11">
        <f t="shared" si="3"/>
        <v>23.953139799999999</v>
      </c>
    </row>
    <row r="19" spans="3:20" ht="15.75" thickBot="1" x14ac:dyDescent="0.3">
      <c r="C19" s="22" t="s">
        <v>24</v>
      </c>
      <c r="D19" s="25">
        <f>IF(D14&lt;0.7,(0.005*D13),(0.004*D13))</f>
        <v>0.18780000000000002</v>
      </c>
      <c r="E19" s="25" t="s">
        <v>26</v>
      </c>
      <c r="G19" s="16" t="s">
        <v>34</v>
      </c>
      <c r="H19" s="17" t="s">
        <v>81</v>
      </c>
      <c r="I19" s="17">
        <v>3.0487804878048781</v>
      </c>
      <c r="J19" s="17">
        <v>28.255112399999998</v>
      </c>
      <c r="K19" s="18">
        <f t="shared" si="5"/>
        <v>24.390243902439025</v>
      </c>
      <c r="L19" s="29">
        <f t="shared" si="4"/>
        <v>48.780487804878049</v>
      </c>
      <c r="M19" s="19" t="str">
        <f t="shared" si="0"/>
        <v>OK</v>
      </c>
      <c r="O19" s="27">
        <v>0.70035999999999998</v>
      </c>
      <c r="P19" s="9">
        <f t="shared" si="1"/>
        <v>5.836333333333333E-2</v>
      </c>
      <c r="Q19" s="2">
        <v>88</v>
      </c>
      <c r="R19" s="10">
        <f t="shared" si="2"/>
        <v>26.829268292682929</v>
      </c>
      <c r="S19" s="28">
        <v>0.294155</v>
      </c>
      <c r="T19" s="11">
        <f t="shared" si="3"/>
        <v>17.789144</v>
      </c>
    </row>
    <row r="20" spans="3:20" ht="15.75" thickBot="1" x14ac:dyDescent="0.3">
      <c r="G20" s="16" t="s">
        <v>35</v>
      </c>
      <c r="H20" s="17" t="s">
        <v>82</v>
      </c>
      <c r="I20" s="17">
        <v>3.0487804878048781</v>
      </c>
      <c r="J20" s="17">
        <v>31.597295200000001</v>
      </c>
      <c r="K20" s="18">
        <f t="shared" si="5"/>
        <v>27.439024390243901</v>
      </c>
      <c r="L20" s="29">
        <f t="shared" si="4"/>
        <v>54.878048780487802</v>
      </c>
      <c r="M20" s="19" t="str">
        <f t="shared" si="0"/>
        <v>OK</v>
      </c>
      <c r="O20" s="27">
        <v>0.46565699999999999</v>
      </c>
      <c r="P20" s="9">
        <f t="shared" si="1"/>
        <v>3.8804749999999999E-2</v>
      </c>
      <c r="Q20" s="2">
        <v>98</v>
      </c>
      <c r="R20" s="10">
        <f t="shared" si="2"/>
        <v>29.878048780487806</v>
      </c>
      <c r="S20" s="28">
        <v>0.169513</v>
      </c>
      <c r="T20" s="11">
        <f t="shared" si="3"/>
        <v>11.8276878</v>
      </c>
    </row>
    <row r="21" spans="3:20" ht="15.75" thickBot="1" x14ac:dyDescent="0.3">
      <c r="G21" s="16" t="s">
        <v>36</v>
      </c>
      <c r="H21" s="17" t="s">
        <v>83</v>
      </c>
      <c r="I21" s="17">
        <v>3.0487804878048781</v>
      </c>
      <c r="J21" s="17">
        <v>34.6957904</v>
      </c>
      <c r="K21" s="18">
        <f t="shared" si="5"/>
        <v>30.487804878048777</v>
      </c>
      <c r="L21" s="29">
        <f t="shared" si="4"/>
        <v>60.975609756097555</v>
      </c>
      <c r="M21" s="19" t="str">
        <f t="shared" si="0"/>
        <v>OK</v>
      </c>
      <c r="O21" s="27">
        <v>0.25416499999999997</v>
      </c>
      <c r="P21" s="9">
        <f t="shared" si="1"/>
        <v>2.1180416666666663E-2</v>
      </c>
      <c r="Q21" s="2">
        <v>108</v>
      </c>
      <c r="R21" s="10">
        <f t="shared" si="2"/>
        <v>32.926829268292686</v>
      </c>
      <c r="S21" s="28">
        <v>7.2552000000000005E-2</v>
      </c>
      <c r="T21" s="11">
        <f t="shared" si="3"/>
        <v>6.4557909999999987</v>
      </c>
    </row>
    <row r="22" spans="3:20" ht="15.75" thickBot="1" x14ac:dyDescent="0.3">
      <c r="C22" s="41" t="str">
        <f>IF(D15="","Please Input Value",IF(D15&lt;=D19,"Check is Ok.","Check is Not ok."))</f>
        <v>Check is Ok.</v>
      </c>
      <c r="D22" s="41"/>
      <c r="E22" s="41"/>
      <c r="G22" s="16" t="s">
        <v>5</v>
      </c>
      <c r="H22" s="17" t="s">
        <v>84</v>
      </c>
      <c r="I22" s="17">
        <v>3.0487804878048781</v>
      </c>
      <c r="J22" s="17">
        <v>37.336602999999997</v>
      </c>
      <c r="K22" s="18">
        <f t="shared" si="5"/>
        <v>33.536585365853654</v>
      </c>
      <c r="L22" s="29">
        <f t="shared" si="4"/>
        <v>67.073170731707307</v>
      </c>
      <c r="M22" s="19" t="str">
        <f t="shared" si="0"/>
        <v>OK</v>
      </c>
      <c r="O22" s="27">
        <v>8.5539000000000004E-2</v>
      </c>
      <c r="P22" s="9">
        <f t="shared" si="1"/>
        <v>7.12825E-3</v>
      </c>
      <c r="Q22" s="2">
        <v>118</v>
      </c>
      <c r="R22" s="10">
        <f t="shared" si="2"/>
        <v>35.975609756097562</v>
      </c>
      <c r="S22" s="17"/>
      <c r="T22" s="11">
        <f t="shared" si="3"/>
        <v>2.1726906000000001</v>
      </c>
    </row>
    <row r="23" spans="3:20" ht="15.75" thickBot="1" x14ac:dyDescent="0.3">
      <c r="C23" s="41"/>
      <c r="D23" s="41"/>
      <c r="E23" s="41"/>
      <c r="G23" s="16" t="s">
        <v>37</v>
      </c>
      <c r="H23" s="17" t="s">
        <v>85</v>
      </c>
      <c r="I23" s="17">
        <v>2.4390243902439024</v>
      </c>
      <c r="J23" s="17">
        <v>39.896364200000001</v>
      </c>
      <c r="K23" s="18">
        <f t="shared" si="5"/>
        <v>35.975609756097555</v>
      </c>
      <c r="L23" s="29">
        <f t="shared" si="4"/>
        <v>71.951219512195109</v>
      </c>
      <c r="M23" s="19" t="str">
        <f t="shared" si="0"/>
        <v>OK</v>
      </c>
      <c r="O23" s="2"/>
      <c r="P23" s="9">
        <f t="shared" si="1"/>
        <v>0</v>
      </c>
      <c r="Q23" s="2">
        <v>128</v>
      </c>
      <c r="R23" s="10">
        <f t="shared" si="2"/>
        <v>39.024390243902438</v>
      </c>
      <c r="S23" s="20"/>
      <c r="T23" s="11" t="str">
        <f t="shared" ref="T23:T75" si="6">IF(S23="","",S23*25.4)</f>
        <v/>
      </c>
    </row>
    <row r="24" spans="3:20" ht="15.75" thickBot="1" x14ac:dyDescent="0.3">
      <c r="G24" s="16" t="s">
        <v>38</v>
      </c>
      <c r="H24" s="17"/>
      <c r="I24" s="17"/>
      <c r="J24" s="17"/>
      <c r="K24" s="18" t="str">
        <f t="shared" si="5"/>
        <v/>
      </c>
      <c r="L24" s="29" t="e">
        <f t="shared" si="4"/>
        <v>#VALUE!</v>
      </c>
      <c r="M24" s="19" t="e">
        <f t="shared" ref="M24:M31" si="7">IF(L24&gt;J24,"OK","Not OK")</f>
        <v>#VALUE!</v>
      </c>
      <c r="O24" s="2"/>
      <c r="P24" s="9">
        <f t="shared" si="1"/>
        <v>0</v>
      </c>
      <c r="Q24" s="2">
        <v>138</v>
      </c>
      <c r="R24" s="10">
        <f t="shared" si="2"/>
        <v>42.073170731707322</v>
      </c>
      <c r="S24" s="20"/>
      <c r="T24" s="11" t="str">
        <f t="shared" si="6"/>
        <v/>
      </c>
    </row>
    <row r="25" spans="3:20" ht="15.75" thickBot="1" x14ac:dyDescent="0.3">
      <c r="G25" s="16" t="s">
        <v>39</v>
      </c>
      <c r="H25" s="17"/>
      <c r="I25" s="17"/>
      <c r="J25" s="17"/>
      <c r="K25" s="18" t="str">
        <f t="shared" si="5"/>
        <v/>
      </c>
      <c r="L25" s="29" t="e">
        <f t="shared" si="4"/>
        <v>#VALUE!</v>
      </c>
      <c r="M25" s="19" t="e">
        <f t="shared" si="7"/>
        <v>#VALUE!</v>
      </c>
      <c r="O25" s="2"/>
      <c r="P25" s="9">
        <f t="shared" si="1"/>
        <v>0</v>
      </c>
      <c r="Q25" s="2">
        <v>148</v>
      </c>
      <c r="R25" s="10">
        <f t="shared" si="2"/>
        <v>45.121951219512198</v>
      </c>
      <c r="S25" s="20"/>
      <c r="T25" s="11" t="str">
        <f t="shared" si="6"/>
        <v/>
      </c>
    </row>
    <row r="26" spans="3:20" ht="15.75" thickBot="1" x14ac:dyDescent="0.3">
      <c r="G26" s="16" t="s">
        <v>40</v>
      </c>
      <c r="H26" s="17"/>
      <c r="I26" s="17"/>
      <c r="J26" s="17"/>
      <c r="K26" s="18" t="str">
        <f t="shared" si="5"/>
        <v/>
      </c>
      <c r="L26" s="29" t="e">
        <f t="shared" si="4"/>
        <v>#VALUE!</v>
      </c>
      <c r="M26" s="19" t="e">
        <f t="shared" si="7"/>
        <v>#VALUE!</v>
      </c>
      <c r="O26" s="2"/>
      <c r="P26" s="9">
        <f t="shared" si="1"/>
        <v>0</v>
      </c>
      <c r="Q26" s="2">
        <v>158</v>
      </c>
      <c r="R26" s="10">
        <f t="shared" si="2"/>
        <v>48.170731707317074</v>
      </c>
      <c r="S26" s="20"/>
      <c r="T26" s="11" t="str">
        <f t="shared" si="6"/>
        <v/>
      </c>
    </row>
    <row r="27" spans="3:20" ht="15.75" thickBot="1" x14ac:dyDescent="0.3">
      <c r="G27" s="16" t="s">
        <v>41</v>
      </c>
      <c r="H27" s="17"/>
      <c r="I27" s="17"/>
      <c r="J27" s="17"/>
      <c r="K27" s="18" t="str">
        <f t="shared" si="5"/>
        <v/>
      </c>
      <c r="L27" s="29" t="e">
        <f t="shared" si="4"/>
        <v>#VALUE!</v>
      </c>
      <c r="M27" s="19" t="e">
        <f t="shared" si="7"/>
        <v>#VALUE!</v>
      </c>
      <c r="O27" s="2"/>
      <c r="P27" s="9">
        <f t="shared" si="1"/>
        <v>0</v>
      </c>
      <c r="Q27" s="2"/>
      <c r="R27" s="10" t="str">
        <f t="shared" si="2"/>
        <v/>
      </c>
      <c r="S27" s="20">
        <v>0.16328899999999999</v>
      </c>
      <c r="T27" s="11">
        <f t="shared" si="6"/>
        <v>4.1475405999999992</v>
      </c>
    </row>
    <row r="28" spans="3:20" ht="15.75" thickBot="1" x14ac:dyDescent="0.3">
      <c r="G28" s="16" t="s">
        <v>42</v>
      </c>
      <c r="H28" s="17"/>
      <c r="I28" s="17"/>
      <c r="J28" s="17"/>
      <c r="K28" s="18" t="str">
        <f t="shared" si="5"/>
        <v/>
      </c>
      <c r="L28" s="29" t="e">
        <f t="shared" si="4"/>
        <v>#VALUE!</v>
      </c>
      <c r="M28" s="19" t="e">
        <f t="shared" si="7"/>
        <v>#VALUE!</v>
      </c>
      <c r="O28" s="2"/>
      <c r="P28" s="9">
        <f t="shared" si="1"/>
        <v>0</v>
      </c>
      <c r="Q28" s="2"/>
      <c r="R28" s="10" t="str">
        <f t="shared" si="2"/>
        <v/>
      </c>
      <c r="S28" s="20">
        <v>0.33011400000000002</v>
      </c>
      <c r="T28" s="11">
        <f t="shared" si="6"/>
        <v>8.3848956000000001</v>
      </c>
    </row>
    <row r="29" spans="3:20" ht="15.75" thickBot="1" x14ac:dyDescent="0.3">
      <c r="G29" s="16" t="s">
        <v>43</v>
      </c>
      <c r="H29" s="17"/>
      <c r="I29" s="17"/>
      <c r="J29" s="17"/>
      <c r="K29" s="18" t="str">
        <f t="shared" si="5"/>
        <v/>
      </c>
      <c r="L29" s="29" t="e">
        <f t="shared" si="4"/>
        <v>#VALUE!</v>
      </c>
      <c r="M29" s="19" t="e">
        <f t="shared" si="7"/>
        <v>#VALUE!</v>
      </c>
      <c r="O29" s="2"/>
      <c r="P29" s="9">
        <f t="shared" si="1"/>
        <v>0</v>
      </c>
      <c r="Q29" s="2"/>
      <c r="R29" s="10" t="str">
        <f t="shared" si="2"/>
        <v/>
      </c>
      <c r="S29" s="20">
        <v>0.50257099999999999</v>
      </c>
      <c r="T29" s="11">
        <f t="shared" si="6"/>
        <v>12.765303399999999</v>
      </c>
    </row>
    <row r="30" spans="3:20" ht="15.75" thickBot="1" x14ac:dyDescent="0.3">
      <c r="G30" s="16" t="s">
        <v>44</v>
      </c>
      <c r="H30" s="17"/>
      <c r="I30" s="17"/>
      <c r="J30" s="17"/>
      <c r="K30" s="18" t="str">
        <f t="shared" si="5"/>
        <v/>
      </c>
      <c r="L30" s="29" t="e">
        <f t="shared" si="4"/>
        <v>#VALUE!</v>
      </c>
      <c r="M30" s="19" t="e">
        <f t="shared" si="7"/>
        <v>#VALUE!</v>
      </c>
      <c r="O30" s="2"/>
      <c r="P30" s="9">
        <f t="shared" si="1"/>
        <v>0</v>
      </c>
      <c r="Q30" s="2"/>
      <c r="R30" s="10" t="str">
        <f t="shared" si="2"/>
        <v/>
      </c>
      <c r="S30" s="20">
        <v>0.66466999999999998</v>
      </c>
      <c r="T30" s="11">
        <f t="shared" si="6"/>
        <v>16.882617999999997</v>
      </c>
    </row>
    <row r="31" spans="3:20" ht="15.75" thickBot="1" x14ac:dyDescent="0.3">
      <c r="G31" s="16" t="s">
        <v>45</v>
      </c>
      <c r="H31" s="17"/>
      <c r="I31" s="17"/>
      <c r="J31" s="17"/>
      <c r="K31" s="18" t="str">
        <f t="shared" si="5"/>
        <v/>
      </c>
      <c r="L31" s="29" t="e">
        <f t="shared" si="4"/>
        <v>#VALUE!</v>
      </c>
      <c r="M31" s="19" t="e">
        <f t="shared" si="7"/>
        <v>#VALUE!</v>
      </c>
      <c r="O31" s="2"/>
      <c r="P31" s="9">
        <f t="shared" si="1"/>
        <v>0</v>
      </c>
      <c r="Q31" s="2"/>
      <c r="R31" s="10" t="str">
        <f t="shared" si="2"/>
        <v/>
      </c>
      <c r="S31" s="20">
        <v>0.80561400000000005</v>
      </c>
      <c r="T31" s="11">
        <f t="shared" si="6"/>
        <v>20.4625956</v>
      </c>
    </row>
    <row r="32" spans="3:20" ht="15.75" thickBot="1" x14ac:dyDescent="0.3">
      <c r="O32" s="2"/>
      <c r="P32" s="9">
        <f t="shared" si="1"/>
        <v>0</v>
      </c>
      <c r="Q32" s="2"/>
      <c r="R32" s="10" t="str">
        <f t="shared" si="2"/>
        <v/>
      </c>
      <c r="S32" s="20">
        <v>0.92066000000000003</v>
      </c>
      <c r="T32" s="11">
        <f t="shared" si="6"/>
        <v>23.384764000000001</v>
      </c>
    </row>
    <row r="33" spans="3:20" ht="15.75" thickBot="1" x14ac:dyDescent="0.3">
      <c r="O33" s="2"/>
      <c r="P33" s="9">
        <f t="shared" si="1"/>
        <v>0</v>
      </c>
      <c r="Q33" s="2"/>
      <c r="R33" s="10" t="str">
        <f t="shared" si="2"/>
        <v/>
      </c>
      <c r="S33" s="20">
        <v>0.89370899999999998</v>
      </c>
      <c r="T33" s="11">
        <f t="shared" si="6"/>
        <v>22.7002086</v>
      </c>
    </row>
    <row r="34" spans="3:20" ht="15.75" thickBot="1" x14ac:dyDescent="0.3">
      <c r="O34" s="2"/>
      <c r="P34" s="9">
        <f t="shared" si="1"/>
        <v>0</v>
      </c>
      <c r="Q34" s="2"/>
      <c r="R34" s="10" t="str">
        <f t="shared" si="2"/>
        <v/>
      </c>
      <c r="S34" s="20"/>
      <c r="T34" s="11" t="str">
        <f t="shared" si="6"/>
        <v/>
      </c>
    </row>
    <row r="35" spans="3:20" ht="15.75" thickBot="1" x14ac:dyDescent="0.3">
      <c r="O35" s="2"/>
      <c r="P35" s="9">
        <f t="shared" si="1"/>
        <v>0</v>
      </c>
      <c r="Q35" s="2"/>
      <c r="R35" s="10" t="str">
        <f t="shared" si="2"/>
        <v/>
      </c>
      <c r="S35" s="20"/>
      <c r="T35" s="11" t="str">
        <f t="shared" si="6"/>
        <v/>
      </c>
    </row>
    <row r="36" spans="3:20" ht="15.75" thickBot="1" x14ac:dyDescent="0.3">
      <c r="O36" s="2"/>
      <c r="P36" s="9">
        <f t="shared" si="1"/>
        <v>0</v>
      </c>
      <c r="Q36" s="2"/>
      <c r="R36" s="10" t="str">
        <f t="shared" si="2"/>
        <v/>
      </c>
      <c r="S36" s="20"/>
      <c r="T36" s="11" t="str">
        <f t="shared" si="6"/>
        <v/>
      </c>
    </row>
    <row r="37" spans="3:20" ht="15.75" thickBot="1" x14ac:dyDescent="0.3">
      <c r="O37" s="2"/>
      <c r="P37" s="9">
        <f t="shared" si="1"/>
        <v>0</v>
      </c>
      <c r="Q37" s="2"/>
      <c r="R37" s="10" t="str">
        <f t="shared" si="2"/>
        <v/>
      </c>
      <c r="S37" s="20"/>
      <c r="T37" s="11" t="str">
        <f t="shared" si="6"/>
        <v/>
      </c>
    </row>
    <row r="38" spans="3:20" ht="15.75" thickBot="1" x14ac:dyDescent="0.3">
      <c r="O38" s="2"/>
      <c r="P38" s="9">
        <f t="shared" si="1"/>
        <v>0</v>
      </c>
      <c r="Q38" s="2"/>
      <c r="R38" s="10" t="str">
        <f t="shared" si="2"/>
        <v/>
      </c>
      <c r="S38" s="20"/>
      <c r="T38" s="11" t="str">
        <f t="shared" si="6"/>
        <v/>
      </c>
    </row>
    <row r="39" spans="3:20" ht="15.75" thickBot="1" x14ac:dyDescent="0.3">
      <c r="O39" s="2"/>
      <c r="P39" s="9">
        <f t="shared" si="1"/>
        <v>0</v>
      </c>
      <c r="Q39" s="2"/>
      <c r="R39" s="10" t="str">
        <f t="shared" si="2"/>
        <v/>
      </c>
      <c r="S39" s="20"/>
      <c r="T39" s="11" t="str">
        <f t="shared" si="6"/>
        <v/>
      </c>
    </row>
    <row r="40" spans="3:20" ht="15.75" thickBot="1" x14ac:dyDescent="0.3">
      <c r="O40" s="2"/>
      <c r="P40" s="9">
        <f t="shared" si="1"/>
        <v>0</v>
      </c>
      <c r="Q40" s="2"/>
      <c r="R40" s="10" t="str">
        <f t="shared" si="2"/>
        <v/>
      </c>
      <c r="S40" s="20"/>
      <c r="T40" s="11" t="str">
        <f t="shared" si="6"/>
        <v/>
      </c>
    </row>
    <row r="41" spans="3:20" ht="15.75" thickBot="1" x14ac:dyDescent="0.3">
      <c r="O41" s="2"/>
      <c r="P41" s="9">
        <f t="shared" si="1"/>
        <v>0</v>
      </c>
      <c r="Q41" s="2"/>
      <c r="R41" s="10" t="str">
        <f t="shared" si="2"/>
        <v/>
      </c>
      <c r="S41" s="20"/>
      <c r="T41" s="11" t="str">
        <f t="shared" si="6"/>
        <v/>
      </c>
    </row>
    <row r="42" spans="3:20" ht="15.75" thickBot="1" x14ac:dyDescent="0.3">
      <c r="O42" s="2"/>
      <c r="P42" s="9">
        <f t="shared" si="1"/>
        <v>0</v>
      </c>
      <c r="Q42" s="2"/>
      <c r="R42" s="10" t="str">
        <f t="shared" si="2"/>
        <v/>
      </c>
      <c r="S42" s="20"/>
      <c r="T42" s="11" t="str">
        <f t="shared" si="6"/>
        <v/>
      </c>
    </row>
    <row r="43" spans="3:20" ht="15.75" thickBot="1" x14ac:dyDescent="0.3">
      <c r="C43" s="1" t="s">
        <v>21</v>
      </c>
      <c r="O43" s="2"/>
      <c r="P43" s="9">
        <f t="shared" si="1"/>
        <v>0</v>
      </c>
      <c r="Q43" s="2"/>
      <c r="R43" s="10" t="str">
        <f t="shared" si="2"/>
        <v/>
      </c>
      <c r="S43" s="20"/>
      <c r="T43" s="11" t="str">
        <f t="shared" si="6"/>
        <v/>
      </c>
    </row>
    <row r="44" spans="3:20" ht="15.75" thickBot="1" x14ac:dyDescent="0.3">
      <c r="O44" s="2"/>
      <c r="P44" s="9">
        <f t="shared" si="1"/>
        <v>0</v>
      </c>
      <c r="Q44" s="2"/>
      <c r="R44" s="10" t="str">
        <f t="shared" si="2"/>
        <v/>
      </c>
      <c r="S44" s="20"/>
      <c r="T44" s="11" t="str">
        <f t="shared" si="6"/>
        <v/>
      </c>
    </row>
    <row r="45" spans="3:20" ht="15.75" thickBot="1" x14ac:dyDescent="0.3">
      <c r="O45" s="2"/>
      <c r="P45" s="9">
        <f t="shared" si="1"/>
        <v>0</v>
      </c>
      <c r="Q45" s="2"/>
      <c r="R45" s="10" t="str">
        <f t="shared" si="2"/>
        <v/>
      </c>
      <c r="S45" s="20"/>
      <c r="T45" s="11" t="str">
        <f t="shared" si="6"/>
        <v/>
      </c>
    </row>
    <row r="46" spans="3:20" ht="15.75" thickBot="1" x14ac:dyDescent="0.3">
      <c r="O46" s="2"/>
      <c r="P46" s="9">
        <f t="shared" si="1"/>
        <v>0</v>
      </c>
      <c r="Q46" s="2"/>
      <c r="R46" s="10" t="str">
        <f t="shared" si="2"/>
        <v/>
      </c>
      <c r="S46" s="20"/>
      <c r="T46" s="11" t="str">
        <f t="shared" si="6"/>
        <v/>
      </c>
    </row>
    <row r="47" spans="3:20" ht="15.75" thickBot="1" x14ac:dyDescent="0.3">
      <c r="O47" s="2"/>
      <c r="P47" s="9">
        <f t="shared" si="1"/>
        <v>0</v>
      </c>
      <c r="Q47" s="2"/>
      <c r="R47" s="10" t="str">
        <f t="shared" si="2"/>
        <v/>
      </c>
      <c r="S47" s="20"/>
      <c r="T47" s="11" t="str">
        <f t="shared" si="6"/>
        <v/>
      </c>
    </row>
    <row r="48" spans="3:20" ht="15.75" thickBot="1" x14ac:dyDescent="0.3">
      <c r="O48" s="2"/>
      <c r="P48" s="9">
        <f t="shared" si="1"/>
        <v>0</v>
      </c>
      <c r="Q48" s="2"/>
      <c r="R48" s="10" t="str">
        <f t="shared" si="2"/>
        <v/>
      </c>
      <c r="S48" s="20"/>
      <c r="T48" s="11" t="str">
        <f t="shared" si="6"/>
        <v/>
      </c>
    </row>
    <row r="49" spans="15:20" ht="15.75" thickBot="1" x14ac:dyDescent="0.3">
      <c r="O49" s="2"/>
      <c r="P49" s="9">
        <f t="shared" si="1"/>
        <v>0</v>
      </c>
      <c r="Q49" s="2"/>
      <c r="R49" s="10" t="str">
        <f t="shared" si="2"/>
        <v/>
      </c>
      <c r="S49" s="20"/>
      <c r="T49" s="11" t="str">
        <f t="shared" si="6"/>
        <v/>
      </c>
    </row>
    <row r="50" spans="15:20" ht="15.75" thickBot="1" x14ac:dyDescent="0.3">
      <c r="O50" s="2"/>
      <c r="P50" s="9">
        <f t="shared" si="1"/>
        <v>0</v>
      </c>
      <c r="Q50" s="2"/>
      <c r="R50" s="10" t="str">
        <f t="shared" si="2"/>
        <v/>
      </c>
      <c r="S50" s="20"/>
      <c r="T50" s="11" t="str">
        <f t="shared" si="6"/>
        <v/>
      </c>
    </row>
    <row r="51" spans="15:20" ht="15.75" thickBot="1" x14ac:dyDescent="0.3">
      <c r="O51" s="2"/>
      <c r="P51" s="9">
        <f t="shared" si="1"/>
        <v>0</v>
      </c>
      <c r="Q51" s="2"/>
      <c r="R51" s="10" t="str">
        <f t="shared" si="2"/>
        <v/>
      </c>
      <c r="S51" s="20"/>
      <c r="T51" s="11" t="str">
        <f t="shared" si="6"/>
        <v/>
      </c>
    </row>
    <row r="52" spans="15:20" ht="15.75" thickBot="1" x14ac:dyDescent="0.3">
      <c r="O52" s="2"/>
      <c r="P52" s="9">
        <f t="shared" si="1"/>
        <v>0</v>
      </c>
      <c r="Q52" s="2"/>
      <c r="R52" s="10" t="str">
        <f t="shared" si="2"/>
        <v/>
      </c>
      <c r="S52" s="20"/>
      <c r="T52" s="11" t="str">
        <f t="shared" si="6"/>
        <v/>
      </c>
    </row>
    <row r="53" spans="15:20" ht="15.75" thickBot="1" x14ac:dyDescent="0.3">
      <c r="O53" s="2"/>
      <c r="P53" s="9">
        <f t="shared" si="1"/>
        <v>0</v>
      </c>
      <c r="Q53" s="2"/>
      <c r="R53" s="10" t="str">
        <f t="shared" si="2"/>
        <v/>
      </c>
      <c r="S53" s="20"/>
      <c r="T53" s="11" t="str">
        <f t="shared" si="6"/>
        <v/>
      </c>
    </row>
    <row r="54" spans="15:20" ht="15.75" thickBot="1" x14ac:dyDescent="0.3">
      <c r="O54" s="2"/>
      <c r="P54" s="9">
        <f t="shared" si="1"/>
        <v>0</v>
      </c>
      <c r="Q54" s="2"/>
      <c r="R54" s="10" t="str">
        <f t="shared" si="2"/>
        <v/>
      </c>
      <c r="S54" s="20"/>
      <c r="T54" s="11" t="str">
        <f t="shared" si="6"/>
        <v/>
      </c>
    </row>
    <row r="55" spans="15:20" ht="15.75" thickBot="1" x14ac:dyDescent="0.3">
      <c r="O55" s="2"/>
      <c r="P55" s="9">
        <f t="shared" si="1"/>
        <v>0</v>
      </c>
      <c r="Q55" s="2"/>
      <c r="R55" s="10" t="str">
        <f t="shared" si="2"/>
        <v/>
      </c>
      <c r="S55" s="20"/>
      <c r="T55" s="11" t="str">
        <f t="shared" si="6"/>
        <v/>
      </c>
    </row>
    <row r="56" spans="15:20" ht="15.75" thickBot="1" x14ac:dyDescent="0.3">
      <c r="O56" s="2"/>
      <c r="P56" s="9">
        <f t="shared" si="1"/>
        <v>0</v>
      </c>
      <c r="Q56" s="2"/>
      <c r="R56" s="10" t="str">
        <f t="shared" si="2"/>
        <v/>
      </c>
      <c r="S56" s="20"/>
      <c r="T56" s="11" t="str">
        <f t="shared" si="6"/>
        <v/>
      </c>
    </row>
    <row r="57" spans="15:20" ht="15.75" thickBot="1" x14ac:dyDescent="0.3">
      <c r="O57" s="2"/>
      <c r="P57" s="9">
        <f t="shared" si="1"/>
        <v>0</v>
      </c>
      <c r="Q57" s="2"/>
      <c r="R57" s="10" t="str">
        <f t="shared" si="2"/>
        <v/>
      </c>
      <c r="S57" s="20"/>
      <c r="T57" s="11" t="str">
        <f t="shared" si="6"/>
        <v/>
      </c>
    </row>
    <row r="58" spans="15:20" ht="15.75" thickBot="1" x14ac:dyDescent="0.3">
      <c r="O58" s="2"/>
      <c r="P58" s="9">
        <f t="shared" si="1"/>
        <v>0</v>
      </c>
      <c r="Q58" s="2"/>
      <c r="R58" s="10" t="str">
        <f t="shared" si="2"/>
        <v/>
      </c>
      <c r="S58" s="20"/>
      <c r="T58" s="11" t="str">
        <f t="shared" si="6"/>
        <v/>
      </c>
    </row>
    <row r="59" spans="15:20" ht="15.75" thickBot="1" x14ac:dyDescent="0.3">
      <c r="O59" s="2"/>
      <c r="P59" s="9">
        <f t="shared" si="1"/>
        <v>0</v>
      </c>
      <c r="Q59" s="2"/>
      <c r="R59" s="10" t="str">
        <f t="shared" si="2"/>
        <v/>
      </c>
      <c r="S59" s="20"/>
      <c r="T59" s="11" t="str">
        <f t="shared" si="6"/>
        <v/>
      </c>
    </row>
    <row r="60" spans="15:20" ht="15.75" thickBot="1" x14ac:dyDescent="0.3">
      <c r="O60" s="2"/>
      <c r="P60" s="9">
        <f t="shared" si="1"/>
        <v>0</v>
      </c>
      <c r="Q60" s="2"/>
      <c r="R60" s="10" t="str">
        <f t="shared" si="2"/>
        <v/>
      </c>
      <c r="S60" s="20"/>
      <c r="T60" s="11" t="str">
        <f t="shared" si="6"/>
        <v/>
      </c>
    </row>
    <row r="61" spans="15:20" ht="15.75" thickBot="1" x14ac:dyDescent="0.3">
      <c r="O61" s="2"/>
      <c r="P61" s="9">
        <f t="shared" si="1"/>
        <v>0</v>
      </c>
      <c r="Q61" s="2"/>
      <c r="R61" s="10" t="str">
        <f t="shared" si="2"/>
        <v/>
      </c>
      <c r="S61" s="20"/>
      <c r="T61" s="11" t="str">
        <f t="shared" si="6"/>
        <v/>
      </c>
    </row>
    <row r="62" spans="15:20" ht="15.75" thickBot="1" x14ac:dyDescent="0.3">
      <c r="O62" s="2"/>
      <c r="P62" s="9">
        <f t="shared" si="1"/>
        <v>0</v>
      </c>
      <c r="Q62" s="2"/>
      <c r="R62" s="10" t="str">
        <f t="shared" si="2"/>
        <v/>
      </c>
      <c r="S62" s="20"/>
      <c r="T62" s="11" t="str">
        <f t="shared" si="6"/>
        <v/>
      </c>
    </row>
    <row r="63" spans="15:20" ht="15.75" thickBot="1" x14ac:dyDescent="0.3">
      <c r="O63" s="2"/>
      <c r="P63" s="9">
        <f t="shared" si="1"/>
        <v>0</v>
      </c>
      <c r="Q63" s="2"/>
      <c r="R63" s="10" t="str">
        <f t="shared" si="2"/>
        <v/>
      </c>
      <c r="S63" s="20"/>
      <c r="T63" s="11" t="str">
        <f t="shared" si="6"/>
        <v/>
      </c>
    </row>
    <row r="64" spans="15:20" ht="15.75" thickBot="1" x14ac:dyDescent="0.3">
      <c r="O64" s="2"/>
      <c r="P64" s="9">
        <f t="shared" si="1"/>
        <v>0</v>
      </c>
      <c r="Q64" s="2"/>
      <c r="R64" s="10" t="str">
        <f t="shared" si="2"/>
        <v/>
      </c>
      <c r="S64" s="20"/>
      <c r="T64" s="11" t="str">
        <f t="shared" si="6"/>
        <v/>
      </c>
    </row>
    <row r="65" spans="15:20" ht="15.75" thickBot="1" x14ac:dyDescent="0.3">
      <c r="O65" s="2"/>
      <c r="P65" s="9">
        <f t="shared" si="1"/>
        <v>0</v>
      </c>
      <c r="Q65" s="2"/>
      <c r="R65" s="10" t="str">
        <f t="shared" si="2"/>
        <v/>
      </c>
      <c r="S65" s="20"/>
      <c r="T65" s="11" t="str">
        <f t="shared" si="6"/>
        <v/>
      </c>
    </row>
    <row r="66" spans="15:20" ht="15.75" thickBot="1" x14ac:dyDescent="0.3">
      <c r="O66" s="2"/>
      <c r="P66" s="9">
        <f t="shared" si="1"/>
        <v>0</v>
      </c>
      <c r="Q66" s="2"/>
      <c r="R66" s="10" t="str">
        <f t="shared" si="2"/>
        <v/>
      </c>
      <c r="S66" s="20"/>
      <c r="T66" s="11" t="str">
        <f t="shared" si="6"/>
        <v/>
      </c>
    </row>
    <row r="67" spans="15:20" ht="15.75" thickBot="1" x14ac:dyDescent="0.3">
      <c r="O67" s="2"/>
      <c r="P67" s="9">
        <f t="shared" si="1"/>
        <v>0</v>
      </c>
      <c r="Q67" s="2"/>
      <c r="R67" s="10" t="str">
        <f t="shared" si="2"/>
        <v/>
      </c>
      <c r="S67" s="20"/>
      <c r="T67" s="11" t="str">
        <f t="shared" si="6"/>
        <v/>
      </c>
    </row>
    <row r="68" spans="15:20" ht="15.75" thickBot="1" x14ac:dyDescent="0.3">
      <c r="O68" s="2"/>
      <c r="P68" s="9">
        <f t="shared" si="1"/>
        <v>0</v>
      </c>
      <c r="Q68" s="2"/>
      <c r="R68" s="10" t="str">
        <f t="shared" si="2"/>
        <v/>
      </c>
      <c r="S68" s="20"/>
      <c r="T68" s="11" t="str">
        <f t="shared" si="6"/>
        <v/>
      </c>
    </row>
    <row r="69" spans="15:20" ht="15.75" thickBot="1" x14ac:dyDescent="0.3">
      <c r="O69" s="2"/>
      <c r="P69" s="9">
        <f t="shared" si="1"/>
        <v>0</v>
      </c>
      <c r="Q69" s="2"/>
      <c r="R69" s="10" t="str">
        <f t="shared" si="2"/>
        <v/>
      </c>
      <c r="S69" s="20"/>
      <c r="T69" s="11" t="str">
        <f t="shared" si="6"/>
        <v/>
      </c>
    </row>
    <row r="70" spans="15:20" ht="15.75" thickBot="1" x14ac:dyDescent="0.3">
      <c r="O70" s="2"/>
      <c r="P70" s="9">
        <f t="shared" si="1"/>
        <v>0</v>
      </c>
      <c r="Q70" s="2"/>
      <c r="R70" s="10" t="str">
        <f t="shared" si="2"/>
        <v/>
      </c>
      <c r="S70" s="20"/>
      <c r="T70" s="11" t="str">
        <f t="shared" si="6"/>
        <v/>
      </c>
    </row>
    <row r="71" spans="15:20" ht="15.75" thickBot="1" x14ac:dyDescent="0.3">
      <c r="O71" s="2"/>
      <c r="P71" s="9">
        <f t="shared" si="1"/>
        <v>0</v>
      </c>
      <c r="Q71" s="2"/>
      <c r="R71" s="10" t="str">
        <f t="shared" si="2"/>
        <v/>
      </c>
      <c r="S71" s="20"/>
      <c r="T71" s="11" t="str">
        <f t="shared" si="6"/>
        <v/>
      </c>
    </row>
    <row r="72" spans="15:20" ht="15.75" thickBot="1" x14ac:dyDescent="0.3">
      <c r="O72" s="2"/>
      <c r="P72" s="9">
        <f t="shared" si="1"/>
        <v>0</v>
      </c>
      <c r="Q72" s="2"/>
      <c r="R72" s="10" t="str">
        <f t="shared" si="2"/>
        <v/>
      </c>
      <c r="S72" s="20"/>
      <c r="T72" s="11" t="str">
        <f t="shared" si="6"/>
        <v/>
      </c>
    </row>
    <row r="73" spans="15:20" ht="15.75" thickBot="1" x14ac:dyDescent="0.3">
      <c r="O73" s="2"/>
      <c r="P73" s="9">
        <f t="shared" si="1"/>
        <v>0</v>
      </c>
      <c r="Q73" s="2"/>
      <c r="R73" s="10" t="str">
        <f t="shared" si="2"/>
        <v/>
      </c>
      <c r="S73" s="20"/>
      <c r="T73" s="11" t="str">
        <f t="shared" si="6"/>
        <v/>
      </c>
    </row>
    <row r="74" spans="15:20" ht="15.75" thickBot="1" x14ac:dyDescent="0.3">
      <c r="O74" s="2"/>
      <c r="P74" s="9">
        <f t="shared" si="1"/>
        <v>0</v>
      </c>
      <c r="Q74" s="2"/>
      <c r="R74" s="10" t="str">
        <f t="shared" si="2"/>
        <v/>
      </c>
      <c r="S74" s="20"/>
      <c r="T74" s="11" t="str">
        <f t="shared" si="6"/>
        <v/>
      </c>
    </row>
    <row r="75" spans="15:20" ht="15.75" thickBot="1" x14ac:dyDescent="0.3">
      <c r="O75" s="2"/>
      <c r="P75" s="9">
        <f t="shared" si="1"/>
        <v>0</v>
      </c>
      <c r="Q75" s="2"/>
      <c r="R75" s="10" t="str">
        <f t="shared" si="2"/>
        <v/>
      </c>
      <c r="S75" s="20"/>
      <c r="T75" s="11" t="str">
        <f t="shared" si="6"/>
        <v/>
      </c>
    </row>
    <row r="76" spans="15:20" ht="15.75" thickBot="1" x14ac:dyDescent="0.3">
      <c r="O76" s="2"/>
      <c r="P76" s="9">
        <f t="shared" ref="P76:P124" si="8">O76/12</f>
        <v>0</v>
      </c>
      <c r="Q76" s="2"/>
      <c r="R76" s="10" t="str">
        <f t="shared" ref="R76:R127" si="9">IF(Q76="","",Q76/3.28)</f>
        <v/>
      </c>
      <c r="S76" s="20"/>
      <c r="T76" s="11" t="str">
        <f t="shared" ref="T76:T124" si="10">IF(S76="","",S76*25.4)</f>
        <v/>
      </c>
    </row>
    <row r="77" spans="15:20" ht="15.75" thickBot="1" x14ac:dyDescent="0.3">
      <c r="O77" s="2"/>
      <c r="P77" s="9">
        <f t="shared" si="8"/>
        <v>0</v>
      </c>
      <c r="Q77" s="2"/>
      <c r="R77" s="10" t="str">
        <f t="shared" si="9"/>
        <v/>
      </c>
      <c r="S77" s="20"/>
      <c r="T77" s="11" t="str">
        <f t="shared" si="10"/>
        <v/>
      </c>
    </row>
    <row r="78" spans="15:20" ht="15.75" thickBot="1" x14ac:dyDescent="0.3">
      <c r="O78" s="2"/>
      <c r="P78" s="9">
        <f t="shared" si="8"/>
        <v>0</v>
      </c>
      <c r="Q78" s="2"/>
      <c r="R78" s="10" t="str">
        <f t="shared" si="9"/>
        <v/>
      </c>
      <c r="S78" s="20"/>
      <c r="T78" s="11" t="str">
        <f t="shared" si="10"/>
        <v/>
      </c>
    </row>
    <row r="79" spans="15:20" ht="15.75" thickBot="1" x14ac:dyDescent="0.3">
      <c r="O79" s="2"/>
      <c r="P79" s="9">
        <f t="shared" si="8"/>
        <v>0</v>
      </c>
      <c r="Q79" s="2"/>
      <c r="R79" s="10" t="str">
        <f t="shared" si="9"/>
        <v/>
      </c>
      <c r="S79" s="20"/>
      <c r="T79" s="11" t="str">
        <f t="shared" si="10"/>
        <v/>
      </c>
    </row>
    <row r="80" spans="15:20" ht="15.75" thickBot="1" x14ac:dyDescent="0.3">
      <c r="O80" s="2"/>
      <c r="P80" s="9">
        <f t="shared" si="8"/>
        <v>0</v>
      </c>
      <c r="Q80" s="2"/>
      <c r="R80" s="10" t="str">
        <f t="shared" si="9"/>
        <v/>
      </c>
      <c r="S80" s="20"/>
      <c r="T80" s="11" t="str">
        <f t="shared" si="10"/>
        <v/>
      </c>
    </row>
    <row r="81" spans="15:20" ht="15.75" thickBot="1" x14ac:dyDescent="0.3">
      <c r="O81" s="2"/>
      <c r="P81" s="9">
        <f t="shared" si="8"/>
        <v>0</v>
      </c>
      <c r="Q81" s="2"/>
      <c r="R81" s="10" t="str">
        <f t="shared" si="9"/>
        <v/>
      </c>
      <c r="S81" s="20"/>
      <c r="T81" s="11" t="str">
        <f t="shared" si="10"/>
        <v/>
      </c>
    </row>
    <row r="82" spans="15:20" ht="15.75" thickBot="1" x14ac:dyDescent="0.3">
      <c r="O82" s="2"/>
      <c r="P82" s="9">
        <f t="shared" si="8"/>
        <v>0</v>
      </c>
      <c r="Q82" s="2"/>
      <c r="R82" s="10" t="str">
        <f t="shared" si="9"/>
        <v/>
      </c>
      <c r="S82" s="20"/>
      <c r="T82" s="11" t="str">
        <f t="shared" si="10"/>
        <v/>
      </c>
    </row>
    <row r="83" spans="15:20" ht="15.75" thickBot="1" x14ac:dyDescent="0.3">
      <c r="O83" s="2"/>
      <c r="P83" s="9">
        <f t="shared" si="8"/>
        <v>0</v>
      </c>
      <c r="Q83" s="2"/>
      <c r="R83" s="10" t="str">
        <f t="shared" si="9"/>
        <v/>
      </c>
      <c r="S83" s="20"/>
      <c r="T83" s="11" t="str">
        <f t="shared" si="10"/>
        <v/>
      </c>
    </row>
    <row r="84" spans="15:20" ht="15.75" thickBot="1" x14ac:dyDescent="0.3">
      <c r="O84" s="2"/>
      <c r="P84" s="9">
        <f t="shared" si="8"/>
        <v>0</v>
      </c>
      <c r="Q84" s="2"/>
      <c r="R84" s="10" t="str">
        <f t="shared" si="9"/>
        <v/>
      </c>
      <c r="S84" s="20"/>
      <c r="T84" s="11" t="str">
        <f t="shared" si="10"/>
        <v/>
      </c>
    </row>
    <row r="85" spans="15:20" ht="15.75" thickBot="1" x14ac:dyDescent="0.3">
      <c r="O85" s="2"/>
      <c r="P85" s="9">
        <f t="shared" si="8"/>
        <v>0</v>
      </c>
      <c r="Q85" s="2"/>
      <c r="R85" s="10" t="str">
        <f t="shared" si="9"/>
        <v/>
      </c>
      <c r="S85" s="20"/>
      <c r="T85" s="11" t="str">
        <f t="shared" si="10"/>
        <v/>
      </c>
    </row>
    <row r="86" spans="15:20" ht="15.75" thickBot="1" x14ac:dyDescent="0.3">
      <c r="O86" s="2"/>
      <c r="P86" s="9">
        <f t="shared" si="8"/>
        <v>0</v>
      </c>
      <c r="Q86" s="2"/>
      <c r="R86" s="10" t="str">
        <f t="shared" si="9"/>
        <v/>
      </c>
      <c r="S86" s="20"/>
      <c r="T86" s="11" t="str">
        <f t="shared" si="10"/>
        <v/>
      </c>
    </row>
    <row r="87" spans="15:20" ht="15.75" thickBot="1" x14ac:dyDescent="0.3">
      <c r="O87" s="2"/>
      <c r="P87" s="9">
        <f t="shared" si="8"/>
        <v>0</v>
      </c>
      <c r="Q87" s="2"/>
      <c r="R87" s="10" t="str">
        <f t="shared" si="9"/>
        <v/>
      </c>
      <c r="S87" s="20"/>
      <c r="T87" s="11" t="str">
        <f t="shared" si="10"/>
        <v/>
      </c>
    </row>
    <row r="88" spans="15:20" ht="15.75" thickBot="1" x14ac:dyDescent="0.3">
      <c r="O88" s="2"/>
      <c r="P88" s="9">
        <f t="shared" si="8"/>
        <v>0</v>
      </c>
      <c r="Q88" s="2"/>
      <c r="R88" s="10" t="str">
        <f t="shared" si="9"/>
        <v/>
      </c>
      <c r="S88" s="20"/>
      <c r="T88" s="11" t="str">
        <f t="shared" si="10"/>
        <v/>
      </c>
    </row>
    <row r="89" spans="15:20" ht="15.75" thickBot="1" x14ac:dyDescent="0.3">
      <c r="O89" s="2"/>
      <c r="P89" s="9">
        <f t="shared" si="8"/>
        <v>0</v>
      </c>
      <c r="Q89" s="2"/>
      <c r="R89" s="10" t="str">
        <f t="shared" si="9"/>
        <v/>
      </c>
      <c r="S89" s="20"/>
      <c r="T89" s="11" t="str">
        <f t="shared" si="10"/>
        <v/>
      </c>
    </row>
    <row r="90" spans="15:20" ht="15.75" thickBot="1" x14ac:dyDescent="0.3">
      <c r="O90" s="2"/>
      <c r="P90" s="9">
        <f t="shared" si="8"/>
        <v>0</v>
      </c>
      <c r="Q90" s="2"/>
      <c r="R90" s="10" t="str">
        <f t="shared" si="9"/>
        <v/>
      </c>
      <c r="S90" s="20"/>
      <c r="T90" s="11" t="str">
        <f t="shared" si="10"/>
        <v/>
      </c>
    </row>
    <row r="91" spans="15:20" ht="15.75" thickBot="1" x14ac:dyDescent="0.3">
      <c r="O91" s="2"/>
      <c r="P91" s="9">
        <f t="shared" si="8"/>
        <v>0</v>
      </c>
      <c r="Q91" s="2"/>
      <c r="R91" s="10" t="str">
        <f t="shared" si="9"/>
        <v/>
      </c>
      <c r="S91" s="20"/>
      <c r="T91" s="11" t="str">
        <f t="shared" si="10"/>
        <v/>
      </c>
    </row>
    <row r="92" spans="15:20" ht="15.75" thickBot="1" x14ac:dyDescent="0.3">
      <c r="O92" s="2"/>
      <c r="P92" s="9">
        <f t="shared" si="8"/>
        <v>0</v>
      </c>
      <c r="Q92" s="2"/>
      <c r="R92" s="10" t="str">
        <f t="shared" si="9"/>
        <v/>
      </c>
      <c r="S92" s="20"/>
      <c r="T92" s="11" t="str">
        <f t="shared" si="10"/>
        <v/>
      </c>
    </row>
    <row r="93" spans="15:20" ht="15.75" thickBot="1" x14ac:dyDescent="0.3">
      <c r="O93" s="2"/>
      <c r="P93" s="9">
        <f t="shared" si="8"/>
        <v>0</v>
      </c>
      <c r="Q93" s="2"/>
      <c r="R93" s="10" t="str">
        <f t="shared" si="9"/>
        <v/>
      </c>
      <c r="S93" s="20"/>
      <c r="T93" s="11" t="str">
        <f t="shared" si="10"/>
        <v/>
      </c>
    </row>
    <row r="94" spans="15:20" ht="15.75" thickBot="1" x14ac:dyDescent="0.3">
      <c r="O94" s="2"/>
      <c r="P94" s="9">
        <f t="shared" si="8"/>
        <v>0</v>
      </c>
      <c r="Q94" s="2"/>
      <c r="R94" s="10" t="str">
        <f t="shared" si="9"/>
        <v/>
      </c>
      <c r="S94" s="20"/>
      <c r="T94" s="11" t="str">
        <f t="shared" si="10"/>
        <v/>
      </c>
    </row>
    <row r="95" spans="15:20" ht="15.75" thickBot="1" x14ac:dyDescent="0.3">
      <c r="O95" s="2"/>
      <c r="P95" s="9">
        <f t="shared" si="8"/>
        <v>0</v>
      </c>
      <c r="Q95" s="2"/>
      <c r="R95" s="10" t="str">
        <f t="shared" si="9"/>
        <v/>
      </c>
      <c r="S95" s="20"/>
      <c r="T95" s="11" t="str">
        <f t="shared" si="10"/>
        <v/>
      </c>
    </row>
    <row r="96" spans="15:20" ht="15.75" thickBot="1" x14ac:dyDescent="0.3">
      <c r="O96" s="2"/>
      <c r="P96" s="9">
        <f t="shared" si="8"/>
        <v>0</v>
      </c>
      <c r="Q96" s="2"/>
      <c r="R96" s="10" t="str">
        <f t="shared" si="9"/>
        <v/>
      </c>
      <c r="S96" s="20"/>
      <c r="T96" s="11" t="str">
        <f t="shared" si="10"/>
        <v/>
      </c>
    </row>
    <row r="97" spans="15:20" ht="15.75" thickBot="1" x14ac:dyDescent="0.3">
      <c r="O97" s="2"/>
      <c r="P97" s="9">
        <f t="shared" si="8"/>
        <v>0</v>
      </c>
      <c r="Q97" s="2"/>
      <c r="R97" s="10" t="str">
        <f t="shared" si="9"/>
        <v/>
      </c>
      <c r="S97" s="20"/>
      <c r="T97" s="11" t="str">
        <f t="shared" si="10"/>
        <v/>
      </c>
    </row>
    <row r="98" spans="15:20" ht="15.75" thickBot="1" x14ac:dyDescent="0.3">
      <c r="O98" s="2"/>
      <c r="P98" s="9">
        <f t="shared" si="8"/>
        <v>0</v>
      </c>
      <c r="Q98" s="2"/>
      <c r="R98" s="10" t="str">
        <f t="shared" si="9"/>
        <v/>
      </c>
      <c r="S98" s="20"/>
      <c r="T98" s="11" t="str">
        <f t="shared" si="10"/>
        <v/>
      </c>
    </row>
    <row r="99" spans="15:20" ht="15.75" thickBot="1" x14ac:dyDescent="0.3">
      <c r="O99" s="2"/>
      <c r="P99" s="9">
        <f t="shared" si="8"/>
        <v>0</v>
      </c>
      <c r="Q99" s="2"/>
      <c r="R99" s="10" t="str">
        <f t="shared" si="9"/>
        <v/>
      </c>
      <c r="S99" s="20"/>
      <c r="T99" s="11" t="str">
        <f t="shared" si="10"/>
        <v/>
      </c>
    </row>
    <row r="100" spans="15:20" ht="15.75" thickBot="1" x14ac:dyDescent="0.3">
      <c r="O100" s="2"/>
      <c r="P100" s="9">
        <f t="shared" si="8"/>
        <v>0</v>
      </c>
      <c r="Q100" s="2"/>
      <c r="R100" s="10" t="str">
        <f t="shared" si="9"/>
        <v/>
      </c>
      <c r="S100" s="20"/>
      <c r="T100" s="11" t="str">
        <f t="shared" si="10"/>
        <v/>
      </c>
    </row>
    <row r="101" spans="15:20" ht="15.75" thickBot="1" x14ac:dyDescent="0.3">
      <c r="O101" s="2"/>
      <c r="P101" s="9">
        <f t="shared" si="8"/>
        <v>0</v>
      </c>
      <c r="Q101" s="2"/>
      <c r="R101" s="10" t="str">
        <f t="shared" si="9"/>
        <v/>
      </c>
      <c r="S101" s="20"/>
      <c r="T101" s="11" t="str">
        <f t="shared" si="10"/>
        <v/>
      </c>
    </row>
    <row r="102" spans="15:20" ht="15.75" thickBot="1" x14ac:dyDescent="0.3">
      <c r="O102" s="2"/>
      <c r="P102" s="9">
        <f t="shared" si="8"/>
        <v>0</v>
      </c>
      <c r="Q102" s="2"/>
      <c r="R102" s="10" t="str">
        <f t="shared" si="9"/>
        <v/>
      </c>
      <c r="S102" s="20"/>
      <c r="T102" s="11" t="str">
        <f t="shared" si="10"/>
        <v/>
      </c>
    </row>
    <row r="103" spans="15:20" ht="15.75" thickBot="1" x14ac:dyDescent="0.3">
      <c r="O103" s="2"/>
      <c r="P103" s="9">
        <f t="shared" si="8"/>
        <v>0</v>
      </c>
      <c r="Q103" s="2"/>
      <c r="R103" s="10" t="str">
        <f t="shared" si="9"/>
        <v/>
      </c>
      <c r="S103" s="20"/>
      <c r="T103" s="11" t="str">
        <f t="shared" si="10"/>
        <v/>
      </c>
    </row>
    <row r="104" spans="15:20" ht="15.75" thickBot="1" x14ac:dyDescent="0.3">
      <c r="O104" s="2"/>
      <c r="P104" s="9">
        <f t="shared" si="8"/>
        <v>0</v>
      </c>
      <c r="Q104" s="2"/>
      <c r="R104" s="10" t="str">
        <f t="shared" si="9"/>
        <v/>
      </c>
      <c r="S104" s="20"/>
      <c r="T104" s="11" t="str">
        <f t="shared" si="10"/>
        <v/>
      </c>
    </row>
    <row r="105" spans="15:20" ht="15.75" thickBot="1" x14ac:dyDescent="0.3">
      <c r="O105" s="2"/>
      <c r="P105" s="9">
        <f t="shared" si="8"/>
        <v>0</v>
      </c>
      <c r="Q105" s="2"/>
      <c r="R105" s="10" t="str">
        <f t="shared" si="9"/>
        <v/>
      </c>
      <c r="S105" s="20"/>
      <c r="T105" s="11" t="str">
        <f t="shared" si="10"/>
        <v/>
      </c>
    </row>
    <row r="106" spans="15:20" ht="15.75" thickBot="1" x14ac:dyDescent="0.3">
      <c r="O106" s="2"/>
      <c r="P106" s="9">
        <f t="shared" si="8"/>
        <v>0</v>
      </c>
      <c r="Q106" s="2"/>
      <c r="R106" s="10" t="str">
        <f t="shared" si="9"/>
        <v/>
      </c>
      <c r="S106" s="20"/>
      <c r="T106" s="11" t="str">
        <f t="shared" si="10"/>
        <v/>
      </c>
    </row>
    <row r="107" spans="15:20" ht="15.75" thickBot="1" x14ac:dyDescent="0.3">
      <c r="O107" s="2"/>
      <c r="P107" s="9">
        <f t="shared" si="8"/>
        <v>0</v>
      </c>
      <c r="Q107" s="2"/>
      <c r="R107" s="10" t="str">
        <f t="shared" si="9"/>
        <v/>
      </c>
      <c r="S107" s="20"/>
      <c r="T107" s="11" t="str">
        <f t="shared" si="10"/>
        <v/>
      </c>
    </row>
    <row r="108" spans="15:20" ht="15.75" thickBot="1" x14ac:dyDescent="0.3">
      <c r="O108" s="2"/>
      <c r="P108" s="9">
        <f t="shared" si="8"/>
        <v>0</v>
      </c>
      <c r="Q108" s="2"/>
      <c r="R108" s="10" t="str">
        <f t="shared" si="9"/>
        <v/>
      </c>
      <c r="S108" s="20"/>
      <c r="T108" s="11" t="str">
        <f t="shared" si="10"/>
        <v/>
      </c>
    </row>
    <row r="109" spans="15:20" ht="15.75" thickBot="1" x14ac:dyDescent="0.3">
      <c r="O109" s="2"/>
      <c r="P109" s="9">
        <f t="shared" si="8"/>
        <v>0</v>
      </c>
      <c r="Q109" s="2"/>
      <c r="R109" s="10" t="str">
        <f t="shared" si="9"/>
        <v/>
      </c>
      <c r="S109" s="20"/>
      <c r="T109" s="11" t="str">
        <f t="shared" si="10"/>
        <v/>
      </c>
    </row>
    <row r="110" spans="15:20" ht="15.75" thickBot="1" x14ac:dyDescent="0.3">
      <c r="O110" s="2"/>
      <c r="P110" s="9">
        <f t="shared" si="8"/>
        <v>0</v>
      </c>
      <c r="Q110" s="2"/>
      <c r="R110" s="10" t="str">
        <f t="shared" si="9"/>
        <v/>
      </c>
      <c r="S110" s="20"/>
      <c r="T110" s="11" t="str">
        <f t="shared" si="10"/>
        <v/>
      </c>
    </row>
    <row r="111" spans="15:20" ht="15.75" thickBot="1" x14ac:dyDescent="0.3">
      <c r="O111" s="2"/>
      <c r="P111" s="9">
        <f t="shared" si="8"/>
        <v>0</v>
      </c>
      <c r="Q111" s="2"/>
      <c r="R111" s="10" t="str">
        <f t="shared" si="9"/>
        <v/>
      </c>
      <c r="S111" s="20"/>
      <c r="T111" s="11" t="str">
        <f t="shared" si="10"/>
        <v/>
      </c>
    </row>
    <row r="112" spans="15:20" ht="15.75" thickBot="1" x14ac:dyDescent="0.3">
      <c r="O112" s="2"/>
      <c r="P112" s="9">
        <f t="shared" si="8"/>
        <v>0</v>
      </c>
      <c r="Q112" s="2"/>
      <c r="R112" s="10" t="str">
        <f t="shared" si="9"/>
        <v/>
      </c>
      <c r="S112" s="20"/>
      <c r="T112" s="11" t="str">
        <f t="shared" si="10"/>
        <v/>
      </c>
    </row>
    <row r="113" spans="15:20" ht="15.75" thickBot="1" x14ac:dyDescent="0.3">
      <c r="O113" s="2"/>
      <c r="P113" s="9">
        <f t="shared" si="8"/>
        <v>0</v>
      </c>
      <c r="Q113" s="2"/>
      <c r="R113" s="10" t="str">
        <f t="shared" si="9"/>
        <v/>
      </c>
      <c r="S113" s="20"/>
      <c r="T113" s="11" t="str">
        <f t="shared" si="10"/>
        <v/>
      </c>
    </row>
    <row r="114" spans="15:20" ht="15.75" thickBot="1" x14ac:dyDescent="0.3">
      <c r="O114" s="2"/>
      <c r="P114" s="9">
        <f t="shared" si="8"/>
        <v>0</v>
      </c>
      <c r="Q114" s="2"/>
      <c r="R114" s="10" t="str">
        <f t="shared" si="9"/>
        <v/>
      </c>
      <c r="S114" s="20"/>
      <c r="T114" s="11" t="str">
        <f t="shared" si="10"/>
        <v/>
      </c>
    </row>
    <row r="115" spans="15:20" ht="15.75" thickBot="1" x14ac:dyDescent="0.3">
      <c r="O115" s="2"/>
      <c r="P115" s="9">
        <f t="shared" si="8"/>
        <v>0</v>
      </c>
      <c r="Q115" s="2"/>
      <c r="R115" s="10" t="str">
        <f t="shared" si="9"/>
        <v/>
      </c>
      <c r="S115" s="20"/>
      <c r="T115" s="11" t="str">
        <f t="shared" si="10"/>
        <v/>
      </c>
    </row>
    <row r="116" spans="15:20" ht="15.75" thickBot="1" x14ac:dyDescent="0.3">
      <c r="O116" s="2"/>
      <c r="P116" s="9">
        <f t="shared" si="8"/>
        <v>0</v>
      </c>
      <c r="Q116" s="2"/>
      <c r="R116" s="10" t="str">
        <f t="shared" si="9"/>
        <v/>
      </c>
      <c r="S116" s="20"/>
      <c r="T116" s="11" t="str">
        <f t="shared" si="10"/>
        <v/>
      </c>
    </row>
    <row r="117" spans="15:20" ht="15.75" thickBot="1" x14ac:dyDescent="0.3">
      <c r="O117" s="2"/>
      <c r="P117" s="9">
        <f t="shared" si="8"/>
        <v>0</v>
      </c>
      <c r="Q117" s="2"/>
      <c r="R117" s="10" t="str">
        <f t="shared" si="9"/>
        <v/>
      </c>
      <c r="S117" s="20"/>
      <c r="T117" s="11" t="str">
        <f t="shared" si="10"/>
        <v/>
      </c>
    </row>
    <row r="118" spans="15:20" ht="15.75" thickBot="1" x14ac:dyDescent="0.3">
      <c r="O118" s="2"/>
      <c r="P118" s="9">
        <f t="shared" si="8"/>
        <v>0</v>
      </c>
      <c r="Q118" s="2"/>
      <c r="R118" s="10" t="str">
        <f t="shared" si="9"/>
        <v/>
      </c>
      <c r="S118" s="20"/>
      <c r="T118" s="11" t="str">
        <f t="shared" si="10"/>
        <v/>
      </c>
    </row>
    <row r="119" spans="15:20" ht="15.75" thickBot="1" x14ac:dyDescent="0.3">
      <c r="O119" s="2"/>
      <c r="P119" s="9">
        <f t="shared" si="8"/>
        <v>0</v>
      </c>
      <c r="Q119" s="2"/>
      <c r="R119" s="10" t="str">
        <f t="shared" si="9"/>
        <v/>
      </c>
      <c r="S119" s="20"/>
      <c r="T119" s="11" t="str">
        <f t="shared" si="10"/>
        <v/>
      </c>
    </row>
    <row r="120" spans="15:20" ht="15.75" thickBot="1" x14ac:dyDescent="0.3">
      <c r="O120" s="2"/>
      <c r="P120" s="9">
        <f t="shared" si="8"/>
        <v>0</v>
      </c>
      <c r="Q120" s="2"/>
      <c r="R120" s="10" t="str">
        <f t="shared" si="9"/>
        <v/>
      </c>
      <c r="S120" s="20"/>
      <c r="T120" s="11" t="str">
        <f t="shared" si="10"/>
        <v/>
      </c>
    </row>
    <row r="121" spans="15:20" ht="15.75" thickBot="1" x14ac:dyDescent="0.3">
      <c r="O121" s="2"/>
      <c r="P121" s="9">
        <f t="shared" si="8"/>
        <v>0</v>
      </c>
      <c r="Q121" s="2"/>
      <c r="R121" s="10" t="str">
        <f t="shared" si="9"/>
        <v/>
      </c>
      <c r="S121" s="20"/>
      <c r="T121" s="11" t="str">
        <f t="shared" si="10"/>
        <v/>
      </c>
    </row>
    <row r="122" spans="15:20" ht="15.75" thickBot="1" x14ac:dyDescent="0.3">
      <c r="O122" s="2"/>
      <c r="P122" s="9">
        <f t="shared" si="8"/>
        <v>0</v>
      </c>
      <c r="Q122" s="2"/>
      <c r="R122" s="10" t="str">
        <f t="shared" si="9"/>
        <v/>
      </c>
      <c r="S122" s="20"/>
      <c r="T122" s="11" t="str">
        <f t="shared" si="10"/>
        <v/>
      </c>
    </row>
    <row r="123" spans="15:20" ht="15.75" thickBot="1" x14ac:dyDescent="0.3">
      <c r="O123" s="2"/>
      <c r="P123" s="9">
        <f t="shared" si="8"/>
        <v>0</v>
      </c>
      <c r="Q123" s="2"/>
      <c r="R123" s="10" t="str">
        <f t="shared" si="9"/>
        <v/>
      </c>
      <c r="S123" s="20"/>
      <c r="T123" s="11" t="str">
        <f t="shared" si="10"/>
        <v/>
      </c>
    </row>
    <row r="124" spans="15:20" ht="15.75" thickBot="1" x14ac:dyDescent="0.3">
      <c r="O124" s="2"/>
      <c r="P124" s="9">
        <f t="shared" si="8"/>
        <v>0</v>
      </c>
      <c r="Q124" s="2"/>
      <c r="R124" s="10" t="str">
        <f t="shared" si="9"/>
        <v/>
      </c>
      <c r="S124" s="26"/>
      <c r="T124" s="11" t="str">
        <f t="shared" si="10"/>
        <v/>
      </c>
    </row>
    <row r="125" spans="15:20" x14ac:dyDescent="0.25">
      <c r="R125" s="1" t="str">
        <f t="shared" si="9"/>
        <v/>
      </c>
    </row>
    <row r="126" spans="15:20" x14ac:dyDescent="0.25">
      <c r="R126" s="1" t="str">
        <f t="shared" si="9"/>
        <v/>
      </c>
    </row>
    <row r="127" spans="15:20" x14ac:dyDescent="0.25">
      <c r="R127" s="1" t="str">
        <f t="shared" si="9"/>
        <v/>
      </c>
    </row>
  </sheetData>
  <sheetProtection algorithmName="SHA-512" hashValue="F3XYlH68/MkEREvuCrjzNUBabV/N4D9YqzTl2jN0Uw2VoM453d6D1fWtUxom97xDuS4dIigvRAO5B6nB1jxsgQ==" saltValue="g7EV5joQTTEbhOmt0//7bg==" spinCount="100000" sheet="1" formatCells="0" formatColumns="0" formatRows="0" insertColumns="0" insertRows="0" insertHyperlinks="0" deleteRows="0" selectLockedCells="1" sort="0" autoFilter="0" pivotTables="0"/>
  <mergeCells count="9">
    <mergeCell ref="B1:K1"/>
    <mergeCell ref="B2:K2"/>
    <mergeCell ref="B3:K3"/>
    <mergeCell ref="B4:K4"/>
    <mergeCell ref="Y7:AB9"/>
    <mergeCell ref="C22:E23"/>
    <mergeCell ref="C9:E10"/>
    <mergeCell ref="G9:M10"/>
    <mergeCell ref="O9:T9"/>
  </mergeCells>
  <dataValidations disablePrompts="1" count="1">
    <dataValidation type="list" allowBlank="1" showInputMessage="1" showErrorMessage="1" sqref="C12">
      <formula1>$Y$11:$Y$14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4:M36"/>
  <sheetViews>
    <sheetView showGridLines="0" workbookViewId="0">
      <selection activeCell="P23" sqref="P23"/>
    </sheetView>
  </sheetViews>
  <sheetFormatPr defaultRowHeight="15" x14ac:dyDescent="0.25"/>
  <cols>
    <col min="1" max="1" width="9.140625" style="30" customWidth="1"/>
    <col min="2" max="16384" width="9.140625" style="30"/>
  </cols>
  <sheetData>
    <row r="14" spans="2:10" ht="15" customHeight="1" x14ac:dyDescent="0.25">
      <c r="B14" s="52" t="s">
        <v>56</v>
      </c>
      <c r="C14" s="52"/>
      <c r="D14" s="52"/>
      <c r="E14" s="52"/>
      <c r="F14" s="52"/>
      <c r="G14" s="52"/>
      <c r="H14" s="52"/>
      <c r="I14" s="52"/>
      <c r="J14" s="52"/>
    </row>
    <row r="15" spans="2:10" ht="15" customHeight="1" x14ac:dyDescent="0.25">
      <c r="B15" s="52"/>
      <c r="C15" s="52"/>
      <c r="D15" s="52"/>
      <c r="E15" s="52"/>
      <c r="F15" s="52"/>
      <c r="G15" s="52"/>
      <c r="H15" s="52"/>
      <c r="I15" s="52"/>
      <c r="J15" s="52"/>
    </row>
    <row r="16" spans="2:10" x14ac:dyDescent="0.25">
      <c r="B16" s="52"/>
      <c r="C16" s="52"/>
      <c r="D16" s="52"/>
      <c r="E16" s="52"/>
      <c r="F16" s="52"/>
      <c r="G16" s="52"/>
      <c r="H16" s="52"/>
      <c r="I16" s="52"/>
      <c r="J16" s="52"/>
    </row>
    <row r="17" spans="2:10" x14ac:dyDescent="0.25">
      <c r="C17" s="50" t="s">
        <v>57</v>
      </c>
      <c r="D17" s="50"/>
      <c r="E17" s="51" t="s">
        <v>58</v>
      </c>
      <c r="F17" s="51"/>
      <c r="G17" s="51"/>
      <c r="H17" s="51"/>
      <c r="I17" s="51"/>
      <c r="J17" s="51"/>
    </row>
    <row r="18" spans="2:10" x14ac:dyDescent="0.25">
      <c r="C18" s="50" t="s">
        <v>59</v>
      </c>
      <c r="D18" s="50"/>
      <c r="E18" s="51" t="s">
        <v>60</v>
      </c>
      <c r="F18" s="51"/>
      <c r="G18" s="51"/>
      <c r="H18" s="51"/>
      <c r="I18" s="51"/>
      <c r="J18" s="51"/>
    </row>
    <row r="19" spans="2:10" x14ac:dyDescent="0.25">
      <c r="C19" s="50" t="s">
        <v>61</v>
      </c>
      <c r="D19" s="50"/>
      <c r="E19" s="51" t="s">
        <v>62</v>
      </c>
      <c r="F19" s="51"/>
      <c r="G19" s="51"/>
      <c r="H19" s="51"/>
      <c r="I19" s="51"/>
      <c r="J19" s="51"/>
    </row>
    <row r="20" spans="2:10" x14ac:dyDescent="0.25">
      <c r="C20" s="50" t="s">
        <v>63</v>
      </c>
      <c r="D20" s="50"/>
      <c r="E20" s="51" t="s">
        <v>64</v>
      </c>
      <c r="F20" s="51"/>
      <c r="G20" s="51"/>
      <c r="H20" s="51"/>
      <c r="I20" s="51"/>
      <c r="J20" s="51"/>
    </row>
    <row r="21" spans="2:10" x14ac:dyDescent="0.25">
      <c r="C21" s="50" t="s">
        <v>65</v>
      </c>
      <c r="D21" s="50"/>
      <c r="E21" s="51" t="s">
        <v>66</v>
      </c>
      <c r="F21" s="51"/>
      <c r="G21" s="51"/>
      <c r="H21" s="51"/>
      <c r="I21" s="51"/>
      <c r="J21" s="51"/>
    </row>
    <row r="22" spans="2:10" x14ac:dyDescent="0.25">
      <c r="C22" s="50" t="s">
        <v>67</v>
      </c>
      <c r="D22" s="50"/>
      <c r="E22" s="51" t="s">
        <v>68</v>
      </c>
      <c r="F22" s="51"/>
      <c r="G22" s="51"/>
      <c r="H22" s="51"/>
      <c r="I22" s="51"/>
      <c r="J22" s="51"/>
    </row>
    <row r="24" spans="2:10" ht="15" customHeight="1" x14ac:dyDescent="0.25">
      <c r="B24" s="53" t="s">
        <v>69</v>
      </c>
      <c r="C24" s="53"/>
      <c r="D24" s="53"/>
      <c r="E24" s="53"/>
      <c r="F24" s="53"/>
      <c r="G24" s="53"/>
      <c r="H24" s="53"/>
      <c r="I24" s="53"/>
      <c r="J24" s="53"/>
    </row>
    <row r="25" spans="2:10" ht="15" customHeight="1" x14ac:dyDescent="0.25">
      <c r="B25" s="53"/>
      <c r="C25" s="53"/>
      <c r="D25" s="53"/>
      <c r="E25" s="53"/>
      <c r="F25" s="53"/>
      <c r="G25" s="53"/>
      <c r="H25" s="53"/>
      <c r="I25" s="53"/>
      <c r="J25" s="53"/>
    </row>
    <row r="26" spans="2:10" ht="15" customHeight="1" x14ac:dyDescent="0.25">
      <c r="B26" s="53"/>
      <c r="C26" s="53"/>
      <c r="D26" s="53"/>
      <c r="E26" s="53"/>
      <c r="F26" s="53"/>
      <c r="G26" s="53"/>
      <c r="H26" s="53"/>
      <c r="I26" s="53"/>
      <c r="J26" s="53"/>
    </row>
    <row r="27" spans="2:10" x14ac:dyDescent="0.25">
      <c r="B27" s="53"/>
      <c r="C27" s="53"/>
      <c r="D27" s="53"/>
      <c r="E27" s="53"/>
      <c r="F27" s="53"/>
      <c r="G27" s="53"/>
      <c r="H27" s="53"/>
      <c r="I27" s="53"/>
      <c r="J27" s="53"/>
    </row>
    <row r="34" spans="1:13" ht="15.75" x14ac:dyDescent="0.25">
      <c r="A34" s="31" t="s">
        <v>70</v>
      </c>
      <c r="B34" s="51" t="s">
        <v>71</v>
      </c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</row>
    <row r="35" spans="1:13" ht="15.75" x14ac:dyDescent="0.25">
      <c r="A35" s="31"/>
    </row>
    <row r="36" spans="1:13" ht="15.75" x14ac:dyDescent="0.25">
      <c r="A36" s="31" t="s">
        <v>72</v>
      </c>
      <c r="B36" s="51" t="s">
        <v>73</v>
      </c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</row>
  </sheetData>
  <sheetProtection algorithmName="SHA-512" hashValue="rfeIbBV7NLFdyIXPZC4s9kbWqVDMnr+LcrbThaX/ybpiDWZQoiUo+UEpF5IU1mFIatIU265ZUTsFRcOpmV9p1g==" saltValue="YBsPkQa+NHD1rGZ9QybrdA==" spinCount="100000" sheet="1" objects="1" scenarios="1"/>
  <mergeCells count="16">
    <mergeCell ref="B24:J27"/>
    <mergeCell ref="B34:M34"/>
    <mergeCell ref="B36:M36"/>
    <mergeCell ref="C20:D20"/>
    <mergeCell ref="E20:J20"/>
    <mergeCell ref="C21:D21"/>
    <mergeCell ref="E21:J21"/>
    <mergeCell ref="C22:D22"/>
    <mergeCell ref="E22:J22"/>
    <mergeCell ref="C19:D19"/>
    <mergeCell ref="E19:J19"/>
    <mergeCell ref="B14:J16"/>
    <mergeCell ref="C17:D17"/>
    <mergeCell ref="E17:J17"/>
    <mergeCell ref="C18:D18"/>
    <mergeCell ref="E18:J18"/>
  </mergeCells>
  <hyperlinks>
    <hyperlink ref="E17" r:id="rId1"/>
    <hyperlink ref="E18" r:id="rId2"/>
    <hyperlink ref="E19" r:id="rId3"/>
    <hyperlink ref="E21" r:id="rId4"/>
    <hyperlink ref="E22" r:id="rId5"/>
    <hyperlink ref="B36" r:id="rId6"/>
    <hyperlink ref="B34" r:id="rId7"/>
  </hyperlinks>
  <pageMargins left="0.7" right="0.7" top="0.75" bottom="0.75" header="0.3" footer="0.3"/>
  <pageSetup orientation="portrait" horizontalDpi="1200" verticalDpi="1200" r:id="rId8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Drifts and sway limitation</vt:lpstr>
      <vt:lpstr>Video &amp; Instruction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 Hedaetullah</dc:creator>
  <cp:lastModifiedBy>SM Hedaetullah</cp:lastModifiedBy>
  <dcterms:created xsi:type="dcterms:W3CDTF">2015-06-05T18:17:20Z</dcterms:created>
  <dcterms:modified xsi:type="dcterms:W3CDTF">2025-07-10T16:50:03Z</dcterms:modified>
</cp:coreProperties>
</file>