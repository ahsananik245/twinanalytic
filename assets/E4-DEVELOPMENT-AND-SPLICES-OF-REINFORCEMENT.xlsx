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1580" activeTab="1"/>
  </bookViews>
  <sheets>
    <sheet name="Video &amp; Instruction " sheetId="3" r:id="rId1"/>
    <sheet name="LL &amp; DL (Recomb.)" sheetId="1" r:id="rId2"/>
    <sheet name="Simple" sheetId="2" r:id="rId3"/>
  </sheets>
  <externalReferences>
    <externalReference r:id="rId4"/>
  </externalReferences>
  <definedNames>
    <definedName name="fc">'LL &amp; DL (Recomb.)'!$C$4</definedName>
    <definedName name="framesystem">[1]Sheet3!$B$39:$B$45</definedName>
    <definedName name="fy">'LL &amp; DL (Recomb.)'!$C$3</definedName>
    <definedName name="Ld_1">'LL &amp; DL (Recomb.)'!$C$11</definedName>
    <definedName name="Ld_2">'LL &amp; DL (Recomb.)'!$C$12</definedName>
    <definedName name="Ld_3">'LL &amp; DL (Recomb.)'!$C$15</definedName>
    <definedName name="Ld_4">'LL &amp; DL (Recomb.)'!$C$16</definedName>
    <definedName name="Ld_c">'LL &amp; DL (Recomb.)'!$C$22</definedName>
    <definedName name="Ld_h">'LL &amp; DL (Recomb.)'!$E$25</definedName>
    <definedName name="Ls_c1">'LL &amp; DL (Recomb.)'!$D$50</definedName>
    <definedName name="Ls_c2">'LL &amp; DL (Recomb.)'!$D$51</definedName>
    <definedName name="_xlnm.Print_Area" localSheetId="1">'LL &amp; DL (Recomb.)'!$A$1:$J$67</definedName>
    <definedName name="_xlnm.Print_Titles" localSheetId="1">'LL &amp; DL (Recomb.)'!$1:$1</definedName>
    <definedName name="λ">'LL &amp; DL (Recomb.)'!$C$8</definedName>
    <definedName name="ψe">'LL &amp; DL (Recomb.)'!$C$7</definedName>
    <definedName name="ψt">'LL &amp; DL (Recomb.)'!$C$6</definedName>
    <definedName name="ψt_top">'LL &amp; DL (Recomb.)'!$C$5</definedName>
  </definedNames>
  <calcPr calcId="162913"/>
</workbook>
</file>

<file path=xl/calcChain.xml><?xml version="1.0" encoding="utf-8"?>
<calcChain xmlns="http://schemas.openxmlformats.org/spreadsheetml/2006/main">
  <c r="I16" i="2" l="1"/>
  <c r="H16" i="2"/>
  <c r="H15" i="2"/>
  <c r="I15" i="2" s="1"/>
  <c r="D21" i="2" s="1"/>
  <c r="D15" i="2"/>
  <c r="D14" i="2"/>
  <c r="E20" i="2" s="1"/>
  <c r="D51" i="1"/>
  <c r="D50" i="1"/>
  <c r="E25" i="1"/>
  <c r="C62" i="1" s="1"/>
  <c r="E19" i="1"/>
  <c r="E21" i="1"/>
  <c r="C16" i="1"/>
  <c r="B66" i="1" s="1"/>
  <c r="C15" i="1"/>
  <c r="F64" i="1" s="1"/>
  <c r="C12" i="1"/>
  <c r="B61" i="1" s="1"/>
  <c r="C11" i="1"/>
  <c r="F59" i="1" s="1"/>
  <c r="J62" i="1" l="1"/>
  <c r="D20" i="2"/>
  <c r="C58" i="1"/>
  <c r="C63" i="1"/>
  <c r="C59" i="1"/>
  <c r="C64" i="1"/>
  <c r="C60" i="1"/>
  <c r="C65" i="1"/>
  <c r="C61" i="1"/>
  <c r="C66" i="1"/>
  <c r="G59" i="1"/>
  <c r="H59" i="1"/>
  <c r="H64" i="1"/>
  <c r="G64" i="1"/>
  <c r="F58" i="1"/>
  <c r="F60" i="1"/>
  <c r="F65" i="1"/>
  <c r="J58" i="1"/>
  <c r="J63" i="1"/>
  <c r="J59" i="1"/>
  <c r="F61" i="1"/>
  <c r="F66" i="1"/>
  <c r="J64" i="1"/>
  <c r="J60" i="1"/>
  <c r="F62" i="1"/>
  <c r="J65" i="1"/>
  <c r="J61" i="1"/>
  <c r="F63" i="1"/>
  <c r="J66" i="1"/>
  <c r="E66" i="1"/>
  <c r="D66" i="1"/>
  <c r="D61" i="1"/>
  <c r="E61" i="1"/>
  <c r="B62" i="1"/>
  <c r="B64" i="1"/>
  <c r="B63" i="1"/>
  <c r="B59" i="1"/>
  <c r="B58" i="1"/>
  <c r="B60" i="1"/>
  <c r="B65" i="1"/>
  <c r="C22" i="1"/>
  <c r="G58" i="1" l="1"/>
  <c r="H58" i="1"/>
  <c r="G63" i="1"/>
  <c r="H63" i="1"/>
  <c r="H60" i="1"/>
  <c r="G60" i="1"/>
  <c r="G62" i="1"/>
  <c r="H62" i="1"/>
  <c r="G61" i="1"/>
  <c r="H61" i="1"/>
  <c r="G65" i="1"/>
  <c r="H65" i="1"/>
  <c r="I61" i="1"/>
  <c r="I65" i="1"/>
  <c r="I60" i="1"/>
  <c r="I64" i="1"/>
  <c r="I59" i="1"/>
  <c r="I63" i="1"/>
  <c r="I58" i="1"/>
  <c r="I62" i="1"/>
  <c r="I66" i="1"/>
  <c r="G66" i="1"/>
  <c r="H66" i="1"/>
  <c r="E62" i="1"/>
  <c r="D62" i="1"/>
  <c r="D64" i="1"/>
  <c r="E64" i="1"/>
  <c r="D60" i="1"/>
  <c r="E60" i="1"/>
  <c r="D65" i="1"/>
  <c r="E65" i="1"/>
  <c r="D63" i="1"/>
  <c r="E63" i="1"/>
  <c r="D58" i="1"/>
  <c r="E58" i="1"/>
  <c r="D59" i="1"/>
  <c r="E59" i="1"/>
</calcChain>
</file>

<file path=xl/sharedStrings.xml><?xml version="1.0" encoding="utf-8"?>
<sst xmlns="http://schemas.openxmlformats.org/spreadsheetml/2006/main" count="106" uniqueCount="89">
  <si>
    <t>fy</t>
  </si>
  <si>
    <r>
      <t>N/mm</t>
    </r>
    <r>
      <rPr>
        <vertAlign val="superscript"/>
        <sz val="11"/>
        <color theme="1"/>
        <rFont val="Calibri"/>
        <family val="2"/>
        <scheme val="minor"/>
      </rPr>
      <t>2</t>
    </r>
  </si>
  <si>
    <t>fc'</t>
  </si>
  <si>
    <r>
      <t>ψ</t>
    </r>
    <r>
      <rPr>
        <vertAlign val="subscript"/>
        <sz val="11"/>
        <color theme="1"/>
        <rFont val="Calibri"/>
        <family val="2"/>
        <scheme val="minor"/>
      </rPr>
      <t>t</t>
    </r>
  </si>
  <si>
    <t>For Top bars (Min. 300mm concrete Cast below), ACI 12.2.4</t>
  </si>
  <si>
    <r>
      <t>ψ</t>
    </r>
    <r>
      <rPr>
        <vertAlign val="subscript"/>
        <sz val="11"/>
        <color theme="1"/>
        <rFont val="Calibri"/>
        <family val="2"/>
        <scheme val="minor"/>
      </rPr>
      <t>e</t>
    </r>
  </si>
  <si>
    <t>For uncoated and zinc-coated (galvanized) reinforcement,, ACI 12.2.4</t>
  </si>
  <si>
    <t>For others, ACI 12.2.4</t>
  </si>
  <si>
    <t>=</t>
  </si>
  <si>
    <t>λ</t>
  </si>
  <si>
    <t>For normalweight concrete</t>
  </si>
  <si>
    <t>Ld for Bars dia &lt;= 20 mm :</t>
  </si>
  <si>
    <t>Ld for Bars dia &gt; 20 mm :</t>
  </si>
  <si>
    <t>ACI 12.2.2</t>
  </si>
  <si>
    <t>Top bars (Min. 300mm concrete Cast below)</t>
  </si>
  <si>
    <t xml:space="preserve">DEVELOPMENT AND SPLICES OF REINFORCEMENT ACCORDING ACI318M-08, CHAPTER 12 </t>
  </si>
  <si>
    <t>a- Tension Development Length Calculations According ACI 12.2:</t>
  </si>
  <si>
    <t>b- Compression Development Length Calculations According ACI 12.3:</t>
  </si>
  <si>
    <t>ACI 12.3.2</t>
  </si>
  <si>
    <r>
      <t xml:space="preserve">and not less than </t>
    </r>
    <r>
      <rPr>
        <b/>
        <u/>
        <sz val="11"/>
        <color theme="1"/>
        <rFont val="Calibri"/>
        <family val="2"/>
        <scheme val="minor"/>
      </rPr>
      <t>200 mm</t>
    </r>
    <r>
      <rPr>
        <sz val="11"/>
        <color theme="1"/>
        <rFont val="Calibri"/>
        <family val="2"/>
        <scheme val="minor"/>
      </rPr>
      <t>, ACI 12.3.1</t>
    </r>
  </si>
  <si>
    <t>c- Tension Development of standard hooks length Calculations According ACI 12.5:</t>
  </si>
  <si>
    <t>d- Tension Splice Length Calculations According ACI 12.15:</t>
  </si>
  <si>
    <t>e- Comperssion Splice Length Calculations According ACI 12.16:</t>
  </si>
  <si>
    <t>ACI 12.5.2</t>
  </si>
  <si>
    <r>
      <t>and shall not be less than the larger of</t>
    </r>
    <r>
      <rPr>
        <b/>
        <u/>
        <sz val="11"/>
        <color theme="1"/>
        <rFont val="Calibri"/>
        <family val="2"/>
        <scheme val="minor"/>
      </rPr>
      <t xml:space="preserve"> 8db and 150 mm</t>
    </r>
    <r>
      <rPr>
        <sz val="11"/>
        <color theme="1"/>
        <rFont val="Calibri"/>
        <family val="2"/>
        <scheme val="minor"/>
      </rPr>
      <t>, ACI 12.5.1</t>
    </r>
  </si>
  <si>
    <r>
      <rPr>
        <sz val="11"/>
        <color theme="1"/>
        <rFont val="ScriptC"/>
      </rPr>
      <t>L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</si>
  <si>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criptC"/>
      </rPr>
      <t>L</t>
    </r>
    <r>
      <rPr>
        <vertAlign val="subscript"/>
        <sz val="11"/>
        <color theme="1"/>
        <rFont val="Calibri"/>
        <family val="2"/>
        <scheme val="minor"/>
      </rPr>
      <t xml:space="preserve">dc </t>
    </r>
    <r>
      <rPr>
        <sz val="11"/>
        <color theme="1"/>
        <rFont val="Calibri"/>
        <family val="2"/>
        <scheme val="minor"/>
      </rPr>
      <t>= max of</t>
    </r>
  </si>
  <si>
    <r>
      <rPr>
        <sz val="11"/>
        <color theme="1"/>
        <rFont val="ScriptC"/>
      </rPr>
      <t>L</t>
    </r>
    <r>
      <rPr>
        <vertAlign val="subscript"/>
        <sz val="11"/>
        <color theme="1"/>
        <rFont val="Calibri"/>
        <family val="2"/>
        <scheme val="minor"/>
      </rPr>
      <t>dh</t>
    </r>
    <r>
      <rPr>
        <sz val="11"/>
        <color theme="1"/>
        <rFont val="Calibri"/>
        <family val="2"/>
        <scheme val="minor"/>
      </rPr>
      <t xml:space="preserve"> =</t>
    </r>
  </si>
  <si>
    <t>ACI 12.16.1</t>
  </si>
  <si>
    <t>For fy &lt;= 420 MPa=</t>
  </si>
  <si>
    <t>For fy &gt; 420 MPa=</t>
  </si>
  <si>
    <t>MINIMUM DEVELOPMENT AND SPLICE LENGTHS (mm)</t>
  </si>
  <si>
    <t>TENSION</t>
  </si>
  <si>
    <t>COMPRESSION</t>
  </si>
  <si>
    <t>SPLICE</t>
  </si>
  <si>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</si>
  <si>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 xml:space="preserve">Class A Splice = </t>
    </r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</si>
  <si>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>Class B Splice   = 1.3</t>
    </r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</si>
  <si>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 xml:space="preserve">Class A Splice= </t>
    </r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</si>
  <si>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>Class B Splice= 1.3</t>
    </r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</si>
  <si>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 xml:space="preserve"> </t>
    </r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</si>
  <si>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 xml:space="preserve">Hook      </t>
    </r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dh</t>
    </r>
  </si>
  <si>
    <r>
      <rPr>
        <b/>
        <sz val="11"/>
        <color theme="1"/>
        <rFont val="ScriptC"/>
      </rPr>
      <t>L</t>
    </r>
    <r>
      <rPr>
        <b/>
        <vertAlign val="subscript"/>
        <sz val="11"/>
        <color theme="1"/>
        <rFont val="Calibri"/>
        <family val="2"/>
        <scheme val="minor"/>
      </rPr>
      <t>dc</t>
    </r>
  </si>
  <si>
    <r>
      <t xml:space="preserve">Bar Size  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(mm)</t>
    </r>
  </si>
  <si>
    <t>This is the poperties of CETA BD</t>
  </si>
  <si>
    <r>
      <t xml:space="preserve">This is the Poperty of </t>
    </r>
    <r>
      <rPr>
        <sz val="26"/>
        <color rgb="FFFF0000"/>
        <rFont val="Calibri"/>
        <family val="2"/>
        <scheme val="minor"/>
      </rPr>
      <t>qLearnify</t>
    </r>
  </si>
  <si>
    <t>This Channel are Manageing By SM Hedaetullah And N.J. Disha (B.Sc. In Civil Engineering)</t>
  </si>
  <si>
    <t>Support us And stay connected</t>
  </si>
  <si>
    <t>This file is only for edicational Perpose. Pls don't misuse it.</t>
  </si>
  <si>
    <t>fy=</t>
  </si>
  <si>
    <t>Mpa</t>
  </si>
  <si>
    <t>f'c=</t>
  </si>
  <si>
    <t>Taken Factor</t>
  </si>
  <si>
    <t>Bar Dia=</t>
  </si>
  <si>
    <t>mm</t>
  </si>
  <si>
    <r>
      <rPr>
        <sz val="16"/>
        <color theme="1"/>
        <rFont val="Calibri"/>
        <family val="2"/>
      </rPr>
      <t>ᴪ</t>
    </r>
    <r>
      <rPr>
        <sz val="11"/>
        <color theme="1"/>
        <rFont val="Calibri"/>
        <family val="2"/>
      </rPr>
      <t>t=</t>
    </r>
  </si>
  <si>
    <t>As Per BNBC 2020 , ACI 318</t>
  </si>
  <si>
    <r>
      <rPr>
        <sz val="16"/>
        <color theme="1"/>
        <rFont val="Calibri"/>
        <family val="2"/>
      </rPr>
      <t>ᴪ</t>
    </r>
    <r>
      <rPr>
        <sz val="11"/>
        <color theme="1"/>
        <rFont val="Calibri"/>
        <family val="2"/>
      </rPr>
      <t>e=</t>
    </r>
  </si>
  <si>
    <t>λ=</t>
  </si>
  <si>
    <t>Development Length</t>
  </si>
  <si>
    <t>Tension Ld=</t>
  </si>
  <si>
    <t>in</t>
  </si>
  <si>
    <t>for &gt;21</t>
  </si>
  <si>
    <t>Compretion Ld=</t>
  </si>
  <si>
    <t>for =&gt;420</t>
  </si>
  <si>
    <t>for &lt;420</t>
  </si>
  <si>
    <t>Lap Length</t>
  </si>
  <si>
    <t>Class A</t>
  </si>
  <si>
    <t>Class B</t>
  </si>
  <si>
    <t>Tension LL=</t>
  </si>
  <si>
    <t>Compretion LL=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</si>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</sst>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&quot;d&quot;"/>
    <numFmt numFmtId="165" formatCode="0.0"/>
    <numFmt numFmtId="166" formatCode="&quot;=&quot;\ 0.0\ &quot;dp&quot;"/>
    <numFmt numFmtId="167" formatCode="0.0\ &quot;d&quot;"/>
    <numFmt numFmtId="168" formatCode="&quot;=&quot;\ 0.0\ &quot;d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sz val="11"/>
      <color theme="1"/>
      <name val="ScriptC"/>
    </font>
    <font>
      <b/>
      <sz val="11"/>
      <color theme="1"/>
      <name val="ScriptC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sz val="22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65" fontId="5" fillId="0" borderId="12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17" xfId="0" applyFont="1" applyBorder="1" applyProtection="1">
      <protection hidden="1"/>
    </xf>
    <xf numFmtId="0" fontId="0" fillId="0" borderId="40" xfId="0" applyBorder="1" applyProtection="1">
      <protection hidden="1"/>
    </xf>
    <xf numFmtId="0" fontId="0" fillId="0" borderId="17" xfId="0" applyBorder="1" applyProtection="1">
      <protection hidden="1"/>
    </xf>
    <xf numFmtId="0" fontId="4" fillId="0" borderId="0" xfId="0" applyFont="1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right"/>
      <protection hidden="1"/>
    </xf>
    <xf numFmtId="167" fontId="8" fillId="0" borderId="12" xfId="0" applyNumberFormat="1" applyFon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168" fontId="8" fillId="0" borderId="0" xfId="0" applyNumberFormat="1" applyFont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left" vertical="center"/>
      <protection hidden="1"/>
    </xf>
    <xf numFmtId="0" fontId="0" fillId="0" borderId="20" xfId="0" applyBorder="1" applyProtection="1">
      <protection hidden="1"/>
    </xf>
    <xf numFmtId="168" fontId="8" fillId="0" borderId="20" xfId="0" applyNumberFormat="1" applyFont="1" applyBorder="1" applyAlignment="1" applyProtection="1">
      <alignment horizontal="center" vertical="center"/>
      <protection hidden="1"/>
    </xf>
    <xf numFmtId="0" fontId="0" fillId="0" borderId="41" xfId="0" applyBorder="1" applyProtection="1">
      <protection hidden="1"/>
    </xf>
    <xf numFmtId="166" fontId="8" fillId="0" borderId="0" xfId="0" applyNumberFormat="1" applyFont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/>
      <protection locked="0" hidden="1"/>
    </xf>
    <xf numFmtId="1" fontId="11" fillId="0" borderId="8" xfId="0" applyNumberFormat="1" applyFont="1" applyBorder="1" applyAlignment="1" applyProtection="1">
      <alignment horizontal="center" vertical="center"/>
      <protection hidden="1"/>
    </xf>
    <xf numFmtId="1" fontId="11" fillId="0" borderId="9" xfId="0" applyNumberFormat="1" applyFont="1" applyBorder="1" applyAlignment="1" applyProtection="1">
      <alignment horizontal="center" vertical="center"/>
      <protection hidden="1"/>
    </xf>
    <xf numFmtId="1" fontId="11" fillId="0" borderId="34" xfId="0" applyNumberFormat="1" applyFont="1" applyBorder="1" applyAlignment="1" applyProtection="1">
      <alignment horizontal="center" vertical="center"/>
      <protection hidden="1"/>
    </xf>
    <xf numFmtId="1" fontId="11" fillId="0" borderId="10" xfId="0" applyNumberFormat="1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locked="0" hidden="1"/>
    </xf>
    <xf numFmtId="1" fontId="11" fillId="0" borderId="2" xfId="0" applyNumberFormat="1" applyFont="1" applyBorder="1" applyAlignment="1" applyProtection="1">
      <alignment horizontal="center" vertical="center"/>
      <protection hidden="1"/>
    </xf>
    <xf numFmtId="1" fontId="11" fillId="0" borderId="1" xfId="0" applyNumberFormat="1" applyFont="1" applyBorder="1" applyAlignment="1" applyProtection="1">
      <alignment horizontal="center" vertical="center"/>
      <protection hidden="1"/>
    </xf>
    <xf numFmtId="1" fontId="11" fillId="0" borderId="25" xfId="0" applyNumberFormat="1" applyFont="1" applyBorder="1" applyAlignment="1" applyProtection="1">
      <alignment horizontal="center" vertical="center"/>
      <protection hidden="1"/>
    </xf>
    <xf numFmtId="1" fontId="11" fillId="0" borderId="3" xfId="0" applyNumberFormat="1" applyFont="1" applyBorder="1" applyAlignment="1" applyProtection="1">
      <alignment horizontal="center" vertical="center"/>
      <protection hidden="1"/>
    </xf>
    <xf numFmtId="1" fontId="12" fillId="0" borderId="2" xfId="0" applyNumberFormat="1" applyFont="1" applyBorder="1" applyAlignment="1" applyProtection="1">
      <alignment horizontal="center" vertical="center"/>
      <protection hidden="1"/>
    </xf>
    <xf numFmtId="1" fontId="12" fillId="0" borderId="1" xfId="0" applyNumberFormat="1" applyFont="1" applyBorder="1" applyAlignment="1" applyProtection="1">
      <alignment horizontal="center" vertical="center"/>
      <protection hidden="1"/>
    </xf>
    <xf numFmtId="1" fontId="12" fillId="0" borderId="25" xfId="0" applyNumberFormat="1" applyFont="1" applyBorder="1" applyAlignment="1" applyProtection="1">
      <alignment horizontal="center" vertical="center"/>
      <protection hidden="1"/>
    </xf>
    <xf numFmtId="1" fontId="12" fillId="0" borderId="3" xfId="0" applyNumberFormat="1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locked="0" hidden="1"/>
    </xf>
    <xf numFmtId="1" fontId="12" fillId="0" borderId="4" xfId="0" applyNumberFormat="1" applyFont="1" applyBorder="1" applyAlignment="1" applyProtection="1">
      <alignment horizontal="center" vertical="center"/>
      <protection hidden="1"/>
    </xf>
    <xf numFmtId="1" fontId="11" fillId="0" borderId="5" xfId="0" applyNumberFormat="1" applyFont="1" applyBorder="1" applyAlignment="1" applyProtection="1">
      <alignment horizontal="center" vertical="center"/>
      <protection hidden="1"/>
    </xf>
    <xf numFmtId="1" fontId="12" fillId="0" borderId="5" xfId="0" applyNumberFormat="1" applyFont="1" applyBorder="1" applyAlignment="1" applyProtection="1">
      <alignment horizontal="center" vertical="center"/>
      <protection hidden="1"/>
    </xf>
    <xf numFmtId="1" fontId="12" fillId="0" borderId="33" xfId="0" applyNumberFormat="1" applyFont="1" applyBorder="1" applyAlignment="1" applyProtection="1">
      <alignment horizontal="center" vertical="center"/>
      <protection hidden="1"/>
    </xf>
    <xf numFmtId="1" fontId="12" fillId="0" borderId="6" xfId="0" applyNumberFormat="1" applyFont="1" applyBorder="1" applyAlignment="1" applyProtection="1">
      <alignment horizontal="center" vertical="center"/>
      <protection hidden="1"/>
    </xf>
    <xf numFmtId="1" fontId="11" fillId="0" borderId="4" xfId="0" applyNumberFormat="1" applyFont="1" applyBorder="1" applyAlignment="1" applyProtection="1">
      <alignment horizontal="center" vertical="center"/>
      <protection hidden="1"/>
    </xf>
    <xf numFmtId="1" fontId="11" fillId="0" borderId="6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5" borderId="1" xfId="0" applyFill="1" applyBorder="1" applyProtection="1">
      <protection locked="0"/>
    </xf>
    <xf numFmtId="0" fontId="19" fillId="0" borderId="0" xfId="0" applyFont="1" applyAlignment="1" applyProtection="1">
      <alignment horizontal="right"/>
      <protection hidden="1"/>
    </xf>
    <xf numFmtId="0" fontId="0" fillId="6" borderId="1" xfId="0" applyFill="1" applyBorder="1" applyAlignment="1" applyProtection="1">
      <alignment horizontal="left"/>
      <protection locked="0"/>
    </xf>
    <xf numFmtId="2" fontId="0" fillId="0" borderId="0" xfId="0" applyNumberFormat="1" applyProtection="1">
      <protection hidden="1"/>
    </xf>
    <xf numFmtId="0" fontId="14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21" fillId="0" borderId="0" xfId="1" applyAlignment="1" applyProtection="1">
      <alignment horizontal="left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30" xfId="0" applyFont="1" applyBorder="1" applyAlignment="1" applyProtection="1">
      <alignment horizontal="center" vertical="center" wrapText="1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left" vertical="center" wrapText="1"/>
      <protection hidden="1"/>
    </xf>
    <xf numFmtId="0" fontId="3" fillId="0" borderId="16" xfId="0" applyFont="1" applyBorder="1" applyAlignment="1" applyProtection="1">
      <alignment horizontal="left" vertical="center" wrapText="1"/>
      <protection hidden="1"/>
    </xf>
    <xf numFmtId="0" fontId="3" fillId="0" borderId="18" xfId="0" applyFont="1" applyBorder="1" applyAlignment="1" applyProtection="1">
      <alignment horizontal="left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36" xfId="0" applyFont="1" applyBorder="1" applyAlignment="1" applyProtection="1">
      <alignment horizontal="center" vertical="center" wrapText="1"/>
      <protection hidden="1"/>
    </xf>
    <xf numFmtId="0" fontId="1" fillId="0" borderId="39" xfId="0" applyFont="1" applyBorder="1" applyAlignment="1" applyProtection="1">
      <alignment horizontal="center" vertical="center" wrapText="1"/>
      <protection hidden="1"/>
    </xf>
    <xf numFmtId="0" fontId="1" fillId="0" borderId="31" xfId="0" applyFont="1" applyBorder="1" applyAlignment="1" applyProtection="1">
      <alignment horizontal="center" vertical="center" wrapText="1"/>
      <protection hidden="1"/>
    </xf>
    <xf numFmtId="0" fontId="1" fillId="0" borderId="38" xfId="0" applyFont="1" applyBorder="1" applyAlignment="1" applyProtection="1">
      <alignment horizontal="center" vertical="center" wrapText="1"/>
      <protection hidden="1"/>
    </xf>
    <xf numFmtId="0" fontId="1" fillId="0" borderId="37" xfId="0" applyFont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 wrapText="1"/>
      <protection hidden="1"/>
    </xf>
    <xf numFmtId="0" fontId="0" fillId="0" borderId="27" xfId="0" applyBorder="1" applyAlignment="1" applyProtection="1">
      <alignment horizontal="center" vertical="center" wrapText="1"/>
      <protection hidden="1"/>
    </xf>
    <xf numFmtId="0" fontId="0" fillId="0" borderId="32" xfId="0" applyBorder="1" applyAlignment="1" applyProtection="1">
      <alignment horizontal="center" vertical="center" wrapText="1"/>
      <protection hidden="1"/>
    </xf>
    <xf numFmtId="0" fontId="1" fillId="0" borderId="26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center" wrapText="1"/>
      <protection hidden="1"/>
    </xf>
    <xf numFmtId="0" fontId="0" fillId="0" borderId="14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wrapText="1"/>
      <protection hidden="1"/>
    </xf>
    <xf numFmtId="0" fontId="0" fillId="0" borderId="17" xfId="0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24" xfId="0" applyBorder="1" applyAlignment="1" applyProtection="1">
      <alignment horizontal="left" vertical="center"/>
      <protection hidden="1"/>
    </xf>
    <xf numFmtId="0" fontId="0" fillId="0" borderId="20" xfId="0" applyBorder="1" applyAlignment="1" applyProtection="1">
      <alignment horizontal="left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center"/>
      <protection hidden="1"/>
    </xf>
    <xf numFmtId="0" fontId="17" fillId="3" borderId="0" xfId="0" applyFont="1" applyFill="1" applyAlignment="1" applyProtection="1">
      <alignment horizontal="center" vertical="center" wrapText="1"/>
      <protection hidden="1"/>
    </xf>
    <xf numFmtId="0" fontId="18" fillId="4" borderId="0" xfId="0" applyFont="1" applyFill="1" applyAlignment="1" applyProtection="1">
      <alignment horizontal="center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AC800-781D-47EC-9F3B-7F2AEED51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CFCC4B2B-3899-4B85-A5BD-EF9D0ED6FD5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</xdr:row>
      <xdr:rowOff>0</xdr:rowOff>
    </xdr:from>
    <xdr:to>
      <xdr:col>2</xdr:col>
      <xdr:colOff>695325</xdr:colOff>
      <xdr:row>9</xdr:row>
      <xdr:rowOff>552450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2162175"/>
          <a:ext cx="1104900" cy="552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428625</xdr:colOff>
      <xdr:row>13</xdr:row>
      <xdr:rowOff>28575</xdr:rowOff>
    </xdr:from>
    <xdr:to>
      <xdr:col>3</xdr:col>
      <xdr:colOff>9525</xdr:colOff>
      <xdr:row>13</xdr:row>
      <xdr:rowOff>571500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8225" y="3181350"/>
          <a:ext cx="1047750" cy="542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200025</xdr:colOff>
      <xdr:row>17</xdr:row>
      <xdr:rowOff>180976</xdr:rowOff>
    </xdr:from>
    <xdr:to>
      <xdr:col>3</xdr:col>
      <xdr:colOff>704850</xdr:colOff>
      <xdr:row>18</xdr:row>
      <xdr:rowOff>186942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71625" y="4514851"/>
          <a:ext cx="1209675" cy="2155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409576</xdr:colOff>
      <xdr:row>19</xdr:row>
      <xdr:rowOff>180976</xdr:rowOff>
    </xdr:from>
    <xdr:to>
      <xdr:col>3</xdr:col>
      <xdr:colOff>485776</xdr:colOff>
      <xdr:row>20</xdr:row>
      <xdr:rowOff>179348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1176" y="4972051"/>
          <a:ext cx="781050" cy="2269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723899</xdr:colOff>
      <xdr:row>17</xdr:row>
      <xdr:rowOff>104775</xdr:rowOff>
    </xdr:from>
    <xdr:to>
      <xdr:col>2</xdr:col>
      <xdr:colOff>371475</xdr:colOff>
      <xdr:row>20</xdr:row>
      <xdr:rowOff>152400</xdr:rowOff>
    </xdr:to>
    <xdr:sp macro="" textlink="">
      <xdr:nvSpPr>
        <xdr:cNvPr id="9" name="Left Brac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333499" y="4438650"/>
          <a:ext cx="409576" cy="733425"/>
        </a:xfrm>
        <a:prstGeom prst="leftBrace">
          <a:avLst>
            <a:gd name="adj1" fmla="val 8333"/>
            <a:gd name="adj2" fmla="val 4777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85725</xdr:colOff>
      <xdr:row>39</xdr:row>
      <xdr:rowOff>66675</xdr:rowOff>
    </xdr:from>
    <xdr:to>
      <xdr:col>4</xdr:col>
      <xdr:colOff>590550</xdr:colOff>
      <xdr:row>45</xdr:row>
      <xdr:rowOff>43320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5725" y="8858250"/>
          <a:ext cx="3343275" cy="11196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39</xdr:row>
      <xdr:rowOff>28576</xdr:rowOff>
    </xdr:from>
    <xdr:to>
      <xdr:col>9</xdr:col>
      <xdr:colOff>397118</xdr:colOff>
      <xdr:row>47</xdr:row>
      <xdr:rowOff>161926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71875" y="8820151"/>
          <a:ext cx="3378443" cy="165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323850</xdr:colOff>
      <xdr:row>24</xdr:row>
      <xdr:rowOff>9524</xdr:rowOff>
    </xdr:from>
    <xdr:to>
      <xdr:col>3</xdr:col>
      <xdr:colOff>361950</xdr:colOff>
      <xdr:row>25</xdr:row>
      <xdr:rowOff>1955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33450" y="5848349"/>
          <a:ext cx="1504950" cy="259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495300</xdr:colOff>
      <xdr:row>26</xdr:row>
      <xdr:rowOff>66675</xdr:rowOff>
    </xdr:from>
    <xdr:to>
      <xdr:col>6</xdr:col>
      <xdr:colOff>123825</xdr:colOff>
      <xdr:row>36</xdr:row>
      <xdr:rowOff>183928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866900" y="6343650"/>
          <a:ext cx="2505075" cy="20222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666750</xdr:colOff>
      <xdr:row>49</xdr:row>
      <xdr:rowOff>76200</xdr:rowOff>
    </xdr:from>
    <xdr:to>
      <xdr:col>2</xdr:col>
      <xdr:colOff>628650</xdr:colOff>
      <xdr:row>49</xdr:row>
      <xdr:rowOff>266700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276350" y="12068175"/>
          <a:ext cx="7239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476250</xdr:colOff>
      <xdr:row>50</xdr:row>
      <xdr:rowOff>57150</xdr:rowOff>
    </xdr:from>
    <xdr:to>
      <xdr:col>3</xdr:col>
      <xdr:colOff>161925</xdr:colOff>
      <xdr:row>50</xdr:row>
      <xdr:rowOff>257175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085850" y="12344400"/>
          <a:ext cx="1152525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4" customWidth="1"/>
    <col min="2" max="16384" width="9.140625" style="4"/>
  </cols>
  <sheetData>
    <row r="14" spans="2:10" ht="15" customHeight="1" x14ac:dyDescent="0.25">
      <c r="B14" s="55" t="s">
        <v>71</v>
      </c>
      <c r="C14" s="55"/>
      <c r="D14" s="55"/>
      <c r="E14" s="55"/>
      <c r="F14" s="55"/>
      <c r="G14" s="55"/>
      <c r="H14" s="55"/>
      <c r="I14" s="55"/>
      <c r="J14" s="55"/>
    </row>
    <row r="15" spans="2:10" ht="15" customHeight="1" x14ac:dyDescent="0.25">
      <c r="B15" s="55"/>
      <c r="C15" s="55"/>
      <c r="D15" s="55"/>
      <c r="E15" s="55"/>
      <c r="F15" s="55"/>
      <c r="G15" s="55"/>
      <c r="H15" s="55"/>
      <c r="I15" s="55"/>
      <c r="J15" s="55"/>
    </row>
    <row r="16" spans="2:10" x14ac:dyDescent="0.25">
      <c r="B16" s="55"/>
      <c r="C16" s="55"/>
      <c r="D16" s="55"/>
      <c r="E16" s="55"/>
      <c r="F16" s="55"/>
      <c r="G16" s="55"/>
      <c r="H16" s="55"/>
      <c r="I16" s="55"/>
      <c r="J16" s="55"/>
    </row>
    <row r="17" spans="2:10" x14ac:dyDescent="0.25">
      <c r="C17" s="53" t="s">
        <v>72</v>
      </c>
      <c r="D17" s="53"/>
      <c r="E17" s="54" t="s">
        <v>73</v>
      </c>
      <c r="F17" s="54"/>
      <c r="G17" s="54"/>
      <c r="H17" s="54"/>
      <c r="I17" s="54"/>
      <c r="J17" s="54"/>
    </row>
    <row r="18" spans="2:10" x14ac:dyDescent="0.25">
      <c r="C18" s="53" t="s">
        <v>74</v>
      </c>
      <c r="D18" s="53"/>
      <c r="E18" s="54" t="s">
        <v>75</v>
      </c>
      <c r="F18" s="54"/>
      <c r="G18" s="54"/>
      <c r="H18" s="54"/>
      <c r="I18" s="54"/>
      <c r="J18" s="54"/>
    </row>
    <row r="19" spans="2:10" x14ac:dyDescent="0.25">
      <c r="C19" s="53" t="s">
        <v>76</v>
      </c>
      <c r="D19" s="53"/>
      <c r="E19" s="54" t="s">
        <v>77</v>
      </c>
      <c r="F19" s="54"/>
      <c r="G19" s="54"/>
      <c r="H19" s="54"/>
      <c r="I19" s="54"/>
      <c r="J19" s="54"/>
    </row>
    <row r="20" spans="2:10" x14ac:dyDescent="0.25">
      <c r="C20" s="53" t="s">
        <v>78</v>
      </c>
      <c r="D20" s="53"/>
      <c r="E20" s="54" t="s">
        <v>79</v>
      </c>
      <c r="F20" s="54"/>
      <c r="G20" s="54"/>
      <c r="H20" s="54"/>
      <c r="I20" s="54"/>
      <c r="J20" s="54"/>
    </row>
    <row r="21" spans="2:10" x14ac:dyDescent="0.25">
      <c r="C21" s="53" t="s">
        <v>80</v>
      </c>
      <c r="D21" s="53"/>
      <c r="E21" s="54" t="s">
        <v>81</v>
      </c>
      <c r="F21" s="54"/>
      <c r="G21" s="54"/>
      <c r="H21" s="54"/>
      <c r="I21" s="54"/>
      <c r="J21" s="54"/>
    </row>
    <row r="22" spans="2:10" x14ac:dyDescent="0.25">
      <c r="C22" s="53" t="s">
        <v>82</v>
      </c>
      <c r="D22" s="53"/>
      <c r="E22" s="54" t="s">
        <v>83</v>
      </c>
      <c r="F22" s="54"/>
      <c r="G22" s="54"/>
      <c r="H22" s="54"/>
      <c r="I22" s="54"/>
      <c r="J22" s="54"/>
    </row>
    <row r="24" spans="2:10" ht="15" customHeight="1" x14ac:dyDescent="0.25">
      <c r="B24" s="56" t="s">
        <v>84</v>
      </c>
      <c r="C24" s="56"/>
      <c r="D24" s="56"/>
      <c r="E24" s="56"/>
      <c r="F24" s="56"/>
      <c r="G24" s="56"/>
      <c r="H24" s="56"/>
      <c r="I24" s="56"/>
      <c r="J24" s="56"/>
    </row>
    <row r="25" spans="2:10" ht="15" customHeight="1" x14ac:dyDescent="0.25">
      <c r="B25" s="56"/>
      <c r="C25" s="56"/>
      <c r="D25" s="56"/>
      <c r="E25" s="56"/>
      <c r="F25" s="56"/>
      <c r="G25" s="56"/>
      <c r="H25" s="56"/>
      <c r="I25" s="56"/>
      <c r="J25" s="56"/>
    </row>
    <row r="26" spans="2:10" ht="15" customHeight="1" x14ac:dyDescent="0.25">
      <c r="B26" s="56"/>
      <c r="C26" s="56"/>
      <c r="D26" s="56"/>
      <c r="E26" s="56"/>
      <c r="F26" s="56"/>
      <c r="G26" s="56"/>
      <c r="H26" s="56"/>
      <c r="I26" s="56"/>
      <c r="J26" s="56"/>
    </row>
    <row r="27" spans="2:10" x14ac:dyDescent="0.25">
      <c r="B27" s="56"/>
      <c r="C27" s="56"/>
      <c r="D27" s="56"/>
      <c r="E27" s="56"/>
      <c r="F27" s="56"/>
      <c r="G27" s="56"/>
      <c r="H27" s="56"/>
      <c r="I27" s="56"/>
      <c r="J27" s="56"/>
    </row>
    <row r="34" spans="1:13" ht="15.75" x14ac:dyDescent="0.25">
      <c r="A34" s="52" t="s">
        <v>85</v>
      </c>
      <c r="B34" s="54" t="s">
        <v>86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spans="1:13" ht="15.75" x14ac:dyDescent="0.25">
      <c r="A35" s="52"/>
    </row>
    <row r="36" spans="1:13" ht="15.75" x14ac:dyDescent="0.25">
      <c r="A36" s="52" t="s">
        <v>87</v>
      </c>
      <c r="B36" s="54" t="s">
        <v>88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6"/>
  <sheetViews>
    <sheetView showGridLines="0" tabSelected="1" topLeftCell="A40" zoomScaleNormal="100" zoomScaleSheetLayoutView="100" zoomScalePageLayoutView="110" workbookViewId="0">
      <selection activeCell="C4" sqref="C4"/>
    </sheetView>
  </sheetViews>
  <sheetFormatPr defaultRowHeight="15" x14ac:dyDescent="0.25"/>
  <cols>
    <col min="1" max="1" width="9.140625" style="4"/>
    <col min="2" max="2" width="11.42578125" style="4" customWidth="1"/>
    <col min="3" max="3" width="10.5703125" style="4" customWidth="1"/>
    <col min="4" max="4" width="11.42578125" style="4" customWidth="1"/>
    <col min="5" max="5" width="11" style="4" customWidth="1"/>
    <col min="6" max="6" width="10.140625" style="4" customWidth="1"/>
    <col min="7" max="7" width="12.42578125" style="4" customWidth="1"/>
    <col min="8" max="8" width="13" style="4" customWidth="1"/>
    <col min="9" max="16384" width="9.140625" style="4"/>
  </cols>
  <sheetData>
    <row r="1" spans="1:11" ht="22.5" customHeight="1" thickBot="1" x14ac:dyDescent="0.3">
      <c r="A1" s="62" t="s">
        <v>15</v>
      </c>
      <c r="B1" s="63"/>
      <c r="C1" s="63"/>
      <c r="D1" s="63"/>
      <c r="E1" s="63"/>
      <c r="F1" s="63"/>
      <c r="G1" s="63"/>
      <c r="H1" s="63"/>
      <c r="I1" s="63"/>
      <c r="J1" s="64"/>
    </row>
    <row r="2" spans="1:11" ht="15.75" thickBot="1" x14ac:dyDescent="0.3">
      <c r="A2" s="5" t="s">
        <v>16</v>
      </c>
      <c r="J2" s="6"/>
    </row>
    <row r="3" spans="1:11" ht="18" thickBot="1" x14ac:dyDescent="0.3">
      <c r="A3" s="7"/>
      <c r="B3" s="4" t="s">
        <v>0</v>
      </c>
      <c r="C3" s="1">
        <v>413.89</v>
      </c>
      <c r="D3" s="4" t="s">
        <v>1</v>
      </c>
      <c r="J3" s="6"/>
      <c r="K3" s="4" t="s">
        <v>44</v>
      </c>
    </row>
    <row r="4" spans="1:11" ht="18" thickBot="1" x14ac:dyDescent="0.3">
      <c r="A4" s="7"/>
      <c r="B4" s="4" t="s">
        <v>2</v>
      </c>
      <c r="C4" s="2">
        <v>24</v>
      </c>
      <c r="D4" s="4" t="s">
        <v>1</v>
      </c>
      <c r="J4" s="6"/>
    </row>
    <row r="5" spans="1:11" ht="18.75" thickBot="1" x14ac:dyDescent="0.4">
      <c r="A5" s="7"/>
      <c r="B5" s="4" t="s">
        <v>3</v>
      </c>
      <c r="C5" s="3">
        <v>1.3</v>
      </c>
      <c r="D5" s="4" t="s">
        <v>4</v>
      </c>
      <c r="J5" s="6"/>
    </row>
    <row r="6" spans="1:11" ht="15.75" thickBot="1" x14ac:dyDescent="0.3">
      <c r="A6" s="7"/>
      <c r="C6" s="3">
        <v>1</v>
      </c>
      <c r="D6" s="4" t="s">
        <v>7</v>
      </c>
      <c r="J6" s="6"/>
    </row>
    <row r="7" spans="1:11" ht="18.75" thickBot="1" x14ac:dyDescent="0.4">
      <c r="A7" s="7"/>
      <c r="B7" s="4" t="s">
        <v>5</v>
      </c>
      <c r="C7" s="3">
        <v>1</v>
      </c>
      <c r="D7" s="4" t="s">
        <v>6</v>
      </c>
      <c r="J7" s="6"/>
    </row>
    <row r="8" spans="1:11" ht="15.75" thickBot="1" x14ac:dyDescent="0.3">
      <c r="A8" s="7"/>
      <c r="B8" s="4" t="s">
        <v>9</v>
      </c>
      <c r="C8" s="3">
        <v>1</v>
      </c>
      <c r="D8" s="4" t="s">
        <v>10</v>
      </c>
      <c r="J8" s="6"/>
    </row>
    <row r="9" spans="1:11" x14ac:dyDescent="0.25">
      <c r="A9" s="7"/>
      <c r="B9" s="8" t="s">
        <v>11</v>
      </c>
      <c r="J9" s="6"/>
    </row>
    <row r="10" spans="1:11" ht="48" customHeight="1" thickBot="1" x14ac:dyDescent="0.3">
      <c r="A10" s="7"/>
      <c r="B10" s="9" t="s">
        <v>25</v>
      </c>
      <c r="E10" s="10" t="s">
        <v>13</v>
      </c>
      <c r="J10" s="6"/>
    </row>
    <row r="11" spans="1:11" ht="15.75" thickBot="1" x14ac:dyDescent="0.3">
      <c r="A11" s="7"/>
      <c r="B11" s="11" t="s">
        <v>8</v>
      </c>
      <c r="C11" s="12">
        <f>fy*ψt_top*ψe/(2.1*λ*SQRT(fc))</f>
        <v>52.300202481455891</v>
      </c>
      <c r="D11" s="4" t="s">
        <v>4</v>
      </c>
      <c r="J11" s="6"/>
    </row>
    <row r="12" spans="1:11" ht="15.75" thickBot="1" x14ac:dyDescent="0.3">
      <c r="A12" s="7"/>
      <c r="B12" s="11" t="s">
        <v>8</v>
      </c>
      <c r="C12" s="12">
        <f>fy*ψt*ψe/(2.1*λ*SQRT(fc))</f>
        <v>40.2309249857353</v>
      </c>
      <c r="D12" s="4" t="s">
        <v>7</v>
      </c>
      <c r="F12" s="13"/>
      <c r="G12" s="13"/>
      <c r="H12" s="13"/>
      <c r="J12" s="6"/>
    </row>
    <row r="13" spans="1:11" x14ac:dyDescent="0.25">
      <c r="A13" s="7"/>
      <c r="B13" s="8" t="s">
        <v>12</v>
      </c>
      <c r="F13" s="14"/>
      <c r="J13" s="6"/>
    </row>
    <row r="14" spans="1:11" ht="48" customHeight="1" thickBot="1" x14ac:dyDescent="0.3">
      <c r="A14" s="7"/>
      <c r="B14" s="9" t="s">
        <v>25</v>
      </c>
      <c r="E14" s="10" t="s">
        <v>13</v>
      </c>
      <c r="J14" s="6"/>
    </row>
    <row r="15" spans="1:11" ht="15.75" thickBot="1" x14ac:dyDescent="0.3">
      <c r="A15" s="7"/>
      <c r="B15" s="11" t="s">
        <v>8</v>
      </c>
      <c r="C15" s="12">
        <f>fy*ψt_top*ψe/(1.7*λ*SQRT(fc))</f>
        <v>64.606132477092586</v>
      </c>
      <c r="D15" s="4" t="s">
        <v>4</v>
      </c>
      <c r="J15" s="6"/>
    </row>
    <row r="16" spans="1:11" ht="15.75" thickBot="1" x14ac:dyDescent="0.3">
      <c r="A16" s="7"/>
      <c r="B16" s="11" t="s">
        <v>8</v>
      </c>
      <c r="C16" s="12">
        <f>fy*ψt*ψe/(1.7*λ*SQRT(fc))</f>
        <v>49.697024982378906</v>
      </c>
      <c r="D16" s="4" t="s">
        <v>7</v>
      </c>
      <c r="J16" s="6"/>
    </row>
    <row r="17" spans="1:10" x14ac:dyDescent="0.25">
      <c r="A17" s="5" t="s">
        <v>17</v>
      </c>
      <c r="J17" s="6"/>
    </row>
    <row r="18" spans="1:10" x14ac:dyDescent="0.25">
      <c r="A18" s="7"/>
      <c r="J18" s="6"/>
    </row>
    <row r="19" spans="1:10" ht="21" customHeight="1" x14ac:dyDescent="0.25">
      <c r="A19" s="7"/>
      <c r="B19" s="80" t="s">
        <v>26</v>
      </c>
      <c r="E19" s="15">
        <f>0.24*fy/(λ*SQRT(fc))</f>
        <v>20.276386192810591</v>
      </c>
      <c r="F19" s="10" t="s">
        <v>18</v>
      </c>
      <c r="J19" s="6"/>
    </row>
    <row r="20" spans="1:10" ht="18" customHeight="1" x14ac:dyDescent="0.25">
      <c r="A20" s="7"/>
      <c r="B20" s="80"/>
      <c r="J20" s="6"/>
    </row>
    <row r="21" spans="1:10" ht="15.75" thickBot="1" x14ac:dyDescent="0.3">
      <c r="A21" s="7"/>
      <c r="E21" s="15">
        <f>0.043*fy</f>
        <v>17.797269999999997</v>
      </c>
      <c r="F21" s="10" t="s">
        <v>18</v>
      </c>
      <c r="J21" s="6"/>
    </row>
    <row r="22" spans="1:10" ht="15.75" thickBot="1" x14ac:dyDescent="0.3">
      <c r="A22" s="7"/>
      <c r="B22" s="11" t="s">
        <v>8</v>
      </c>
      <c r="C22" s="12">
        <f>MAX(E19,E21)</f>
        <v>20.276386192810591</v>
      </c>
      <c r="D22" s="4" t="s">
        <v>19</v>
      </c>
      <c r="J22" s="6"/>
    </row>
    <row r="23" spans="1:10" x14ac:dyDescent="0.25">
      <c r="A23" s="5" t="s">
        <v>20</v>
      </c>
      <c r="J23" s="6"/>
    </row>
    <row r="24" spans="1:10" x14ac:dyDescent="0.25">
      <c r="A24" s="7"/>
      <c r="J24" s="6"/>
    </row>
    <row r="25" spans="1:10" ht="21" customHeight="1" x14ac:dyDescent="0.55000000000000004">
      <c r="A25" s="7"/>
      <c r="B25" s="4" t="s">
        <v>27</v>
      </c>
      <c r="E25" s="15">
        <f>0.24*ψt*fy/(λ*SQRT(fc))</f>
        <v>20.276386192810591</v>
      </c>
      <c r="F25" s="10" t="s">
        <v>23</v>
      </c>
      <c r="J25" s="6"/>
    </row>
    <row r="26" spans="1:10" ht="13.5" customHeight="1" x14ac:dyDescent="0.25">
      <c r="A26" s="7"/>
      <c r="C26" s="81" t="s">
        <v>24</v>
      </c>
      <c r="D26" s="81"/>
      <c r="E26" s="81"/>
      <c r="F26" s="81"/>
      <c r="G26" s="81"/>
      <c r="J26" s="6"/>
    </row>
    <row r="27" spans="1:10" x14ac:dyDescent="0.25">
      <c r="A27" s="7"/>
      <c r="J27" s="6"/>
    </row>
    <row r="28" spans="1:10" x14ac:dyDescent="0.25">
      <c r="A28" s="7"/>
      <c r="J28" s="6"/>
    </row>
    <row r="29" spans="1:10" x14ac:dyDescent="0.25">
      <c r="A29" s="7"/>
      <c r="J29" s="6"/>
    </row>
    <row r="30" spans="1:10" x14ac:dyDescent="0.25">
      <c r="A30" s="7"/>
      <c r="J30" s="6"/>
    </row>
    <row r="31" spans="1:10" x14ac:dyDescent="0.25">
      <c r="A31" s="7"/>
      <c r="J31" s="6"/>
    </row>
    <row r="32" spans="1:10" x14ac:dyDescent="0.25">
      <c r="A32" s="7"/>
      <c r="J32" s="6"/>
    </row>
    <row r="33" spans="1:10" x14ac:dyDescent="0.25">
      <c r="A33" s="7"/>
      <c r="J33" s="6"/>
    </row>
    <row r="34" spans="1:10" x14ac:dyDescent="0.25">
      <c r="A34" s="7"/>
      <c r="J34" s="6"/>
    </row>
    <row r="35" spans="1:10" x14ac:dyDescent="0.25">
      <c r="A35" s="7"/>
      <c r="J35" s="6"/>
    </row>
    <row r="36" spans="1:10" x14ac:dyDescent="0.25">
      <c r="A36" s="7"/>
      <c r="J36" s="6"/>
    </row>
    <row r="37" spans="1:10" x14ac:dyDescent="0.25">
      <c r="A37" s="7"/>
      <c r="J37" s="6"/>
    </row>
    <row r="38" spans="1:10" x14ac:dyDescent="0.25">
      <c r="A38" s="7"/>
      <c r="J38" s="6"/>
    </row>
    <row r="39" spans="1:10" x14ac:dyDescent="0.25">
      <c r="A39" s="5" t="s">
        <v>21</v>
      </c>
      <c r="J39" s="6"/>
    </row>
    <row r="40" spans="1:10" x14ac:dyDescent="0.25">
      <c r="A40" s="7"/>
      <c r="J40" s="6"/>
    </row>
    <row r="41" spans="1:10" x14ac:dyDescent="0.25">
      <c r="A41" s="7"/>
      <c r="J41" s="6"/>
    </row>
    <row r="42" spans="1:10" x14ac:dyDescent="0.25">
      <c r="A42" s="7"/>
      <c r="J42" s="6"/>
    </row>
    <row r="43" spans="1:10" x14ac:dyDescent="0.25">
      <c r="A43" s="7"/>
      <c r="J43" s="6"/>
    </row>
    <row r="44" spans="1:10" x14ac:dyDescent="0.25">
      <c r="A44" s="7"/>
      <c r="E44" s="11"/>
      <c r="J44" s="6"/>
    </row>
    <row r="45" spans="1:10" x14ac:dyDescent="0.25">
      <c r="A45" s="7"/>
      <c r="E45" s="11"/>
      <c r="J45" s="6"/>
    </row>
    <row r="46" spans="1:10" x14ac:dyDescent="0.25">
      <c r="A46" s="7"/>
      <c r="J46" s="6"/>
    </row>
    <row r="47" spans="1:10" x14ac:dyDescent="0.25">
      <c r="A47" s="7"/>
      <c r="J47" s="6"/>
    </row>
    <row r="48" spans="1:10" x14ac:dyDescent="0.25">
      <c r="A48" s="7"/>
      <c r="J48" s="6"/>
    </row>
    <row r="49" spans="1:10" x14ac:dyDescent="0.25">
      <c r="A49" s="5" t="s">
        <v>22</v>
      </c>
      <c r="J49" s="6"/>
    </row>
    <row r="50" spans="1:10" ht="23.25" customHeight="1" x14ac:dyDescent="0.25">
      <c r="A50" s="82" t="s">
        <v>29</v>
      </c>
      <c r="B50" s="83"/>
      <c r="D50" s="15">
        <f>IF(fy&lt;=420,0.071*fy,0)</f>
        <v>29.386189999999996</v>
      </c>
      <c r="E50" s="10" t="s">
        <v>28</v>
      </c>
      <c r="J50" s="6"/>
    </row>
    <row r="51" spans="1:10" ht="21.75" customHeight="1" thickBot="1" x14ac:dyDescent="0.3">
      <c r="A51" s="84" t="s">
        <v>30</v>
      </c>
      <c r="B51" s="85"/>
      <c r="C51" s="17"/>
      <c r="D51" s="18">
        <f>IF(fy&gt;420,0.13*fy-24,0)</f>
        <v>0</v>
      </c>
      <c r="E51" s="16" t="s">
        <v>28</v>
      </c>
      <c r="F51" s="17"/>
      <c r="G51" s="17"/>
      <c r="H51" s="17"/>
      <c r="I51" s="17"/>
      <c r="J51" s="19"/>
    </row>
    <row r="52" spans="1:10" ht="21.75" customHeight="1" x14ac:dyDescent="0.25">
      <c r="A52" s="10"/>
      <c r="B52" s="10"/>
      <c r="D52" s="20"/>
      <c r="E52" s="10"/>
    </row>
    <row r="53" spans="1:10" ht="12" customHeight="1" thickBot="1" x14ac:dyDescent="0.3">
      <c r="A53" s="10"/>
      <c r="B53" s="10"/>
      <c r="D53" s="20"/>
      <c r="E53" s="10"/>
    </row>
    <row r="54" spans="1:10" ht="15.75" thickBot="1" x14ac:dyDescent="0.3">
      <c r="A54" s="59" t="s">
        <v>31</v>
      </c>
      <c r="B54" s="60"/>
      <c r="C54" s="60"/>
      <c r="D54" s="60"/>
      <c r="E54" s="60"/>
      <c r="F54" s="60"/>
      <c r="G54" s="60"/>
      <c r="H54" s="60"/>
      <c r="I54" s="60"/>
      <c r="J54" s="61"/>
    </row>
    <row r="55" spans="1:10" ht="15.75" thickBot="1" x14ac:dyDescent="0.3">
      <c r="A55" s="71" t="s">
        <v>43</v>
      </c>
      <c r="B55" s="59" t="s">
        <v>32</v>
      </c>
      <c r="C55" s="60"/>
      <c r="D55" s="60"/>
      <c r="E55" s="60"/>
      <c r="F55" s="60"/>
      <c r="G55" s="60"/>
      <c r="H55" s="61"/>
      <c r="I55" s="59" t="s">
        <v>33</v>
      </c>
      <c r="J55" s="61"/>
    </row>
    <row r="56" spans="1:10" ht="32.25" customHeight="1" x14ac:dyDescent="0.25">
      <c r="A56" s="78"/>
      <c r="B56" s="74" t="s">
        <v>40</v>
      </c>
      <c r="C56" s="57" t="s">
        <v>41</v>
      </c>
      <c r="D56" s="76" t="s">
        <v>36</v>
      </c>
      <c r="E56" s="69" t="s">
        <v>37</v>
      </c>
      <c r="F56" s="71" t="s">
        <v>14</v>
      </c>
      <c r="G56" s="72"/>
      <c r="H56" s="73"/>
      <c r="I56" s="65" t="s">
        <v>42</v>
      </c>
      <c r="J56" s="67" t="s">
        <v>34</v>
      </c>
    </row>
    <row r="57" spans="1:10" ht="36" customHeight="1" thickBot="1" x14ac:dyDescent="0.3">
      <c r="A57" s="79"/>
      <c r="B57" s="75"/>
      <c r="C57" s="58"/>
      <c r="D57" s="77"/>
      <c r="E57" s="70"/>
      <c r="F57" s="21" t="s">
        <v>35</v>
      </c>
      <c r="G57" s="22" t="s">
        <v>38</v>
      </c>
      <c r="H57" s="23" t="s">
        <v>39</v>
      </c>
      <c r="I57" s="66"/>
      <c r="J57" s="68"/>
    </row>
    <row r="58" spans="1:10" x14ac:dyDescent="0.25">
      <c r="A58" s="24">
        <v>10</v>
      </c>
      <c r="B58" s="25">
        <f t="shared" ref="B58:B63" si="0">Ld_2*A58</f>
        <v>402.309249857353</v>
      </c>
      <c r="C58" s="26">
        <f t="shared" ref="C58:C66" si="1">MAX(Ld_h*A58,8*A58,150)</f>
        <v>202.76386192810591</v>
      </c>
      <c r="D58" s="26">
        <f t="shared" ref="D58:D66" si="2">B58</f>
        <v>402.309249857353</v>
      </c>
      <c r="E58" s="27">
        <f t="shared" ref="E58:E66" si="3">1.3*B58</f>
        <v>523.00202481455892</v>
      </c>
      <c r="F58" s="25">
        <f t="shared" ref="F58:F63" si="4">Ld_1*A58</f>
        <v>523.00202481455892</v>
      </c>
      <c r="G58" s="26">
        <f>F58</f>
        <v>523.00202481455892</v>
      </c>
      <c r="H58" s="28">
        <f>1.3*F58</f>
        <v>679.90263225892659</v>
      </c>
      <c r="I58" s="25">
        <f t="shared" ref="I58:I66" si="5">MAX(200,Ld_c*A58)</f>
        <v>202.76386192810591</v>
      </c>
      <c r="J58" s="28">
        <f t="shared" ref="J58:J66" si="6">MAX(Ls_c1,Ls_c2)*A58</f>
        <v>293.86189999999993</v>
      </c>
    </row>
    <row r="59" spans="1:10" x14ac:dyDescent="0.25">
      <c r="A59" s="29">
        <v>12</v>
      </c>
      <c r="B59" s="30">
        <f t="shared" si="0"/>
        <v>482.77109982882359</v>
      </c>
      <c r="C59" s="31">
        <f t="shared" si="1"/>
        <v>243.31663431372709</v>
      </c>
      <c r="D59" s="31">
        <f t="shared" si="2"/>
        <v>482.77109982882359</v>
      </c>
      <c r="E59" s="32">
        <f t="shared" si="3"/>
        <v>627.60242977747066</v>
      </c>
      <c r="F59" s="30">
        <f t="shared" si="4"/>
        <v>627.60242977747066</v>
      </c>
      <c r="G59" s="31">
        <f t="shared" ref="G59:G66" si="7">F59</f>
        <v>627.60242977747066</v>
      </c>
      <c r="H59" s="33">
        <f t="shared" ref="H59:H66" si="8">1.3*F59</f>
        <v>815.88315871071188</v>
      </c>
      <c r="I59" s="30">
        <f t="shared" si="5"/>
        <v>243.31663431372709</v>
      </c>
      <c r="J59" s="33">
        <f t="shared" si="6"/>
        <v>352.63427999999993</v>
      </c>
    </row>
    <row r="60" spans="1:10" x14ac:dyDescent="0.25">
      <c r="A60" s="29">
        <v>14</v>
      </c>
      <c r="B60" s="30">
        <f t="shared" si="0"/>
        <v>563.23294980029414</v>
      </c>
      <c r="C60" s="31">
        <f t="shared" si="1"/>
        <v>283.86940669934825</v>
      </c>
      <c r="D60" s="31">
        <f t="shared" si="2"/>
        <v>563.23294980029414</v>
      </c>
      <c r="E60" s="32">
        <f t="shared" si="3"/>
        <v>732.2028347403824</v>
      </c>
      <c r="F60" s="30">
        <f t="shared" si="4"/>
        <v>732.20283474038251</v>
      </c>
      <c r="G60" s="31">
        <f t="shared" si="7"/>
        <v>732.20283474038251</v>
      </c>
      <c r="H60" s="33">
        <f t="shared" si="8"/>
        <v>951.86368516249729</v>
      </c>
      <c r="I60" s="30">
        <f t="shared" si="5"/>
        <v>283.86940669934825</v>
      </c>
      <c r="J60" s="33">
        <f t="shared" si="6"/>
        <v>411.40665999999993</v>
      </c>
    </row>
    <row r="61" spans="1:10" x14ac:dyDescent="0.25">
      <c r="A61" s="29">
        <v>16</v>
      </c>
      <c r="B61" s="30">
        <f t="shared" si="0"/>
        <v>643.69479977176479</v>
      </c>
      <c r="C61" s="31">
        <f t="shared" si="1"/>
        <v>324.42217908496946</v>
      </c>
      <c r="D61" s="31">
        <f t="shared" si="2"/>
        <v>643.69479977176479</v>
      </c>
      <c r="E61" s="32">
        <f t="shared" si="3"/>
        <v>836.80323970329425</v>
      </c>
      <c r="F61" s="30">
        <f t="shared" si="4"/>
        <v>836.80323970329425</v>
      </c>
      <c r="G61" s="31">
        <f t="shared" si="7"/>
        <v>836.80323970329425</v>
      </c>
      <c r="H61" s="33">
        <f t="shared" si="8"/>
        <v>1087.8442116142826</v>
      </c>
      <c r="I61" s="30">
        <f t="shared" si="5"/>
        <v>324.42217908496946</v>
      </c>
      <c r="J61" s="33">
        <f t="shared" si="6"/>
        <v>470.17903999999993</v>
      </c>
    </row>
    <row r="62" spans="1:10" x14ac:dyDescent="0.25">
      <c r="A62" s="29">
        <v>18</v>
      </c>
      <c r="B62" s="30">
        <f t="shared" si="0"/>
        <v>724.15664974323545</v>
      </c>
      <c r="C62" s="31">
        <f t="shared" si="1"/>
        <v>364.97495147059067</v>
      </c>
      <c r="D62" s="31">
        <f t="shared" si="2"/>
        <v>724.15664974323545</v>
      </c>
      <c r="E62" s="32">
        <f t="shared" si="3"/>
        <v>941.40364466620611</v>
      </c>
      <c r="F62" s="30">
        <f t="shared" si="4"/>
        <v>941.40364466620599</v>
      </c>
      <c r="G62" s="31">
        <f t="shared" si="7"/>
        <v>941.40364466620599</v>
      </c>
      <c r="H62" s="33">
        <f t="shared" si="8"/>
        <v>1223.8247380660678</v>
      </c>
      <c r="I62" s="30">
        <f t="shared" si="5"/>
        <v>364.97495147059067</v>
      </c>
      <c r="J62" s="33">
        <f t="shared" si="6"/>
        <v>528.95141999999987</v>
      </c>
    </row>
    <row r="63" spans="1:10" x14ac:dyDescent="0.25">
      <c r="A63" s="29">
        <v>20</v>
      </c>
      <c r="B63" s="30">
        <f t="shared" si="0"/>
        <v>804.61849971470599</v>
      </c>
      <c r="C63" s="31">
        <f t="shared" si="1"/>
        <v>405.52772385621182</v>
      </c>
      <c r="D63" s="31">
        <f t="shared" si="2"/>
        <v>804.61849971470599</v>
      </c>
      <c r="E63" s="32">
        <f t="shared" si="3"/>
        <v>1046.0040496291178</v>
      </c>
      <c r="F63" s="30">
        <f t="shared" si="4"/>
        <v>1046.0040496291178</v>
      </c>
      <c r="G63" s="31">
        <f t="shared" si="7"/>
        <v>1046.0040496291178</v>
      </c>
      <c r="H63" s="33">
        <f t="shared" si="8"/>
        <v>1359.8052645178532</v>
      </c>
      <c r="I63" s="30">
        <f t="shared" si="5"/>
        <v>405.52772385621182</v>
      </c>
      <c r="J63" s="33">
        <f t="shared" si="6"/>
        <v>587.72379999999987</v>
      </c>
    </row>
    <row r="64" spans="1:10" x14ac:dyDescent="0.25">
      <c r="A64" s="29">
        <v>25</v>
      </c>
      <c r="B64" s="34">
        <f>Ld_4*A64</f>
        <v>1242.4256245594727</v>
      </c>
      <c r="C64" s="31">
        <f t="shared" si="1"/>
        <v>506.90965482026479</v>
      </c>
      <c r="D64" s="35">
        <f t="shared" si="2"/>
        <v>1242.4256245594727</v>
      </c>
      <c r="E64" s="36">
        <f t="shared" si="3"/>
        <v>1615.1533119273145</v>
      </c>
      <c r="F64" s="34">
        <f>Ld_3*A64</f>
        <v>1615.1533119273147</v>
      </c>
      <c r="G64" s="35">
        <f t="shared" si="7"/>
        <v>1615.1533119273147</v>
      </c>
      <c r="H64" s="37">
        <f t="shared" si="8"/>
        <v>2099.6993055055091</v>
      </c>
      <c r="I64" s="30">
        <f t="shared" si="5"/>
        <v>506.90965482026479</v>
      </c>
      <c r="J64" s="33">
        <f t="shared" si="6"/>
        <v>734.65474999999992</v>
      </c>
    </row>
    <row r="65" spans="1:10" x14ac:dyDescent="0.25">
      <c r="A65" s="29">
        <v>28</v>
      </c>
      <c r="B65" s="34">
        <f>Ld_4*A65</f>
        <v>1391.5166995066093</v>
      </c>
      <c r="C65" s="31">
        <f t="shared" si="1"/>
        <v>567.73881339869649</v>
      </c>
      <c r="D65" s="35">
        <f t="shared" si="2"/>
        <v>1391.5166995066093</v>
      </c>
      <c r="E65" s="36">
        <f t="shared" si="3"/>
        <v>1808.9717093585921</v>
      </c>
      <c r="F65" s="34">
        <f>Ld_3*A65</f>
        <v>1808.9717093585923</v>
      </c>
      <c r="G65" s="35">
        <f t="shared" si="7"/>
        <v>1808.9717093585923</v>
      </c>
      <c r="H65" s="37">
        <f t="shared" si="8"/>
        <v>2351.6632221661703</v>
      </c>
      <c r="I65" s="30">
        <f t="shared" si="5"/>
        <v>567.73881339869649</v>
      </c>
      <c r="J65" s="33">
        <f t="shared" si="6"/>
        <v>822.81331999999986</v>
      </c>
    </row>
    <row r="66" spans="1:10" ht="15.75" thickBot="1" x14ac:dyDescent="0.3">
      <c r="A66" s="38">
        <v>32</v>
      </c>
      <c r="B66" s="39">
        <f>Ld_4*A66</f>
        <v>1590.304799436125</v>
      </c>
      <c r="C66" s="40">
        <f t="shared" si="1"/>
        <v>648.84435816993891</v>
      </c>
      <c r="D66" s="41">
        <f t="shared" si="2"/>
        <v>1590.304799436125</v>
      </c>
      <c r="E66" s="42">
        <f t="shared" si="3"/>
        <v>2067.3962392669628</v>
      </c>
      <c r="F66" s="39">
        <f>Ld_3*A66</f>
        <v>2067.3962392669628</v>
      </c>
      <c r="G66" s="41">
        <f t="shared" si="7"/>
        <v>2067.3962392669628</v>
      </c>
      <c r="H66" s="43">
        <f t="shared" si="8"/>
        <v>2687.6151110470519</v>
      </c>
      <c r="I66" s="44">
        <f t="shared" si="5"/>
        <v>648.84435816993891</v>
      </c>
      <c r="J66" s="45">
        <f t="shared" si="6"/>
        <v>940.35807999999986</v>
      </c>
    </row>
  </sheetData>
  <sheetProtection password="CB35" sheet="1" objects="1" scenarios="1" selectLockedCells="1"/>
  <mergeCells count="16">
    <mergeCell ref="C56:C57"/>
    <mergeCell ref="A54:J54"/>
    <mergeCell ref="B55:H55"/>
    <mergeCell ref="I55:J55"/>
    <mergeCell ref="A1:J1"/>
    <mergeCell ref="I56:I57"/>
    <mergeCell ref="J56:J57"/>
    <mergeCell ref="E56:E57"/>
    <mergeCell ref="F56:H56"/>
    <mergeCell ref="B56:B57"/>
    <mergeCell ref="D56:D57"/>
    <mergeCell ref="A55:A57"/>
    <mergeCell ref="B19:B20"/>
    <mergeCell ref="C26:G26"/>
    <mergeCell ref="A50:B50"/>
    <mergeCell ref="A51:B51"/>
  </mergeCells>
  <pageMargins left="0.70866141732283505" right="0.70866141732283505" top="0.74803149606299202" bottom="0.74803149606299202" header="0.31496062992126" footer="0.31496062992126"/>
  <pageSetup paperSize="9" scale="81" orientation="portrait" r:id="rId1"/>
  <rowBreaks count="2" manualBreakCount="2">
    <brk id="51" max="9" man="1"/>
    <brk id="78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4" zoomScale="130" zoomScaleNormal="130" workbookViewId="0">
      <selection activeCell="D8" sqref="D8"/>
    </sheetView>
  </sheetViews>
  <sheetFormatPr defaultRowHeight="15" x14ac:dyDescent="0.25"/>
  <cols>
    <col min="1" max="4" width="9.140625" style="4"/>
    <col min="5" max="5" width="9.5703125" style="4" bestFit="1" customWidth="1"/>
    <col min="6" max="7" width="9.140625" style="4"/>
    <col min="8" max="8" width="25" style="4" customWidth="1"/>
    <col min="9" max="9" width="24" style="4" customWidth="1"/>
    <col min="10" max="10" width="38.140625" style="4" customWidth="1"/>
    <col min="11" max="16384" width="9.140625" style="4"/>
  </cols>
  <sheetData>
    <row r="1" spans="1:10" ht="33.75" x14ac:dyDescent="0.5">
      <c r="A1" s="87" t="s">
        <v>45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57.75" customHeight="1" x14ac:dyDescent="0.25">
      <c r="A2" s="88" t="s">
        <v>46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23.25" x14ac:dyDescent="0.35">
      <c r="A3" s="89" t="s">
        <v>47</v>
      </c>
      <c r="B3" s="89"/>
      <c r="C3" s="89"/>
      <c r="D3" s="89"/>
      <c r="E3" s="89"/>
      <c r="F3" s="89"/>
      <c r="G3" s="89"/>
      <c r="H3" s="89"/>
      <c r="I3" s="89"/>
      <c r="J3" s="89"/>
    </row>
    <row r="4" spans="1:10" x14ac:dyDescent="0.25">
      <c r="A4" s="90" t="s">
        <v>48</v>
      </c>
      <c r="B4" s="90"/>
      <c r="C4" s="90"/>
      <c r="D4" s="90"/>
      <c r="E4" s="90"/>
      <c r="F4" s="90"/>
      <c r="G4" s="90"/>
      <c r="H4" s="90"/>
      <c r="I4" s="90"/>
      <c r="J4" s="90"/>
    </row>
    <row r="5" spans="1:10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</row>
    <row r="6" spans="1:10" x14ac:dyDescent="0.25">
      <c r="C6" s="4" t="s">
        <v>49</v>
      </c>
      <c r="D6" s="47">
        <v>420</v>
      </c>
      <c r="E6" s="4" t="s">
        <v>50</v>
      </c>
    </row>
    <row r="7" spans="1:10" x14ac:dyDescent="0.25">
      <c r="C7" s="4" t="s">
        <v>51</v>
      </c>
      <c r="D7" s="47">
        <v>25</v>
      </c>
      <c r="E7" s="4" t="s">
        <v>50</v>
      </c>
      <c r="G7" s="91" t="s">
        <v>52</v>
      </c>
      <c r="H7" s="91"/>
    </row>
    <row r="8" spans="1:10" ht="21" x14ac:dyDescent="0.35">
      <c r="C8" s="4" t="s">
        <v>53</v>
      </c>
      <c r="D8" s="47">
        <v>10</v>
      </c>
      <c r="E8" s="4" t="s">
        <v>54</v>
      </c>
      <c r="G8" s="48" t="s">
        <v>55</v>
      </c>
      <c r="H8" s="49">
        <v>1</v>
      </c>
      <c r="I8" s="4" t="s">
        <v>56</v>
      </c>
    </row>
    <row r="9" spans="1:10" ht="21" x14ac:dyDescent="0.35">
      <c r="G9" s="48" t="s">
        <v>57</v>
      </c>
      <c r="H9" s="49">
        <v>1</v>
      </c>
    </row>
    <row r="10" spans="1:10" x14ac:dyDescent="0.25">
      <c r="G10" s="48" t="s">
        <v>58</v>
      </c>
      <c r="H10" s="49">
        <v>1</v>
      </c>
    </row>
    <row r="13" spans="1:10" x14ac:dyDescent="0.25">
      <c r="B13" s="86" t="s">
        <v>59</v>
      </c>
      <c r="C13" s="86"/>
      <c r="D13" s="86"/>
    </row>
    <row r="14" spans="1:10" x14ac:dyDescent="0.25">
      <c r="B14" s="91" t="s">
        <v>60</v>
      </c>
      <c r="C14" s="91"/>
      <c r="D14" s="50">
        <f>MAX((IF(D8&lt;20,(((D6*H8*H9)/(2.1*H10*D7^0.5))*D8)/25.4,(((D6*H8*H9)/(1.7*H10*D7^0.5))*D8)/25.4)),12)</f>
        <v>15.748031496062993</v>
      </c>
      <c r="E14" s="4" t="s">
        <v>61</v>
      </c>
      <c r="G14" s="51"/>
      <c r="H14" s="51"/>
      <c r="I14" s="51" t="s">
        <v>62</v>
      </c>
      <c r="J14" s="51"/>
    </row>
    <row r="15" spans="1:10" x14ac:dyDescent="0.25">
      <c r="B15" s="91" t="s">
        <v>63</v>
      </c>
      <c r="C15" s="91"/>
      <c r="D15" s="50">
        <f>MAX((((0.24*D6*D8)/(H10*D7^0.5))/25.4),200/25.4)</f>
        <v>7.9370078740157481</v>
      </c>
      <c r="E15" s="4" t="s">
        <v>61</v>
      </c>
      <c r="G15" s="51" t="s">
        <v>64</v>
      </c>
      <c r="H15" s="51">
        <f>MAX((0.071*D6*D8/25.4),300/25.4)</f>
        <v>11.811023622047244</v>
      </c>
      <c r="I15" s="51">
        <f>IF(D7&lt;21,(H15+(0.333*H15)),H15)</f>
        <v>11.811023622047244</v>
      </c>
      <c r="J15" s="51"/>
    </row>
    <row r="16" spans="1:10" x14ac:dyDescent="0.25">
      <c r="G16" s="51" t="s">
        <v>65</v>
      </c>
      <c r="H16" s="51">
        <f>MAX((((0.13*D6)-24)*D8/25.4),300/25.4)</f>
        <v>12.047244094488189</v>
      </c>
      <c r="I16" s="51">
        <f>IF(D8&lt;21,(H16+(0.333*H16)),H16)</f>
        <v>16.058976377952757</v>
      </c>
      <c r="J16" s="51"/>
    </row>
    <row r="17" spans="2:10" x14ac:dyDescent="0.25">
      <c r="G17" s="51"/>
      <c r="H17" s="51"/>
      <c r="I17" s="51"/>
      <c r="J17" s="51"/>
    </row>
    <row r="18" spans="2:10" x14ac:dyDescent="0.25">
      <c r="B18" s="86" t="s">
        <v>66</v>
      </c>
      <c r="C18" s="86"/>
      <c r="D18" s="86"/>
    </row>
    <row r="19" spans="2:10" x14ac:dyDescent="0.25">
      <c r="D19" s="4" t="s">
        <v>67</v>
      </c>
      <c r="E19" s="4" t="s">
        <v>68</v>
      </c>
    </row>
    <row r="20" spans="2:10" x14ac:dyDescent="0.25">
      <c r="B20" s="91" t="s">
        <v>69</v>
      </c>
      <c r="C20" s="91"/>
      <c r="D20" s="50">
        <f>1*D14</f>
        <v>15.748031496062993</v>
      </c>
      <c r="E20" s="50">
        <f>1.3*D14</f>
        <v>20.472440944881892</v>
      </c>
      <c r="F20" s="4" t="s">
        <v>61</v>
      </c>
    </row>
    <row r="21" spans="2:10" x14ac:dyDescent="0.25">
      <c r="B21" s="91" t="s">
        <v>70</v>
      </c>
      <c r="C21" s="91"/>
      <c r="D21" s="92">
        <f>IF(D6&lt;=420,I15,I16)</f>
        <v>11.811023622047244</v>
      </c>
      <c r="E21" s="92"/>
      <c r="F21" s="4" t="s">
        <v>61</v>
      </c>
    </row>
  </sheetData>
  <sheetProtection algorithmName="SHA-512" hashValue="Utm+3H/fWoFmT3NoaZN57cUyly2Cs1KfUYULO0Nq2n3HZM5xRTnXYrKzvdqTZh+BlyzvWKm6whkEARwcPnylXA==" saltValue="I4zjz+q6R+PBd+LdIaIT/w==" spinCount="100000" sheet="1" objects="1" scenarios="1" selectLockedCells="1"/>
  <mergeCells count="12">
    <mergeCell ref="B14:C14"/>
    <mergeCell ref="B15:C15"/>
    <mergeCell ref="B18:D18"/>
    <mergeCell ref="B20:C20"/>
    <mergeCell ref="B21:C21"/>
    <mergeCell ref="D21:E21"/>
    <mergeCell ref="B13:D13"/>
    <mergeCell ref="A1:J1"/>
    <mergeCell ref="A2:J2"/>
    <mergeCell ref="A3:J3"/>
    <mergeCell ref="A4:J4"/>
    <mergeCell ref="G7:H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Video &amp; Instruction </vt:lpstr>
      <vt:lpstr>LL &amp; DL (Recomb.)</vt:lpstr>
      <vt:lpstr>Simple</vt:lpstr>
      <vt:lpstr>fc</vt:lpstr>
      <vt:lpstr>fy</vt:lpstr>
      <vt:lpstr>Ld_1</vt:lpstr>
      <vt:lpstr>Ld_2</vt:lpstr>
      <vt:lpstr>Ld_3</vt:lpstr>
      <vt:lpstr>Ld_4</vt:lpstr>
      <vt:lpstr>Ld_c</vt:lpstr>
      <vt:lpstr>Ld_h</vt:lpstr>
      <vt:lpstr>Ls_c1</vt:lpstr>
      <vt:lpstr>Ls_c2</vt:lpstr>
      <vt:lpstr>'LL &amp; DL (Recomb.)'!Print_Area</vt:lpstr>
      <vt:lpstr>'LL &amp; DL (Recomb.)'!Print_Titles</vt:lpstr>
      <vt:lpstr>λ</vt:lpstr>
      <vt:lpstr>ψe</vt:lpstr>
      <vt:lpstr>ψt</vt:lpstr>
      <vt:lpstr>ψt_top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2025-08-01T16:53:32Z</dcterms:modified>
</cp:coreProperties>
</file>