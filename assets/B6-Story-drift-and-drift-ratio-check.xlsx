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BUILDING DESIGN PARAMETERS\All Excel file\B. Building Check file\"/>
    </mc:Choice>
  </mc:AlternateContent>
  <bookViews>
    <workbookView xWindow="870" yWindow="0" windowWidth="15405" windowHeight="15600" tabRatio="757" activeTab="1"/>
  </bookViews>
  <sheets>
    <sheet name="Video &amp; Instruction " sheetId="9" r:id="rId1"/>
    <sheet name="Story Drift X" sheetId="1" r:id="rId2"/>
    <sheet name="Story Drift Y" sheetId="7" r:id="rId3"/>
    <sheet name="Drift Ratio X" sheetId="3" r:id="rId4"/>
    <sheet name="Drift Ratio Y" sheetId="8" r:id="rId5"/>
  </sheets>
  <externalReferences>
    <externalReference r:id="rId6"/>
  </externalReferences>
  <definedNames>
    <definedName name="framesystem">[1]Sheet3!$B$39:$B$45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7" l="1"/>
  <c r="Q7" i="7"/>
  <c r="Q8" i="7"/>
  <c r="Q9" i="7"/>
  <c r="Q10" i="7"/>
  <c r="Q11" i="7"/>
  <c r="Q12" i="7"/>
  <c r="Q13" i="7"/>
  <c r="Q14" i="7"/>
  <c r="Q15" i="7"/>
  <c r="Q16" i="7"/>
  <c r="Q17" i="7"/>
  <c r="R17" i="7" s="1"/>
  <c r="Q18" i="7"/>
  <c r="Q19" i="7"/>
  <c r="Q20" i="7"/>
  <c r="R20" i="7" s="1"/>
  <c r="Q21" i="7"/>
  <c r="R21" i="7" s="1"/>
  <c r="Q22" i="7"/>
  <c r="Q23" i="7"/>
  <c r="Q24" i="7"/>
  <c r="Q25" i="7"/>
  <c r="Q26" i="7"/>
  <c r="Q27" i="7"/>
  <c r="Q28" i="7"/>
  <c r="Q29" i="7"/>
  <c r="R29" i="7" s="1"/>
  <c r="Q30" i="7"/>
  <c r="R30" i="7" s="1"/>
  <c r="Q31" i="7"/>
  <c r="Q32" i="7"/>
  <c r="Q33" i="7"/>
  <c r="Q34" i="7"/>
  <c r="R34" i="7" s="1"/>
  <c r="H34" i="1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S23" i="7"/>
  <c r="F6" i="7"/>
  <c r="F7" i="7"/>
  <c r="F8" i="7"/>
  <c r="F9" i="7"/>
  <c r="F10" i="7"/>
  <c r="F11" i="7"/>
  <c r="F12" i="7"/>
  <c r="F13" i="7"/>
  <c r="F14" i="7"/>
  <c r="G14" i="7" s="1"/>
  <c r="F15" i="7"/>
  <c r="F16" i="7"/>
  <c r="F17" i="7"/>
  <c r="F18" i="7"/>
  <c r="F19" i="7"/>
  <c r="F20" i="7"/>
  <c r="F21" i="7"/>
  <c r="G21" i="7" s="1"/>
  <c r="F22" i="7"/>
  <c r="G22" i="7" s="1"/>
  <c r="F23" i="7"/>
  <c r="G23" i="7" s="1"/>
  <c r="F24" i="7"/>
  <c r="F25" i="7"/>
  <c r="F26" i="7"/>
  <c r="F27" i="7"/>
  <c r="F28" i="7"/>
  <c r="F29" i="7"/>
  <c r="F30" i="7"/>
  <c r="F31" i="7"/>
  <c r="F32" i="7"/>
  <c r="F33" i="7"/>
  <c r="G33" i="7" s="1"/>
  <c r="F34" i="7"/>
  <c r="G34" i="7" s="1"/>
  <c r="S19" i="1"/>
  <c r="S20" i="1"/>
  <c r="S21" i="1"/>
  <c r="S22" i="1"/>
  <c r="S23" i="1"/>
  <c r="S24" i="1"/>
  <c r="S31" i="1"/>
  <c r="S32" i="1"/>
  <c r="S33" i="1"/>
  <c r="S34" i="1"/>
  <c r="R6" i="1"/>
  <c r="R7" i="1"/>
  <c r="R8" i="1"/>
  <c r="R9" i="1"/>
  <c r="R10" i="1"/>
  <c r="S10" i="1" s="1"/>
  <c r="R11" i="1"/>
  <c r="R12" i="1"/>
  <c r="R13" i="1"/>
  <c r="R14" i="1"/>
  <c r="R15" i="1"/>
  <c r="S15" i="1" s="1"/>
  <c r="R16" i="1"/>
  <c r="R17" i="1"/>
  <c r="R18" i="1"/>
  <c r="S18" i="1" s="1"/>
  <c r="R19" i="1"/>
  <c r="R20" i="1"/>
  <c r="R21" i="1"/>
  <c r="R22" i="1"/>
  <c r="R23" i="1"/>
  <c r="R24" i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R32" i="1"/>
  <c r="R33" i="1"/>
  <c r="R3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J34" i="1" s="1"/>
  <c r="H3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H20" i="1" s="1"/>
  <c r="G21" i="1"/>
  <c r="H21" i="1" s="1"/>
  <c r="G22" i="1"/>
  <c r="G23" i="1"/>
  <c r="H22" i="1" s="1"/>
  <c r="G24" i="1"/>
  <c r="H24" i="1" s="1"/>
  <c r="G25" i="1"/>
  <c r="H25" i="1" s="1"/>
  <c r="G26" i="1"/>
  <c r="G27" i="1"/>
  <c r="H27" i="1" s="1"/>
  <c r="J27" i="1" s="1"/>
  <c r="G28" i="1"/>
  <c r="H28" i="1" s="1"/>
  <c r="D28" i="3" s="1"/>
  <c r="G29" i="1"/>
  <c r="G30" i="1"/>
  <c r="H30" i="1" s="1"/>
  <c r="D30" i="3" s="1"/>
  <c r="G31" i="1"/>
  <c r="H31" i="1" s="1"/>
  <c r="G32" i="1"/>
  <c r="G33" i="1"/>
  <c r="G34" i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A23" i="3"/>
  <c r="A24" i="3"/>
  <c r="A25" i="3"/>
  <c r="A26" i="3"/>
  <c r="A27" i="3"/>
  <c r="A28" i="3"/>
  <c r="A29" i="3"/>
  <c r="A30" i="3"/>
  <c r="A31" i="3"/>
  <c r="A32" i="3"/>
  <c r="A33" i="3"/>
  <c r="A34" i="3"/>
  <c r="B34" i="3"/>
  <c r="A23" i="7"/>
  <c r="L23" i="7" s="1"/>
  <c r="B23" i="7"/>
  <c r="C23" i="7"/>
  <c r="N23" i="7" s="1"/>
  <c r="A24" i="7"/>
  <c r="L24" i="7" s="1"/>
  <c r="B24" i="7"/>
  <c r="C24" i="7"/>
  <c r="N24" i="7" s="1"/>
  <c r="S24" i="7" s="1"/>
  <c r="A25" i="7"/>
  <c r="L25" i="7" s="1"/>
  <c r="B25" i="7"/>
  <c r="C25" i="7"/>
  <c r="N25" i="7" s="1"/>
  <c r="S25" i="7" s="1"/>
  <c r="A26" i="7"/>
  <c r="L26" i="7" s="1"/>
  <c r="B26" i="7"/>
  <c r="C26" i="7"/>
  <c r="N26" i="7" s="1"/>
  <c r="S26" i="7" s="1"/>
  <c r="A27" i="7"/>
  <c r="L27" i="7" s="1"/>
  <c r="B27" i="7"/>
  <c r="C27" i="7"/>
  <c r="N27" i="7" s="1"/>
  <c r="S27" i="7" s="1"/>
  <c r="A28" i="7"/>
  <c r="L28" i="7" s="1"/>
  <c r="B28" i="7"/>
  <c r="C28" i="7"/>
  <c r="N28" i="7" s="1"/>
  <c r="S28" i="7" s="1"/>
  <c r="A29" i="7"/>
  <c r="L29" i="7" s="1"/>
  <c r="B29" i="7"/>
  <c r="C29" i="7"/>
  <c r="N29" i="7" s="1"/>
  <c r="S29" i="7" s="1"/>
  <c r="A30" i="7"/>
  <c r="L30" i="7" s="1"/>
  <c r="B30" i="7"/>
  <c r="C30" i="7"/>
  <c r="N30" i="7" s="1"/>
  <c r="I30" i="8" s="1"/>
  <c r="K30" i="8" s="1"/>
  <c r="A31" i="7"/>
  <c r="L31" i="7" s="1"/>
  <c r="B31" i="7"/>
  <c r="C31" i="7"/>
  <c r="N31" i="7" s="1"/>
  <c r="S31" i="7" s="1"/>
  <c r="A32" i="7"/>
  <c r="L32" i="7" s="1"/>
  <c r="B32" i="7"/>
  <c r="C32" i="7"/>
  <c r="N32" i="7" s="1"/>
  <c r="S32" i="7" s="1"/>
  <c r="A33" i="7"/>
  <c r="L33" i="7" s="1"/>
  <c r="B33" i="7"/>
  <c r="C33" i="7"/>
  <c r="N33" i="7" s="1"/>
  <c r="S33" i="7" s="1"/>
  <c r="A34" i="7"/>
  <c r="L34" i="7" s="1"/>
  <c r="B34" i="7"/>
  <c r="C34" i="7"/>
  <c r="N34" i="7" s="1"/>
  <c r="S34" i="7" s="1"/>
  <c r="M23" i="1"/>
  <c r="O23" i="1"/>
  <c r="T23" i="1" s="1"/>
  <c r="M24" i="1"/>
  <c r="O24" i="1"/>
  <c r="T24" i="1" s="1"/>
  <c r="M25" i="1"/>
  <c r="O25" i="1"/>
  <c r="T25" i="1" s="1"/>
  <c r="M26" i="1"/>
  <c r="O26" i="1"/>
  <c r="T26" i="1" s="1"/>
  <c r="M27" i="1"/>
  <c r="O27" i="1"/>
  <c r="T27" i="1" s="1"/>
  <c r="M28" i="1"/>
  <c r="O28" i="1"/>
  <c r="T28" i="1" s="1"/>
  <c r="M29" i="1"/>
  <c r="O29" i="1"/>
  <c r="T29" i="1" s="1"/>
  <c r="M30" i="1"/>
  <c r="O30" i="1"/>
  <c r="T30" i="1" s="1"/>
  <c r="M31" i="1"/>
  <c r="O31" i="1"/>
  <c r="T31" i="1" s="1"/>
  <c r="M32" i="1"/>
  <c r="O32" i="1"/>
  <c r="T32" i="1" s="1"/>
  <c r="M33" i="1"/>
  <c r="O33" i="1"/>
  <c r="T33" i="1" s="1"/>
  <c r="M34" i="1"/>
  <c r="O34" i="1"/>
  <c r="T34" i="1" s="1"/>
  <c r="H9" i="1" l="1"/>
  <c r="J9" i="1" s="1"/>
  <c r="H19" i="1"/>
  <c r="J19" i="1" s="1"/>
  <c r="S8" i="1"/>
  <c r="S11" i="1"/>
  <c r="S6" i="1"/>
  <c r="S14" i="1"/>
  <c r="S12" i="1"/>
  <c r="S9" i="1"/>
  <c r="S7" i="1"/>
  <c r="H15" i="1"/>
  <c r="D15" i="3" s="1"/>
  <c r="H14" i="1"/>
  <c r="D14" i="3" s="1"/>
  <c r="H12" i="1"/>
  <c r="D12" i="3" s="1"/>
  <c r="G11" i="7"/>
  <c r="G10" i="7"/>
  <c r="G9" i="7"/>
  <c r="H10" i="1"/>
  <c r="D10" i="3" s="1"/>
  <c r="S17" i="1"/>
  <c r="S16" i="1"/>
  <c r="S13" i="1"/>
  <c r="H7" i="1"/>
  <c r="D7" i="3" s="1"/>
  <c r="H8" i="1"/>
  <c r="D8" i="3" s="1"/>
  <c r="J15" i="1"/>
  <c r="H13" i="1"/>
  <c r="D13" i="3" s="1"/>
  <c r="H6" i="1"/>
  <c r="J6" i="1" s="1"/>
  <c r="I31" i="3"/>
  <c r="J32" i="1"/>
  <c r="U27" i="1"/>
  <c r="U30" i="1"/>
  <c r="U25" i="1"/>
  <c r="U24" i="1"/>
  <c r="J22" i="1"/>
  <c r="I24" i="3"/>
  <c r="I23" i="3"/>
  <c r="I34" i="3"/>
  <c r="K34" i="3" s="1"/>
  <c r="I33" i="3"/>
  <c r="I32" i="3"/>
  <c r="G28" i="7"/>
  <c r="G16" i="7"/>
  <c r="H30" i="7"/>
  <c r="G26" i="7"/>
  <c r="D26" i="8" s="1"/>
  <c r="H28" i="7"/>
  <c r="I34" i="8"/>
  <c r="K34" i="8" s="1"/>
  <c r="H25" i="7"/>
  <c r="S30" i="7"/>
  <c r="T30" i="7" s="1"/>
  <c r="I23" i="8"/>
  <c r="K23" i="8" s="1"/>
  <c r="H26" i="7"/>
  <c r="I26" i="7" s="1"/>
  <c r="R25" i="7"/>
  <c r="I25" i="8" s="1"/>
  <c r="K25" i="8" s="1"/>
  <c r="R13" i="7"/>
  <c r="H24" i="7"/>
  <c r="I29" i="8"/>
  <c r="K29" i="8" s="1"/>
  <c r="H23" i="7"/>
  <c r="I23" i="7" s="1"/>
  <c r="I28" i="7"/>
  <c r="H34" i="7"/>
  <c r="I34" i="7" s="1"/>
  <c r="H27" i="7"/>
  <c r="H33" i="7"/>
  <c r="I33" i="7" s="1"/>
  <c r="H32" i="7"/>
  <c r="H31" i="7"/>
  <c r="G8" i="7"/>
  <c r="H29" i="7"/>
  <c r="G20" i="7"/>
  <c r="G29" i="7"/>
  <c r="G17" i="7"/>
  <c r="G27" i="7"/>
  <c r="D27" i="8" s="1"/>
  <c r="G15" i="7"/>
  <c r="R22" i="7"/>
  <c r="R10" i="7"/>
  <c r="G13" i="7"/>
  <c r="G24" i="7"/>
  <c r="G12" i="7"/>
  <c r="R9" i="7"/>
  <c r="G25" i="7"/>
  <c r="R31" i="7"/>
  <c r="I31" i="8" s="1"/>
  <c r="K31" i="8" s="1"/>
  <c r="R8" i="7"/>
  <c r="R18" i="7"/>
  <c r="R6" i="7"/>
  <c r="R33" i="7"/>
  <c r="T33" i="7" s="1"/>
  <c r="G31" i="7"/>
  <c r="G19" i="7"/>
  <c r="G7" i="7"/>
  <c r="G32" i="7"/>
  <c r="I32" i="7" s="1"/>
  <c r="G30" i="7"/>
  <c r="I30" i="7" s="1"/>
  <c r="G18" i="7"/>
  <c r="G6" i="7"/>
  <c r="R28" i="7"/>
  <c r="R32" i="7"/>
  <c r="I32" i="8" s="1"/>
  <c r="K32" i="8" s="1"/>
  <c r="R27" i="7"/>
  <c r="T27" i="7" s="1"/>
  <c r="R16" i="7"/>
  <c r="R26" i="7"/>
  <c r="T26" i="7" s="1"/>
  <c r="R14" i="7"/>
  <c r="R12" i="7"/>
  <c r="R23" i="7"/>
  <c r="T23" i="7" s="1"/>
  <c r="R11" i="7"/>
  <c r="R19" i="7"/>
  <c r="R7" i="7"/>
  <c r="R24" i="7"/>
  <c r="T24" i="7" s="1"/>
  <c r="R15" i="7"/>
  <c r="T34" i="7"/>
  <c r="T31" i="7"/>
  <c r="T29" i="7"/>
  <c r="U23" i="1"/>
  <c r="J20" i="1"/>
  <c r="D20" i="3"/>
  <c r="D31" i="3"/>
  <c r="J31" i="1"/>
  <c r="I29" i="3"/>
  <c r="U29" i="1"/>
  <c r="U34" i="1"/>
  <c r="U28" i="1"/>
  <c r="U33" i="1"/>
  <c r="U32" i="1"/>
  <c r="J25" i="1"/>
  <c r="D25" i="3"/>
  <c r="U26" i="1"/>
  <c r="U31" i="1"/>
  <c r="J24" i="1"/>
  <c r="D24" i="3"/>
  <c r="D27" i="3"/>
  <c r="I30" i="3"/>
  <c r="D33" i="8"/>
  <c r="I28" i="3"/>
  <c r="I27" i="3"/>
  <c r="J21" i="1"/>
  <c r="I26" i="3"/>
  <c r="D34" i="3"/>
  <c r="F34" i="3" s="1"/>
  <c r="D22" i="3"/>
  <c r="I25" i="3"/>
  <c r="D28" i="8"/>
  <c r="D21" i="3"/>
  <c r="H17" i="1"/>
  <c r="D32" i="3"/>
  <c r="H16" i="1"/>
  <c r="D23" i="8"/>
  <c r="H26" i="1"/>
  <c r="D34" i="8"/>
  <c r="F34" i="8" s="1"/>
  <c r="J28" i="1"/>
  <c r="J30" i="1"/>
  <c r="H18" i="1"/>
  <c r="H11" i="1"/>
  <c r="H29" i="1"/>
  <c r="D29" i="3" s="1"/>
  <c r="H23" i="1"/>
  <c r="H33" i="1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E2" i="8"/>
  <c r="E2" i="3"/>
  <c r="A6" i="7"/>
  <c r="L6" i="7" s="1"/>
  <c r="B6" i="7"/>
  <c r="C6" i="7"/>
  <c r="A7" i="7"/>
  <c r="L7" i="7" s="1"/>
  <c r="B7" i="7"/>
  <c r="C7" i="7"/>
  <c r="H7" i="7" s="1"/>
  <c r="A8" i="7"/>
  <c r="L8" i="7" s="1"/>
  <c r="B8" i="7"/>
  <c r="C8" i="7"/>
  <c r="H8" i="7" s="1"/>
  <c r="A9" i="7"/>
  <c r="L9" i="7" s="1"/>
  <c r="B9" i="7"/>
  <c r="C9" i="7"/>
  <c r="H9" i="7" s="1"/>
  <c r="A10" i="7"/>
  <c r="L10" i="7" s="1"/>
  <c r="B10" i="7"/>
  <c r="C10" i="7"/>
  <c r="A11" i="7"/>
  <c r="L11" i="7" s="1"/>
  <c r="B11" i="7"/>
  <c r="C11" i="7"/>
  <c r="H11" i="7" s="1"/>
  <c r="I11" i="7" s="1"/>
  <c r="A12" i="7"/>
  <c r="L12" i="7" s="1"/>
  <c r="B12" i="7"/>
  <c r="C12" i="7"/>
  <c r="H12" i="7" s="1"/>
  <c r="A13" i="7"/>
  <c r="L13" i="7" s="1"/>
  <c r="B13" i="7"/>
  <c r="C13" i="7"/>
  <c r="H13" i="7" s="1"/>
  <c r="A14" i="7"/>
  <c r="L14" i="7" s="1"/>
  <c r="B14" i="7"/>
  <c r="C14" i="7"/>
  <c r="A15" i="7"/>
  <c r="L15" i="7" s="1"/>
  <c r="B15" i="7"/>
  <c r="C15" i="7"/>
  <c r="A16" i="7"/>
  <c r="L16" i="7" s="1"/>
  <c r="B16" i="7"/>
  <c r="C16" i="7"/>
  <c r="H16" i="7" s="1"/>
  <c r="A17" i="7"/>
  <c r="L17" i="7" s="1"/>
  <c r="B17" i="7"/>
  <c r="C17" i="7"/>
  <c r="H17" i="7" s="1"/>
  <c r="A18" i="7"/>
  <c r="L18" i="7" s="1"/>
  <c r="B18" i="7"/>
  <c r="C18" i="7"/>
  <c r="A19" i="7"/>
  <c r="L19" i="7" s="1"/>
  <c r="B19" i="7"/>
  <c r="C19" i="7"/>
  <c r="H19" i="7" s="1"/>
  <c r="A20" i="7"/>
  <c r="L20" i="7" s="1"/>
  <c r="B20" i="7"/>
  <c r="C20" i="7"/>
  <c r="H20" i="7" s="1"/>
  <c r="A21" i="7"/>
  <c r="L21" i="7" s="1"/>
  <c r="B21" i="7"/>
  <c r="C21" i="7"/>
  <c r="H21" i="7" s="1"/>
  <c r="I21" i="7" s="1"/>
  <c r="A22" i="7"/>
  <c r="L22" i="7" s="1"/>
  <c r="B22" i="7"/>
  <c r="C22" i="7"/>
  <c r="B5" i="7"/>
  <c r="C5" i="7"/>
  <c r="N5" i="7" s="1"/>
  <c r="S5" i="7" s="1"/>
  <c r="A5" i="7"/>
  <c r="L5" i="7" s="1"/>
  <c r="Q5" i="7"/>
  <c r="F5" i="7"/>
  <c r="G5" i="7" s="1"/>
  <c r="U2" i="7"/>
  <c r="S2" i="7"/>
  <c r="Q2" i="7"/>
  <c r="R5" i="1"/>
  <c r="T2" i="1"/>
  <c r="R2" i="1"/>
  <c r="V2" i="1"/>
  <c r="I5" i="1"/>
  <c r="G5" i="1"/>
  <c r="D9" i="3" l="1"/>
  <c r="D19" i="3"/>
  <c r="F19" i="3" s="1"/>
  <c r="J12" i="1"/>
  <c r="D6" i="3"/>
  <c r="J13" i="1"/>
  <c r="J14" i="1"/>
  <c r="I9" i="7"/>
  <c r="J8" i="1"/>
  <c r="J7" i="1"/>
  <c r="J10" i="1"/>
  <c r="I16" i="7"/>
  <c r="I24" i="7"/>
  <c r="I25" i="7"/>
  <c r="I31" i="7"/>
  <c r="I33" i="8"/>
  <c r="K33" i="8" s="1"/>
  <c r="I26" i="8"/>
  <c r="K26" i="8" s="1"/>
  <c r="I27" i="8"/>
  <c r="K27" i="8" s="1"/>
  <c r="D32" i="8"/>
  <c r="D25" i="8"/>
  <c r="I7" i="7"/>
  <c r="I13" i="7"/>
  <c r="D22" i="8"/>
  <c r="H22" i="7"/>
  <c r="I22" i="7" s="1"/>
  <c r="D18" i="8"/>
  <c r="H18" i="7"/>
  <c r="I18" i="7" s="1"/>
  <c r="D14" i="8"/>
  <c r="F14" i="8" s="1"/>
  <c r="H14" i="7"/>
  <c r="I14" i="7" s="1"/>
  <c r="D10" i="8"/>
  <c r="F10" i="8" s="1"/>
  <c r="H10" i="7"/>
  <c r="I10" i="7" s="1"/>
  <c r="D6" i="8"/>
  <c r="F6" i="8" s="1"/>
  <c r="H6" i="7"/>
  <c r="I6" i="7" s="1"/>
  <c r="D15" i="8"/>
  <c r="H15" i="7"/>
  <c r="I15" i="7" s="1"/>
  <c r="I19" i="7"/>
  <c r="T25" i="7"/>
  <c r="I27" i="7"/>
  <c r="D30" i="8"/>
  <c r="I17" i="7"/>
  <c r="I24" i="8"/>
  <c r="K24" i="8" s="1"/>
  <c r="I29" i="7"/>
  <c r="D24" i="8"/>
  <c r="D31" i="8"/>
  <c r="T28" i="7"/>
  <c r="I28" i="8"/>
  <c r="K28" i="8" s="1"/>
  <c r="I20" i="7"/>
  <c r="I12" i="7"/>
  <c r="I8" i="7"/>
  <c r="F28" i="8"/>
  <c r="F33" i="8"/>
  <c r="T32" i="7"/>
  <c r="D7" i="8"/>
  <c r="D29" i="8"/>
  <c r="E15" i="8"/>
  <c r="E27" i="8"/>
  <c r="F27" i="8" s="1"/>
  <c r="E16" i="8"/>
  <c r="E28" i="8"/>
  <c r="E17" i="8"/>
  <c r="E29" i="8"/>
  <c r="E6" i="8"/>
  <c r="E18" i="8"/>
  <c r="E30" i="8"/>
  <c r="E7" i="8"/>
  <c r="E19" i="8"/>
  <c r="E31" i="8"/>
  <c r="E8" i="8"/>
  <c r="E20" i="8"/>
  <c r="E32" i="8"/>
  <c r="F32" i="8" s="1"/>
  <c r="E9" i="8"/>
  <c r="E21" i="8"/>
  <c r="E33" i="8"/>
  <c r="E13" i="8"/>
  <c r="E25" i="8"/>
  <c r="E10" i="8"/>
  <c r="E22" i="8"/>
  <c r="E34" i="8"/>
  <c r="E11" i="8"/>
  <c r="E23" i="8"/>
  <c r="F23" i="8" s="1"/>
  <c r="E12" i="8"/>
  <c r="E24" i="8"/>
  <c r="E14" i="8"/>
  <c r="E26" i="8"/>
  <c r="F26" i="8" s="1"/>
  <c r="J33" i="1"/>
  <c r="D33" i="3"/>
  <c r="F33" i="3" s="1"/>
  <c r="J16" i="1"/>
  <c r="D16" i="3"/>
  <c r="F20" i="3"/>
  <c r="N20" i="7"/>
  <c r="D20" i="8"/>
  <c r="N16" i="7"/>
  <c r="S16" i="7" s="1"/>
  <c r="T16" i="7" s="1"/>
  <c r="D16" i="8"/>
  <c r="N12" i="7"/>
  <c r="S12" i="7" s="1"/>
  <c r="T12" i="7" s="1"/>
  <c r="D12" i="8"/>
  <c r="N8" i="7"/>
  <c r="S8" i="7" s="1"/>
  <c r="T8" i="7" s="1"/>
  <c r="D8" i="8"/>
  <c r="J23" i="1"/>
  <c r="D23" i="3"/>
  <c r="J26" i="1"/>
  <c r="D26" i="3"/>
  <c r="F26" i="3" s="1"/>
  <c r="N13" i="7"/>
  <c r="S13" i="7" s="1"/>
  <c r="T13" i="7" s="1"/>
  <c r="D13" i="8"/>
  <c r="F13" i="8" s="1"/>
  <c r="N9" i="7"/>
  <c r="D9" i="8"/>
  <c r="F22" i="3"/>
  <c r="J11" i="1"/>
  <c r="D11" i="3"/>
  <c r="N19" i="7"/>
  <c r="S19" i="7" s="1"/>
  <c r="T19" i="7" s="1"/>
  <c r="D19" i="8"/>
  <c r="F19" i="8" s="1"/>
  <c r="N11" i="7"/>
  <c r="S11" i="7" s="1"/>
  <c r="T11" i="7" s="1"/>
  <c r="D11" i="8"/>
  <c r="J18" i="1"/>
  <c r="D18" i="3"/>
  <c r="J17" i="1"/>
  <c r="D17" i="3"/>
  <c r="F25" i="3"/>
  <c r="N21" i="7"/>
  <c r="D21" i="8"/>
  <c r="F21" i="8" s="1"/>
  <c r="F27" i="3"/>
  <c r="N17" i="7"/>
  <c r="D17" i="8"/>
  <c r="E9" i="3"/>
  <c r="E21" i="3"/>
  <c r="F21" i="3" s="1"/>
  <c r="E33" i="3"/>
  <c r="E10" i="3"/>
  <c r="F10" i="3" s="1"/>
  <c r="E22" i="3"/>
  <c r="E34" i="3"/>
  <c r="E11" i="3"/>
  <c r="E23" i="3"/>
  <c r="E12" i="3"/>
  <c r="F12" i="3" s="1"/>
  <c r="E24" i="3"/>
  <c r="F24" i="3" s="1"/>
  <c r="E13" i="3"/>
  <c r="F13" i="3" s="1"/>
  <c r="E25" i="3"/>
  <c r="E19" i="3"/>
  <c r="E14" i="3"/>
  <c r="F14" i="3" s="1"/>
  <c r="E26" i="3"/>
  <c r="E31" i="3"/>
  <c r="F31" i="3" s="1"/>
  <c r="E15" i="3"/>
  <c r="F15" i="3" s="1"/>
  <c r="E27" i="3"/>
  <c r="E16" i="3"/>
  <c r="E28" i="3"/>
  <c r="F28" i="3" s="1"/>
  <c r="E17" i="3"/>
  <c r="E29" i="3"/>
  <c r="F29" i="3" s="1"/>
  <c r="E7" i="3"/>
  <c r="F7" i="3" s="1"/>
  <c r="E6" i="3"/>
  <c r="E18" i="3"/>
  <c r="E30" i="3"/>
  <c r="F30" i="3" s="1"/>
  <c r="E8" i="3"/>
  <c r="F8" i="3" s="1"/>
  <c r="E20" i="3"/>
  <c r="E32" i="3"/>
  <c r="F32" i="3" s="1"/>
  <c r="J29" i="1"/>
  <c r="S5" i="1"/>
  <c r="J2" i="3"/>
  <c r="E5" i="3"/>
  <c r="N7" i="7"/>
  <c r="S7" i="7" s="1"/>
  <c r="T7" i="7" s="1"/>
  <c r="N15" i="7"/>
  <c r="H5" i="1"/>
  <c r="D5" i="3" s="1"/>
  <c r="H5" i="7"/>
  <c r="I5" i="7" s="1"/>
  <c r="R5" i="7"/>
  <c r="T5" i="7" s="1"/>
  <c r="D5" i="8"/>
  <c r="N22" i="7"/>
  <c r="S22" i="7" s="1"/>
  <c r="T22" i="7" s="1"/>
  <c r="N18" i="7"/>
  <c r="S18" i="7" s="1"/>
  <c r="T18" i="7" s="1"/>
  <c r="N14" i="7"/>
  <c r="S14" i="7" s="1"/>
  <c r="T14" i="7" s="1"/>
  <c r="N10" i="7"/>
  <c r="S10" i="7" s="1"/>
  <c r="T10" i="7" s="1"/>
  <c r="N6" i="7"/>
  <c r="S6" i="7" s="1"/>
  <c r="T6" i="7" s="1"/>
  <c r="J2" i="8"/>
  <c r="E5" i="8"/>
  <c r="A22" i="3"/>
  <c r="A21" i="3"/>
  <c r="A20" i="3"/>
  <c r="A19" i="3"/>
  <c r="A18" i="3"/>
  <c r="A17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O22" i="1"/>
  <c r="M22" i="1"/>
  <c r="O21" i="1"/>
  <c r="M21" i="1"/>
  <c r="O20" i="1"/>
  <c r="M20" i="1"/>
  <c r="O19" i="1"/>
  <c r="M19" i="1"/>
  <c r="O18" i="1"/>
  <c r="M18" i="1"/>
  <c r="O17" i="1"/>
  <c r="M17" i="1"/>
  <c r="O16" i="1"/>
  <c r="M16" i="1"/>
  <c r="O15" i="1"/>
  <c r="M15" i="1"/>
  <c r="O14" i="1"/>
  <c r="M14" i="1"/>
  <c r="O13" i="1"/>
  <c r="M13" i="1"/>
  <c r="O12" i="1"/>
  <c r="M12" i="1"/>
  <c r="O11" i="1"/>
  <c r="M11" i="1"/>
  <c r="O10" i="1"/>
  <c r="M10" i="1"/>
  <c r="O9" i="1"/>
  <c r="M9" i="1"/>
  <c r="O8" i="1"/>
  <c r="M8" i="1"/>
  <c r="O7" i="1"/>
  <c r="M7" i="1"/>
  <c r="O6" i="1"/>
  <c r="M6" i="1"/>
  <c r="O5" i="1"/>
  <c r="M5" i="1"/>
  <c r="F9" i="3" l="1"/>
  <c r="F6" i="3"/>
  <c r="F25" i="8"/>
  <c r="F9" i="8"/>
  <c r="F18" i="8"/>
  <c r="J6" i="8"/>
  <c r="J18" i="8"/>
  <c r="J30" i="8"/>
  <c r="J7" i="8"/>
  <c r="J19" i="8"/>
  <c r="J31" i="8"/>
  <c r="J8" i="8"/>
  <c r="J20" i="8"/>
  <c r="J32" i="8"/>
  <c r="J9" i="8"/>
  <c r="J21" i="8"/>
  <c r="J33" i="8"/>
  <c r="J10" i="8"/>
  <c r="J22" i="8"/>
  <c r="J11" i="8"/>
  <c r="J23" i="8"/>
  <c r="J12" i="8"/>
  <c r="J24" i="8"/>
  <c r="J13" i="8"/>
  <c r="J25" i="8"/>
  <c r="J14" i="8"/>
  <c r="J26" i="8"/>
  <c r="J28" i="8"/>
  <c r="J15" i="8"/>
  <c r="J27" i="8"/>
  <c r="J16" i="8"/>
  <c r="J17" i="8"/>
  <c r="J29" i="8"/>
  <c r="F16" i="3"/>
  <c r="F24" i="8"/>
  <c r="F15" i="8"/>
  <c r="F31" i="8"/>
  <c r="I22" i="8"/>
  <c r="K22" i="8" s="1"/>
  <c r="F22" i="8"/>
  <c r="F30" i="8"/>
  <c r="I7" i="8"/>
  <c r="I18" i="8"/>
  <c r="K18" i="8" s="1"/>
  <c r="S21" i="7"/>
  <c r="T21" i="7" s="1"/>
  <c r="I21" i="8"/>
  <c r="K21" i="8" s="1"/>
  <c r="I6" i="8"/>
  <c r="I16" i="8"/>
  <c r="K16" i="8" s="1"/>
  <c r="S9" i="7"/>
  <c r="T9" i="7" s="1"/>
  <c r="I9" i="8"/>
  <c r="K9" i="8" s="1"/>
  <c r="I8" i="8"/>
  <c r="K8" i="8" s="1"/>
  <c r="I12" i="8"/>
  <c r="I13" i="8"/>
  <c r="K13" i="8" s="1"/>
  <c r="S15" i="7"/>
  <c r="T15" i="7" s="1"/>
  <c r="I15" i="8"/>
  <c r="K15" i="8" s="1"/>
  <c r="I20" i="8"/>
  <c r="K20" i="8" s="1"/>
  <c r="S20" i="7"/>
  <c r="T20" i="7" s="1"/>
  <c r="I19" i="8"/>
  <c r="K19" i="8" s="1"/>
  <c r="I10" i="8"/>
  <c r="I11" i="8"/>
  <c r="K11" i="8" s="1"/>
  <c r="S17" i="7"/>
  <c r="T17" i="7" s="1"/>
  <c r="I17" i="8"/>
  <c r="K17" i="8" s="1"/>
  <c r="I14" i="8"/>
  <c r="K14" i="8" s="1"/>
  <c r="F16" i="8"/>
  <c r="F20" i="8"/>
  <c r="F17" i="8"/>
  <c r="F11" i="8"/>
  <c r="F29" i="8"/>
  <c r="F7" i="8"/>
  <c r="F8" i="8"/>
  <c r="F12" i="8"/>
  <c r="I5" i="8"/>
  <c r="T13" i="1"/>
  <c r="U13" i="1" s="1"/>
  <c r="I13" i="3"/>
  <c r="T19" i="1"/>
  <c r="U19" i="1" s="1"/>
  <c r="I19" i="3"/>
  <c r="J34" i="8"/>
  <c r="T8" i="1"/>
  <c r="U8" i="1" s="1"/>
  <c r="I8" i="3"/>
  <c r="T14" i="1"/>
  <c r="U14" i="1" s="1"/>
  <c r="I14" i="3"/>
  <c r="T20" i="1"/>
  <c r="U20" i="1" s="1"/>
  <c r="I20" i="3"/>
  <c r="K20" i="3" s="1"/>
  <c r="F17" i="3"/>
  <c r="F11" i="3"/>
  <c r="F23" i="3"/>
  <c r="T10" i="1"/>
  <c r="U10" i="1" s="1"/>
  <c r="I10" i="3"/>
  <c r="T16" i="1"/>
  <c r="U16" i="1" s="1"/>
  <c r="I16" i="3"/>
  <c r="T22" i="1"/>
  <c r="U22" i="1" s="1"/>
  <c r="I22" i="3"/>
  <c r="K22" i="3" s="1"/>
  <c r="J12" i="3"/>
  <c r="J24" i="3"/>
  <c r="K24" i="3" s="1"/>
  <c r="J13" i="3"/>
  <c r="J25" i="3"/>
  <c r="K25" i="3" s="1"/>
  <c r="J14" i="3"/>
  <c r="J26" i="3"/>
  <c r="K26" i="3" s="1"/>
  <c r="J22" i="3"/>
  <c r="J15" i="3"/>
  <c r="J27" i="3"/>
  <c r="K27" i="3" s="1"/>
  <c r="J16" i="3"/>
  <c r="J28" i="3"/>
  <c r="K28" i="3" s="1"/>
  <c r="J17" i="3"/>
  <c r="J29" i="3"/>
  <c r="K29" i="3" s="1"/>
  <c r="J6" i="3"/>
  <c r="J18" i="3"/>
  <c r="J30" i="3"/>
  <c r="K30" i="3" s="1"/>
  <c r="J10" i="3"/>
  <c r="J7" i="3"/>
  <c r="J19" i="3"/>
  <c r="J31" i="3"/>
  <c r="K31" i="3" s="1"/>
  <c r="J8" i="3"/>
  <c r="J20" i="3"/>
  <c r="J32" i="3"/>
  <c r="K32" i="3" s="1"/>
  <c r="J34" i="3"/>
  <c r="J9" i="3"/>
  <c r="J21" i="3"/>
  <c r="J33" i="3"/>
  <c r="K33" i="3" s="1"/>
  <c r="J11" i="3"/>
  <c r="J23" i="3"/>
  <c r="K23" i="3" s="1"/>
  <c r="T15" i="1"/>
  <c r="U15" i="1" s="1"/>
  <c r="I15" i="3"/>
  <c r="T21" i="1"/>
  <c r="U21" i="1" s="1"/>
  <c r="I21" i="3"/>
  <c r="F18" i="3"/>
  <c r="T9" i="1"/>
  <c r="U9" i="1" s="1"/>
  <c r="I9" i="3"/>
  <c r="T11" i="1"/>
  <c r="U11" i="1" s="1"/>
  <c r="I11" i="3"/>
  <c r="T17" i="1"/>
  <c r="U17" i="1" s="1"/>
  <c r="I17" i="3"/>
  <c r="K17" i="3" s="1"/>
  <c r="T6" i="1"/>
  <c r="U6" i="1" s="1"/>
  <c r="I6" i="3"/>
  <c r="T12" i="1"/>
  <c r="U12" i="1" s="1"/>
  <c r="I12" i="3"/>
  <c r="T18" i="1"/>
  <c r="U18" i="1" s="1"/>
  <c r="I18" i="3"/>
  <c r="T7" i="1"/>
  <c r="U7" i="1" s="1"/>
  <c r="I7" i="3"/>
  <c r="J5" i="3"/>
  <c r="F5" i="3"/>
  <c r="F5" i="8"/>
  <c r="T5" i="1"/>
  <c r="U5" i="1" s="1"/>
  <c r="I5" i="3"/>
  <c r="J5" i="8"/>
  <c r="J5" i="1"/>
  <c r="K12" i="3" l="1"/>
  <c r="K12" i="8"/>
  <c r="K10" i="8"/>
  <c r="K6" i="8"/>
  <c r="K10" i="3"/>
  <c r="K8" i="3"/>
  <c r="K7" i="8"/>
  <c r="K7" i="3"/>
  <c r="K5" i="8"/>
  <c r="K11" i="3"/>
  <c r="K14" i="3"/>
  <c r="K9" i="3"/>
  <c r="K18" i="3"/>
  <c r="K16" i="3"/>
  <c r="K21" i="3"/>
  <c r="K19" i="3"/>
  <c r="K15" i="3"/>
  <c r="K13" i="3"/>
  <c r="K6" i="3"/>
  <c r="K5" i="3"/>
</calcChain>
</file>

<file path=xl/sharedStrings.xml><?xml version="1.0" encoding="utf-8"?>
<sst xmlns="http://schemas.openxmlformats.org/spreadsheetml/2006/main" count="126" uniqueCount="52">
  <si>
    <t>EX 1 Direction</t>
  </si>
  <si>
    <t>EX 2 Direction</t>
  </si>
  <si>
    <t>Story</t>
  </si>
  <si>
    <r>
      <t>H</t>
    </r>
    <r>
      <rPr>
        <b/>
        <sz val="10"/>
        <color theme="1"/>
        <rFont val="Traditional Arabic"/>
        <family val="1"/>
      </rPr>
      <t>(M)</t>
    </r>
  </si>
  <si>
    <r>
      <t>H</t>
    </r>
    <r>
      <rPr>
        <b/>
        <sz val="10"/>
        <color theme="1"/>
        <rFont val="Traditional Arabic"/>
        <family val="1"/>
      </rPr>
      <t>(m</t>
    </r>
    <r>
      <rPr>
        <b/>
        <sz val="16"/>
        <color theme="1"/>
        <rFont val="Traditional Arabic"/>
        <family val="1"/>
      </rPr>
      <t>)</t>
    </r>
  </si>
  <si>
    <t>Story Drift</t>
  </si>
  <si>
    <t>Allowable</t>
  </si>
  <si>
    <t>Check</t>
  </si>
  <si>
    <t>H</t>
  </si>
  <si>
    <t>δ</t>
  </si>
  <si>
    <t xml:space="preserve"> ∆i</t>
  </si>
  <si>
    <t xml:space="preserve"> ∆m</t>
  </si>
  <si>
    <t xml:space="preserve"> ∆a</t>
  </si>
  <si>
    <t>EY 1 Direction</t>
  </si>
  <si>
    <t>EY 2 Direction</t>
  </si>
  <si>
    <t>Story Drift Ratio</t>
  </si>
  <si>
    <t>*∆</t>
  </si>
  <si>
    <r>
      <rPr>
        <b/>
        <sz val="16"/>
        <color theme="1"/>
        <rFont val="Times New Roman"/>
        <family val="1"/>
      </rPr>
      <t>a) STORY DISPLACEMENT</t>
    </r>
    <r>
      <rPr>
        <sz val="16"/>
        <color theme="1"/>
        <rFont val="Times New Roman"/>
        <family val="1"/>
      </rPr>
      <t xml:space="preserve"> is the lateral displacement of floor or point from its origional position. </t>
    </r>
    <r>
      <rPr>
        <b/>
        <sz val="16"/>
        <color theme="1"/>
        <rFont val="Times New Roman"/>
        <family val="1"/>
      </rPr>
      <t xml:space="preserve">                                          b) STORY DRIFT</t>
    </r>
    <r>
      <rPr>
        <sz val="16"/>
        <color theme="1"/>
        <rFont val="Times New Roman"/>
        <family val="1"/>
      </rPr>
      <t xml:space="preserve"> is the lateral displacement of one level relative to the level below.
c) </t>
    </r>
    <r>
      <rPr>
        <b/>
        <sz val="16"/>
        <color theme="1"/>
        <rFont val="Times New Roman"/>
        <family val="1"/>
      </rPr>
      <t>STORY DRIFT RATIO</t>
    </r>
    <r>
      <rPr>
        <sz val="16"/>
        <color theme="1"/>
        <rFont val="Times New Roman"/>
        <family val="1"/>
      </rPr>
      <t xml:space="preserve"> is the story drift divided by the story height.</t>
    </r>
  </si>
  <si>
    <t>Cd</t>
  </si>
  <si>
    <t>I</t>
  </si>
  <si>
    <t>Amplified Displacement</t>
  </si>
  <si>
    <t xml:space="preserve"> ∆a =</t>
  </si>
  <si>
    <r>
      <t>Elastic Displacement</t>
    </r>
    <r>
      <rPr>
        <b/>
        <sz val="10"/>
        <color theme="1"/>
        <rFont val="Times New Roman"/>
        <family val="1"/>
      </rPr>
      <t>(mm)</t>
    </r>
  </si>
  <si>
    <t>Allowable drift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</si>
  <si>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</si>
  <si>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</si>
  <si>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</si>
  <si>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</si>
  <si>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</si>
  <si>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</si>
  <si>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</si>
  <si>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</si>
  <si>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</si>
  <si>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</si>
  <si>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</si>
  <si>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</si>
  <si>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</si>
  <si>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</si>
  <si>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</si>
  <si>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</si>
  <si>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</si>
  <si>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</si>
  <si>
    <t>Story9.TR</t>
  </si>
  <si>
    <t>Story8.Roof</t>
  </si>
  <si>
    <t>Story7</t>
  </si>
  <si>
    <t>Story6</t>
  </si>
  <si>
    <t>Story5</t>
  </si>
  <si>
    <t>Story4</t>
  </si>
  <si>
    <t>Story3</t>
  </si>
  <si>
    <t>Story2</t>
  </si>
  <si>
    <t>Story1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</si>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</sst>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0.000000"/>
  </numFmts>
  <fonts count="20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charset val="178"/>
      <scheme val="minor"/>
    </font>
    <font>
      <sz val="13"/>
      <color theme="1"/>
      <name val="Times New Roman"/>
      <family val="1"/>
    </font>
    <font>
      <sz val="18"/>
      <color theme="1"/>
      <name val="Calibri"/>
      <family val="2"/>
      <charset val="178"/>
      <scheme val="minor"/>
    </font>
    <font>
      <sz val="18"/>
      <color theme="1"/>
      <name val="Times New Roman"/>
      <family val="1"/>
    </font>
    <font>
      <b/>
      <sz val="14"/>
      <color theme="1"/>
      <name val="Traditional Arabic"/>
      <family val="1"/>
    </font>
    <font>
      <b/>
      <sz val="16"/>
      <color theme="1"/>
      <name val="Traditional Arabic"/>
      <family val="1"/>
    </font>
    <font>
      <b/>
      <sz val="10"/>
      <color theme="1"/>
      <name val="Traditional Arabic"/>
      <family val="1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Calibri"/>
      <family val="2"/>
      <charset val="178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7" fillId="0" borderId="0" applyNumberFormat="0" applyFill="0" applyBorder="0" applyAlignment="0" applyProtection="0"/>
  </cellStyleXfs>
  <cellXfs count="72">
    <xf numFmtId="0" fontId="0" fillId="0" borderId="0" xfId="0"/>
    <xf numFmtId="2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2" fontId="10" fillId="3" borderId="7" xfId="0" applyNumberFormat="1" applyFont="1" applyFill="1" applyBorder="1" applyAlignment="1">
      <alignment horizontal="center" vertical="center"/>
    </xf>
    <xf numFmtId="2" fontId="10" fillId="3" borderId="7" xfId="0" applyNumberFormat="1" applyFont="1" applyFill="1" applyBorder="1" applyAlignment="1">
      <alignment vertical="top"/>
    </xf>
    <xf numFmtId="2" fontId="10" fillId="3" borderId="5" xfId="0" applyNumberFormat="1" applyFont="1" applyFill="1" applyBorder="1" applyAlignment="1">
      <alignment vertical="center"/>
    </xf>
    <xf numFmtId="164" fontId="10" fillId="3" borderId="8" xfId="0" applyNumberFormat="1" applyFont="1" applyFill="1" applyBorder="1" applyAlignment="1">
      <alignment horizontal="center" vertical="center"/>
    </xf>
    <xf numFmtId="2" fontId="10" fillId="3" borderId="11" xfId="0" applyNumberFormat="1" applyFont="1" applyFill="1" applyBorder="1" applyAlignment="1">
      <alignment horizontal="center" vertical="center"/>
    </xf>
    <xf numFmtId="2" fontId="10" fillId="3" borderId="9" xfId="0" applyNumberFormat="1" applyFont="1" applyFill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2" fontId="4" fillId="2" borderId="13" xfId="0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65" fontId="4" fillId="4" borderId="14" xfId="0" applyNumberFormat="1" applyFont="1" applyFill="1" applyBorder="1" applyAlignment="1">
      <alignment horizontal="center" vertical="center"/>
    </xf>
    <xf numFmtId="0" fontId="12" fillId="4" borderId="12" xfId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4" fillId="2" borderId="1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6" fontId="4" fillId="4" borderId="12" xfId="0" applyNumberFormat="1" applyFont="1" applyFill="1" applyBorder="1" applyAlignment="1">
      <alignment horizontal="center" vertical="center"/>
    </xf>
    <xf numFmtId="166" fontId="4" fillId="4" borderId="13" xfId="0" applyNumberFormat="1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right" vertical="center"/>
    </xf>
    <xf numFmtId="0" fontId="5" fillId="5" borderId="23" xfId="0" applyFont="1" applyFill="1" applyBorder="1" applyAlignment="1">
      <alignment horizontal="left" vertical="center"/>
    </xf>
    <xf numFmtId="2" fontId="10" fillId="3" borderId="5" xfId="0" applyNumberFormat="1" applyFont="1" applyFill="1" applyBorder="1" applyAlignment="1">
      <alignment horizontal="center" vertical="center"/>
    </xf>
    <xf numFmtId="2" fontId="10" fillId="3" borderId="7" xfId="0" applyNumberFormat="1" applyFont="1" applyFill="1" applyBorder="1" applyAlignment="1">
      <alignment horizontal="center" vertical="center" wrapText="1"/>
    </xf>
    <xf numFmtId="2" fontId="10" fillId="3" borderId="7" xfId="0" applyNumberFormat="1" applyFont="1" applyFill="1" applyBorder="1" applyAlignment="1">
      <alignment vertical="center" wrapText="1"/>
    </xf>
    <xf numFmtId="2" fontId="10" fillId="3" borderId="7" xfId="0" applyNumberFormat="1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6" borderId="24" xfId="0" applyFont="1" applyFill="1" applyBorder="1" applyAlignment="1">
      <alignment horizontal="right" vertical="center"/>
    </xf>
    <xf numFmtId="0" fontId="12" fillId="7" borderId="12" xfId="1" applyFont="1" applyFill="1" applyBorder="1" applyAlignment="1">
      <alignment horizontal="center" vertical="center"/>
    </xf>
    <xf numFmtId="2" fontId="4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2" fontId="4" fillId="7" borderId="15" xfId="0" applyNumberFormat="1" applyFont="1" applyFill="1" applyBorder="1" applyAlignment="1">
      <alignment horizontal="center" vertical="center"/>
    </xf>
    <xf numFmtId="2" fontId="4" fillId="7" borderId="9" xfId="0" applyNumberFormat="1" applyFont="1" applyFill="1" applyBorder="1" applyAlignment="1">
      <alignment horizontal="center" vertical="center"/>
    </xf>
    <xf numFmtId="2" fontId="4" fillId="7" borderId="0" xfId="0" applyNumberFormat="1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right" vertical="center"/>
    </xf>
    <xf numFmtId="0" fontId="5" fillId="8" borderId="23" xfId="0" applyFont="1" applyFill="1" applyBorder="1" applyAlignment="1">
      <alignment horizontal="left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1" fillId="0" borderId="0" xfId="2" applyProtection="1">
      <protection hidden="1"/>
    </xf>
    <xf numFmtId="0" fontId="19" fillId="0" borderId="0" xfId="2" applyFont="1" applyProtection="1">
      <protection hidden="1"/>
    </xf>
    <xf numFmtId="0" fontId="1" fillId="0" borderId="0" xfId="2" applyAlignment="1" applyProtection="1">
      <alignment horizontal="right"/>
      <protection hidden="1"/>
    </xf>
    <xf numFmtId="0" fontId="17" fillId="0" borderId="0" xfId="3" applyAlignment="1" applyProtection="1">
      <alignment horizontal="left"/>
      <protection hidden="1"/>
    </xf>
    <xf numFmtId="0" fontId="16" fillId="0" borderId="0" xfId="2" applyFont="1" applyAlignment="1" applyProtection="1">
      <alignment horizontal="center" vertical="center" wrapText="1"/>
      <protection hidden="1"/>
    </xf>
    <xf numFmtId="0" fontId="18" fillId="0" borderId="0" xfId="2" applyFont="1" applyAlignment="1" applyProtection="1">
      <alignment horizontal="center" vertical="center" wrapText="1"/>
      <protection hidden="1"/>
    </xf>
    <xf numFmtId="2" fontId="13" fillId="0" borderId="19" xfId="0" applyNumberFormat="1" applyFont="1" applyBorder="1" applyAlignment="1">
      <alignment horizontal="left" vertical="center" wrapText="1"/>
    </xf>
    <xf numFmtId="2" fontId="13" fillId="0" borderId="3" xfId="0" applyNumberFormat="1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left" vertical="center" wrapText="1"/>
    </xf>
    <xf numFmtId="2" fontId="13" fillId="0" borderId="17" xfId="0" applyNumberFormat="1" applyFont="1" applyBorder="1" applyAlignment="1">
      <alignment horizontal="left" vertical="center" wrapText="1"/>
    </xf>
    <xf numFmtId="2" fontId="13" fillId="0" borderId="0" xfId="0" applyNumberFormat="1" applyFont="1" applyAlignment="1">
      <alignment horizontal="left" vertical="center" wrapText="1"/>
    </xf>
    <xf numFmtId="2" fontId="13" fillId="0" borderId="20" xfId="0" applyNumberFormat="1" applyFont="1" applyBorder="1" applyAlignment="1">
      <alignment horizontal="left" vertical="center" wrapText="1"/>
    </xf>
    <xf numFmtId="2" fontId="13" fillId="0" borderId="21" xfId="0" applyNumberFormat="1" applyFont="1" applyBorder="1" applyAlignment="1">
      <alignment horizontal="left" vertical="center" wrapText="1"/>
    </xf>
    <xf numFmtId="2" fontId="13" fillId="0" borderId="18" xfId="0" applyNumberFormat="1" applyFont="1" applyBorder="1" applyAlignment="1">
      <alignment horizontal="left" vertical="center" wrapText="1"/>
    </xf>
    <xf numFmtId="2" fontId="13" fillId="0" borderId="22" xfId="0" applyNumberFormat="1" applyFont="1" applyBorder="1" applyAlignment="1">
      <alignment horizontal="left" vertical="center" wrapText="1"/>
    </xf>
    <xf numFmtId="2" fontId="8" fillId="3" borderId="6" xfId="0" applyNumberFormat="1" applyFont="1" applyFill="1" applyBorder="1" applyAlignment="1">
      <alignment horizontal="center" vertical="center"/>
    </xf>
    <xf numFmtId="2" fontId="8" fillId="3" borderId="10" xfId="0" applyNumberFormat="1" applyFont="1" applyFill="1" applyBorder="1" applyAlignment="1">
      <alignment horizontal="center" vertical="center"/>
    </xf>
    <xf numFmtId="2" fontId="10" fillId="3" borderId="14" xfId="0" applyNumberFormat="1" applyFont="1" applyFill="1" applyBorder="1" applyAlignment="1">
      <alignment horizontal="center" vertical="center"/>
    </xf>
    <xf numFmtId="2" fontId="10" fillId="3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2" fontId="8" fillId="3" borderId="5" xfId="0" applyNumberFormat="1" applyFont="1" applyFill="1" applyBorder="1" applyAlignment="1">
      <alignment horizontal="center" vertical="center"/>
    </xf>
    <xf numFmtId="2" fontId="8" fillId="3" borderId="9" xfId="0" applyNumberFormat="1" applyFont="1" applyFill="1" applyBorder="1" applyAlignment="1">
      <alignment horizontal="center" vertical="center"/>
    </xf>
    <xf numFmtId="2" fontId="10" fillId="3" borderId="6" xfId="0" applyNumberFormat="1" applyFont="1" applyFill="1" applyBorder="1" applyAlignment="1">
      <alignment horizontal="center" vertical="center"/>
    </xf>
  </cellXfs>
  <cellStyles count="4">
    <cellStyle name="Hyperlink 2" xfId="3"/>
    <cellStyle name="Normal" xfId="0" builtinId="0"/>
    <cellStyle name="Normal 2" xfId="1"/>
    <cellStyle name="Normal 3" xfId="2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6A1BD-A4A1-469E-AD77-72B97BFD0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2AF40CFC-EFB3-4838-B40D-475AE0AADEDC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37</xdr:row>
      <xdr:rowOff>200025</xdr:rowOff>
    </xdr:from>
    <xdr:to>
      <xdr:col>17</xdr:col>
      <xdr:colOff>132794</xdr:colOff>
      <xdr:row>59</xdr:row>
      <xdr:rowOff>56590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5932A5-61AB-46D1-A27E-76AB72B14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9375" y="7105650"/>
          <a:ext cx="4447619" cy="44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39</xdr:row>
      <xdr:rowOff>142875</xdr:rowOff>
    </xdr:from>
    <xdr:to>
      <xdr:col>9</xdr:col>
      <xdr:colOff>134382</xdr:colOff>
      <xdr:row>54</xdr:row>
      <xdr:rowOff>76200</xdr:rowOff>
    </xdr:to>
    <xdr:pic>
      <xdr:nvPicPr>
        <xdr:cNvPr id="4" name="Picture 3" descr="Image result for story displacement">
          <a:extLst>
            <a:ext uri="{FF2B5EF4-FFF2-40B4-BE49-F238E27FC236}">
              <a16:creationId xmlns:a16="http://schemas.microsoft.com/office/drawing/2014/main" id="{564F2948-A62B-47CB-8D5A-E39925B00F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81" t="1246" r="28707" b="25545"/>
        <a:stretch/>
      </xdr:blipFill>
      <xdr:spPr bwMode="auto">
        <a:xfrm>
          <a:off x="1457325" y="7467600"/>
          <a:ext cx="4752326" cy="3076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285750</xdr:colOff>
      <xdr:row>60</xdr:row>
      <xdr:rowOff>19050</xdr:rowOff>
    </xdr:from>
    <xdr:to>
      <xdr:col>27</xdr:col>
      <xdr:colOff>218421</xdr:colOff>
      <xdr:row>75</xdr:row>
      <xdr:rowOff>161513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1790AF-8928-47EE-BC30-205EFA997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39725" y="11972925"/>
          <a:ext cx="5238095" cy="3295238"/>
        </a:xfrm>
        <a:prstGeom prst="rect">
          <a:avLst/>
        </a:prstGeom>
      </xdr:spPr>
    </xdr:pic>
    <xdr:clientData/>
  </xdr:twoCellAnchor>
  <xdr:twoCellAnchor editAs="oneCell">
    <xdr:from>
      <xdr:col>22</xdr:col>
      <xdr:colOff>95249</xdr:colOff>
      <xdr:row>0</xdr:row>
      <xdr:rowOff>9525</xdr:rowOff>
    </xdr:from>
    <xdr:to>
      <xdr:col>29</xdr:col>
      <xdr:colOff>314324</xdr:colOff>
      <xdr:row>33</xdr:row>
      <xdr:rowOff>50077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AB0424-113E-4C93-ADF0-588B844A3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30449" y="9525"/>
          <a:ext cx="4486275" cy="790596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304800</xdr:colOff>
      <xdr:row>73</xdr:row>
      <xdr:rowOff>95250</xdr:rowOff>
    </xdr:to>
    <xdr:sp macro="" textlink="">
      <xdr:nvSpPr>
        <xdr:cNvPr id="1025" name="AutoShape 1" descr="Image result for deflection amplification factor and overstrength factor">
          <a:extLst>
            <a:ext uri="{FF2B5EF4-FFF2-40B4-BE49-F238E27FC236}">
              <a16:creationId xmlns:a16="http://schemas.microsoft.com/office/drawing/2014/main" id="{2A412B51-F88C-41BB-83EA-724ADC064396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68</xdr:row>
      <xdr:rowOff>0</xdr:rowOff>
    </xdr:from>
    <xdr:to>
      <xdr:col>9</xdr:col>
      <xdr:colOff>458280</xdr:colOff>
      <xdr:row>93</xdr:row>
      <xdr:rowOff>46964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6A717A-FCEF-426D-97A2-9A49B9624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5450" y="13639800"/>
          <a:ext cx="4809524" cy="5285714"/>
        </a:xfrm>
        <a:prstGeom prst="rect">
          <a:avLst/>
        </a:prstGeom>
      </xdr:spPr>
    </xdr:pic>
    <xdr:clientData/>
  </xdr:twoCellAnchor>
  <xdr:twoCellAnchor editAs="oneCell">
    <xdr:from>
      <xdr:col>29</xdr:col>
      <xdr:colOff>114300</xdr:colOff>
      <xdr:row>0</xdr:row>
      <xdr:rowOff>57150</xdr:rowOff>
    </xdr:from>
    <xdr:to>
      <xdr:col>42</xdr:col>
      <xdr:colOff>410722</xdr:colOff>
      <xdr:row>37</xdr:row>
      <xdr:rowOff>182207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383500" y="57150"/>
          <a:ext cx="8221222" cy="88309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39</xdr:row>
      <xdr:rowOff>200025</xdr:rowOff>
    </xdr:from>
    <xdr:to>
      <xdr:col>16</xdr:col>
      <xdr:colOff>132794</xdr:colOff>
      <xdr:row>61</xdr:row>
      <xdr:rowOff>56590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CDA4ED-CB77-4B11-87D4-2E5315B0B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0" y="7324725"/>
          <a:ext cx="4447619" cy="44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41</xdr:row>
      <xdr:rowOff>142875</xdr:rowOff>
    </xdr:from>
    <xdr:to>
      <xdr:col>8</xdr:col>
      <xdr:colOff>342251</xdr:colOff>
      <xdr:row>56</xdr:row>
      <xdr:rowOff>76200</xdr:rowOff>
    </xdr:to>
    <xdr:pic>
      <xdr:nvPicPr>
        <xdr:cNvPr id="3" name="Picture 2" descr="Image result for story displacement">
          <a:extLst>
            <a:ext uri="{FF2B5EF4-FFF2-40B4-BE49-F238E27FC236}">
              <a16:creationId xmlns:a16="http://schemas.microsoft.com/office/drawing/2014/main" id="{E5E78D96-9DF5-4AC8-AA9F-FABC941F9F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81" t="1246" r="28707" b="25545"/>
        <a:stretch/>
      </xdr:blipFill>
      <xdr:spPr bwMode="auto">
        <a:xfrm>
          <a:off x="1457325" y="7686675"/>
          <a:ext cx="4752326" cy="3076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381000</xdr:colOff>
      <xdr:row>0</xdr:row>
      <xdr:rowOff>0</xdr:rowOff>
    </xdr:from>
    <xdr:to>
      <xdr:col>47</xdr:col>
      <xdr:colOff>386863</xdr:colOff>
      <xdr:row>26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FA7737-1495-4E5C-B3AA-E8806DFE4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31050" y="0"/>
          <a:ext cx="11588263" cy="6276975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285750</xdr:colOff>
      <xdr:row>62</xdr:row>
      <xdr:rowOff>19050</xdr:rowOff>
    </xdr:from>
    <xdr:to>
      <xdr:col>26</xdr:col>
      <xdr:colOff>218420</xdr:colOff>
      <xdr:row>77</xdr:row>
      <xdr:rowOff>161513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B63079-2307-4688-B3C3-35FCF7B91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11175" y="11972925"/>
          <a:ext cx="5238095" cy="3295238"/>
        </a:xfrm>
        <a:prstGeom prst="rect">
          <a:avLst/>
        </a:prstGeom>
      </xdr:spPr>
    </xdr:pic>
    <xdr:clientData/>
  </xdr:twoCellAnchor>
  <xdr:twoCellAnchor editAs="oneCell">
    <xdr:from>
      <xdr:col>21</xdr:col>
      <xdr:colOff>95249</xdr:colOff>
      <xdr:row>0</xdr:row>
      <xdr:rowOff>9525</xdr:rowOff>
    </xdr:from>
    <xdr:to>
      <xdr:col>28</xdr:col>
      <xdr:colOff>314324</xdr:colOff>
      <xdr:row>33</xdr:row>
      <xdr:rowOff>171661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576E07-AFE4-46DA-B6D3-BA7D4834C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78099" y="9525"/>
          <a:ext cx="4486275" cy="79059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 Analysis"/>
      <sheetName val="Video &amp; Instruction 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P23" sqref="P23"/>
    </sheetView>
  </sheetViews>
  <sheetFormatPr defaultRowHeight="15"/>
  <cols>
    <col min="1" max="1" width="9.140625" style="47" customWidth="1"/>
    <col min="2" max="16384" width="9.140625" style="47"/>
  </cols>
  <sheetData>
    <row r="14" spans="2:10" ht="15" customHeight="1">
      <c r="B14" s="51" t="s">
        <v>24</v>
      </c>
      <c r="C14" s="51"/>
      <c r="D14" s="51"/>
      <c r="E14" s="51"/>
      <c r="F14" s="51"/>
      <c r="G14" s="51"/>
      <c r="H14" s="51"/>
      <c r="I14" s="51"/>
      <c r="J14" s="51"/>
    </row>
    <row r="15" spans="2:10" ht="15" customHeight="1">
      <c r="B15" s="51"/>
      <c r="C15" s="51"/>
      <c r="D15" s="51"/>
      <c r="E15" s="51"/>
      <c r="F15" s="51"/>
      <c r="G15" s="51"/>
      <c r="H15" s="51"/>
      <c r="I15" s="51"/>
      <c r="J15" s="51"/>
    </row>
    <row r="16" spans="2:10">
      <c r="B16" s="51"/>
      <c r="C16" s="51"/>
      <c r="D16" s="51"/>
      <c r="E16" s="51"/>
      <c r="F16" s="51"/>
      <c r="G16" s="51"/>
      <c r="H16" s="51"/>
      <c r="I16" s="51"/>
      <c r="J16" s="51"/>
    </row>
    <row r="17" spans="2:10">
      <c r="C17" s="49" t="s">
        <v>25</v>
      </c>
      <c r="D17" s="49"/>
      <c r="E17" s="50" t="s">
        <v>26</v>
      </c>
      <c r="F17" s="50"/>
      <c r="G17" s="50"/>
      <c r="H17" s="50"/>
      <c r="I17" s="50"/>
      <c r="J17" s="50"/>
    </row>
    <row r="18" spans="2:10">
      <c r="C18" s="49" t="s">
        <v>27</v>
      </c>
      <c r="D18" s="49"/>
      <c r="E18" s="50" t="s">
        <v>28</v>
      </c>
      <c r="F18" s="50"/>
      <c r="G18" s="50"/>
      <c r="H18" s="50"/>
      <c r="I18" s="50"/>
      <c r="J18" s="50"/>
    </row>
    <row r="19" spans="2:10">
      <c r="C19" s="49" t="s">
        <v>29</v>
      </c>
      <c r="D19" s="49"/>
      <c r="E19" s="50" t="s">
        <v>30</v>
      </c>
      <c r="F19" s="50"/>
      <c r="G19" s="50"/>
      <c r="H19" s="50"/>
      <c r="I19" s="50"/>
      <c r="J19" s="50"/>
    </row>
    <row r="20" spans="2:10">
      <c r="C20" s="49" t="s">
        <v>31</v>
      </c>
      <c r="D20" s="49"/>
      <c r="E20" s="50" t="s">
        <v>32</v>
      </c>
      <c r="F20" s="50"/>
      <c r="G20" s="50"/>
      <c r="H20" s="50"/>
      <c r="I20" s="50"/>
      <c r="J20" s="50"/>
    </row>
    <row r="21" spans="2:10">
      <c r="C21" s="49" t="s">
        <v>33</v>
      </c>
      <c r="D21" s="49"/>
      <c r="E21" s="50" t="s">
        <v>34</v>
      </c>
      <c r="F21" s="50"/>
      <c r="G21" s="50"/>
      <c r="H21" s="50"/>
      <c r="I21" s="50"/>
      <c r="J21" s="50"/>
    </row>
    <row r="22" spans="2:10">
      <c r="C22" s="49" t="s">
        <v>35</v>
      </c>
      <c r="D22" s="49"/>
      <c r="E22" s="50" t="s">
        <v>36</v>
      </c>
      <c r="F22" s="50"/>
      <c r="G22" s="50"/>
      <c r="H22" s="50"/>
      <c r="I22" s="50"/>
      <c r="J22" s="50"/>
    </row>
    <row r="24" spans="2:10" ht="15" customHeight="1">
      <c r="B24" s="52" t="s">
        <v>37</v>
      </c>
      <c r="C24" s="52"/>
      <c r="D24" s="52"/>
      <c r="E24" s="52"/>
      <c r="F24" s="52"/>
      <c r="G24" s="52"/>
      <c r="H24" s="52"/>
      <c r="I24" s="52"/>
      <c r="J24" s="52"/>
    </row>
    <row r="25" spans="2:10" ht="15" customHeight="1">
      <c r="B25" s="52"/>
      <c r="C25" s="52"/>
      <c r="D25" s="52"/>
      <c r="E25" s="52"/>
      <c r="F25" s="52"/>
      <c r="G25" s="52"/>
      <c r="H25" s="52"/>
      <c r="I25" s="52"/>
      <c r="J25" s="52"/>
    </row>
    <row r="26" spans="2:10" ht="15" customHeight="1">
      <c r="B26" s="52"/>
      <c r="C26" s="52"/>
      <c r="D26" s="52"/>
      <c r="E26" s="52"/>
      <c r="F26" s="52"/>
      <c r="G26" s="52"/>
      <c r="H26" s="52"/>
      <c r="I26" s="52"/>
      <c r="J26" s="52"/>
    </row>
    <row r="27" spans="2:10">
      <c r="B27" s="52"/>
      <c r="C27" s="52"/>
      <c r="D27" s="52"/>
      <c r="E27" s="52"/>
      <c r="F27" s="52"/>
      <c r="G27" s="52"/>
      <c r="H27" s="52"/>
      <c r="I27" s="52"/>
      <c r="J27" s="52"/>
    </row>
    <row r="34" spans="1:13" ht="15.75">
      <c r="A34" s="48" t="s">
        <v>38</v>
      </c>
      <c r="B34" s="50" t="s">
        <v>39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</row>
    <row r="35" spans="1:13" ht="15.75">
      <c r="A35" s="48"/>
    </row>
    <row r="36" spans="1:13" ht="15.75">
      <c r="A36" s="48" t="s">
        <v>40</v>
      </c>
      <c r="B36" s="50" t="s">
        <v>41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</sheetData>
  <sheetProtection algorithmName="SHA-512" hashValue="rfeIbBV7NLFdyIXPZC4s9kbWqVDMnr+LcrbThaX/ybpiDWZQoiUo+UEpF5IU1mFIatIU265ZUTsFRcOpmV9p1g==" saltValue="YBsPkQa+NHD1rGZ9QybrdA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C19:D19"/>
    <mergeCell ref="E19:J19"/>
    <mergeCell ref="B14:J16"/>
    <mergeCell ref="C17:D17"/>
    <mergeCell ref="E17:J17"/>
    <mergeCell ref="C18:D18"/>
    <mergeCell ref="E18:J18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tabSelected="1" zoomScaleNormal="100" workbookViewId="0">
      <selection activeCell="I2" sqref="I2"/>
    </sheetView>
  </sheetViews>
  <sheetFormatPr defaultRowHeight="16.5"/>
  <cols>
    <col min="2" max="2" width="15.7109375" style="20" customWidth="1"/>
    <col min="3" max="3" width="9.7109375" style="1" hidden="1" customWidth="1"/>
    <col min="4" max="4" width="8.28515625" style="1" customWidth="1"/>
    <col min="5" max="5" width="1.85546875" style="1" customWidth="1"/>
    <col min="6" max="6" width="23" style="1" customWidth="1"/>
    <col min="7" max="7" width="16.5703125" style="1" customWidth="1"/>
    <col min="8" max="8" width="13.5703125" style="1" customWidth="1"/>
    <col min="9" max="9" width="12.140625" style="20" bestFit="1" customWidth="1"/>
    <col min="10" max="10" width="10.7109375" style="20" customWidth="1"/>
    <col min="11" max="11" width="10.5703125" customWidth="1"/>
    <col min="13" max="13" width="15.7109375" style="20" customWidth="1"/>
    <col min="14" max="14" width="9" style="1" hidden="1" customWidth="1"/>
    <col min="15" max="15" width="7.85546875" style="1" customWidth="1"/>
    <col min="16" max="16" width="1.85546875" style="1" customWidth="1"/>
    <col min="17" max="17" width="20.28515625" style="1" bestFit="1" customWidth="1"/>
    <col min="18" max="18" width="16.140625" style="1" customWidth="1"/>
    <col min="19" max="19" width="13.5703125" style="1" customWidth="1"/>
    <col min="20" max="20" width="12.140625" style="20" bestFit="1" customWidth="1"/>
    <col min="21" max="21" width="10.7109375" style="20" customWidth="1"/>
    <col min="22" max="22" width="11" customWidth="1"/>
  </cols>
  <sheetData>
    <row r="1" spans="1:22" ht="47.25" thickBot="1">
      <c r="B1" s="66"/>
      <c r="C1" s="66"/>
      <c r="D1" s="66"/>
      <c r="F1" s="66" t="s">
        <v>0</v>
      </c>
      <c r="G1" s="66"/>
      <c r="H1" s="66"/>
      <c r="I1" s="66"/>
      <c r="J1" s="66"/>
      <c r="M1" s="66"/>
      <c r="N1" s="66"/>
      <c r="O1" s="66"/>
      <c r="Q1" s="66" t="s">
        <v>1</v>
      </c>
      <c r="R1" s="66"/>
      <c r="S1" s="66"/>
      <c r="T1" s="66"/>
      <c r="U1" s="66"/>
    </row>
    <row r="2" spans="1:22" ht="32.25" customHeight="1" thickBot="1">
      <c r="B2" s="2"/>
      <c r="C2" s="2"/>
      <c r="D2" s="2"/>
      <c r="E2" s="3"/>
      <c r="F2" s="4" t="s">
        <v>18</v>
      </c>
      <c r="G2" s="40">
        <v>5.5</v>
      </c>
      <c r="H2" s="4" t="s">
        <v>19</v>
      </c>
      <c r="I2" s="41">
        <v>1</v>
      </c>
      <c r="J2" s="33" t="s">
        <v>21</v>
      </c>
      <c r="K2" s="42">
        <v>0.02</v>
      </c>
      <c r="M2" s="2"/>
      <c r="N2" s="2"/>
      <c r="O2" s="2"/>
      <c r="P2" s="3"/>
      <c r="Q2" s="4" t="s">
        <v>18</v>
      </c>
      <c r="R2" s="5">
        <f>G2</f>
        <v>5.5</v>
      </c>
      <c r="S2" s="4" t="s">
        <v>19</v>
      </c>
      <c r="T2" s="6">
        <f>I2</f>
        <v>1</v>
      </c>
      <c r="U2" s="43" t="s">
        <v>21</v>
      </c>
      <c r="V2" s="44">
        <f>K2</f>
        <v>0.02</v>
      </c>
    </row>
    <row r="3" spans="1:22" ht="43.5" customHeight="1">
      <c r="B3" s="67" t="s">
        <v>2</v>
      </c>
      <c r="C3" s="69" t="s">
        <v>3</v>
      </c>
      <c r="D3" s="62" t="s">
        <v>4</v>
      </c>
      <c r="F3" s="28" t="s">
        <v>22</v>
      </c>
      <c r="G3" s="29" t="s">
        <v>20</v>
      </c>
      <c r="H3" s="30" t="s">
        <v>5</v>
      </c>
      <c r="I3" s="9" t="s">
        <v>6</v>
      </c>
      <c r="J3" s="64" t="s">
        <v>7</v>
      </c>
      <c r="M3" s="67" t="s">
        <v>2</v>
      </c>
      <c r="N3" s="69" t="s">
        <v>3</v>
      </c>
      <c r="O3" s="62" t="s">
        <v>8</v>
      </c>
      <c r="Q3" s="28" t="s">
        <v>22</v>
      </c>
      <c r="R3" s="28" t="s">
        <v>20</v>
      </c>
      <c r="S3" s="7" t="s">
        <v>5</v>
      </c>
      <c r="T3" s="27" t="s">
        <v>6</v>
      </c>
      <c r="U3" s="64" t="s">
        <v>7</v>
      </c>
    </row>
    <row r="4" spans="1:22" ht="17.25" customHeight="1" thickBot="1">
      <c r="B4" s="68"/>
      <c r="C4" s="70"/>
      <c r="D4" s="63"/>
      <c r="F4" s="10" t="s">
        <v>9</v>
      </c>
      <c r="G4" s="11" t="s">
        <v>11</v>
      </c>
      <c r="H4" s="11" t="s">
        <v>10</v>
      </c>
      <c r="I4" s="12" t="s">
        <v>12</v>
      </c>
      <c r="J4" s="65"/>
      <c r="M4" s="68"/>
      <c r="N4" s="70"/>
      <c r="O4" s="63"/>
      <c r="Q4" s="10" t="s">
        <v>9</v>
      </c>
      <c r="R4" s="11" t="s">
        <v>11</v>
      </c>
      <c r="S4" s="11" t="s">
        <v>10</v>
      </c>
      <c r="T4" s="12" t="s">
        <v>12</v>
      </c>
      <c r="U4" s="65"/>
    </row>
    <row r="5" spans="1:22">
      <c r="A5">
        <v>1</v>
      </c>
      <c r="B5" s="34" t="s">
        <v>42</v>
      </c>
      <c r="C5" s="35">
        <v>3000</v>
      </c>
      <c r="D5" s="36">
        <v>3.048</v>
      </c>
      <c r="F5" s="45">
        <v>56.115761999999997</v>
      </c>
      <c r="G5" s="15">
        <f>IF(F5="","",(F5*$G$2/$I$2))</f>
        <v>308.63669099999998</v>
      </c>
      <c r="H5" s="15">
        <f>IF(F5="","",G5-G6)</f>
        <v>25.207786999999996</v>
      </c>
      <c r="I5" s="15">
        <f>IF(F5="","",$K$2*D5*1000)</f>
        <v>60.96</v>
      </c>
      <c r="J5" s="16" t="str">
        <f t="shared" ref="J5:J34" si="0">IF(F5="","",IF(H5&lt;=I5,"Safe","Unsafe"))</f>
        <v>Safe</v>
      </c>
      <c r="M5" s="17" t="str">
        <f t="shared" ref="M5:M22" si="1">IF(B5="","",B5)</f>
        <v>Story9.TR</v>
      </c>
      <c r="N5" s="14">
        <v>3.2</v>
      </c>
      <c r="O5" s="18">
        <f t="shared" ref="O5:O22" si="2">IF(D5="","",D5)</f>
        <v>3.048</v>
      </c>
      <c r="Q5" s="45"/>
      <c r="R5" s="15" t="str">
        <f>IF(Q5="","",(Q5*$G$2/$I$2))</f>
        <v/>
      </c>
      <c r="S5" s="15" t="str">
        <f>IF(Q5="","",R5-R6)</f>
        <v/>
      </c>
      <c r="T5" s="15" t="str">
        <f>IF(Q5="","",$K$2*O5*1000)</f>
        <v/>
      </c>
      <c r="U5" s="16" t="str">
        <f t="shared" ref="U5:U34" si="3">IF(Q5="","",IF(S5&lt;=T5,"Safe","Unsafe"))</f>
        <v/>
      </c>
    </row>
    <row r="6" spans="1:22">
      <c r="A6">
        <v>2</v>
      </c>
      <c r="B6" s="34" t="s">
        <v>43</v>
      </c>
      <c r="C6" s="37">
        <v>3000</v>
      </c>
      <c r="D6" s="36">
        <v>3.048</v>
      </c>
      <c r="F6" s="46">
        <v>51.532527999999999</v>
      </c>
      <c r="G6" s="15">
        <f t="shared" ref="G6:G34" si="4">IF(F6="","",(F6*$G$2/$I$2))</f>
        <v>283.42890399999999</v>
      </c>
      <c r="H6" s="15">
        <f t="shared" ref="H6:H34" si="5">IF(F6="","",G6-G7)</f>
        <v>29.442891500000002</v>
      </c>
      <c r="I6" s="15">
        <f t="shared" ref="I6:I34" si="6">IF(F6="","",$K$2*D6*1000)</f>
        <v>60.96</v>
      </c>
      <c r="J6" s="16" t="str">
        <f t="shared" si="0"/>
        <v>Safe</v>
      </c>
      <c r="M6" s="17" t="str">
        <f t="shared" si="1"/>
        <v>Story8.Roof</v>
      </c>
      <c r="N6" s="19">
        <v>3.2</v>
      </c>
      <c r="O6" s="18">
        <f t="shared" si="2"/>
        <v>3.048</v>
      </c>
      <c r="Q6" s="46"/>
      <c r="R6" s="15" t="str">
        <f t="shared" ref="R6:R34" si="7">IF(Q6="","",(Q6*$G$2/$I$2))</f>
        <v/>
      </c>
      <c r="S6" s="15" t="str">
        <f t="shared" ref="S6:S34" si="8">IF(Q6="","",R6-R7)</f>
        <v/>
      </c>
      <c r="T6" s="15" t="str">
        <f t="shared" ref="T6:T34" si="9">IF(Q6="","",$K$2*O6*1000)</f>
        <v/>
      </c>
      <c r="U6" s="16" t="str">
        <f t="shared" si="3"/>
        <v/>
      </c>
    </row>
    <row r="7" spans="1:22">
      <c r="A7">
        <v>3</v>
      </c>
      <c r="B7" s="34" t="s">
        <v>44</v>
      </c>
      <c r="C7" s="37">
        <v>3000</v>
      </c>
      <c r="D7" s="36">
        <v>3.048</v>
      </c>
      <c r="F7" s="45">
        <v>46.179274999999997</v>
      </c>
      <c r="G7" s="15">
        <f t="shared" si="4"/>
        <v>253.98601249999999</v>
      </c>
      <c r="H7" s="15">
        <f t="shared" si="5"/>
        <v>33.413924499999979</v>
      </c>
      <c r="I7" s="15">
        <f t="shared" si="6"/>
        <v>60.96</v>
      </c>
      <c r="J7" s="16" t="str">
        <f t="shared" si="0"/>
        <v>Safe</v>
      </c>
      <c r="M7" s="17" t="str">
        <f t="shared" si="1"/>
        <v>Story7</v>
      </c>
      <c r="N7" s="19">
        <v>3.2</v>
      </c>
      <c r="O7" s="18">
        <f t="shared" si="2"/>
        <v>3.048</v>
      </c>
      <c r="Q7" s="45"/>
      <c r="R7" s="15" t="str">
        <f t="shared" si="7"/>
        <v/>
      </c>
      <c r="S7" s="15" t="str">
        <f t="shared" si="8"/>
        <v/>
      </c>
      <c r="T7" s="15" t="str">
        <f t="shared" si="9"/>
        <v/>
      </c>
      <c r="U7" s="16" t="str">
        <f t="shared" si="3"/>
        <v/>
      </c>
    </row>
    <row r="8" spans="1:22">
      <c r="A8">
        <v>4</v>
      </c>
      <c r="B8" s="34" t="s">
        <v>45</v>
      </c>
      <c r="C8" s="37">
        <v>3000</v>
      </c>
      <c r="D8" s="36">
        <v>3.048</v>
      </c>
      <c r="F8" s="46">
        <v>40.104016000000001</v>
      </c>
      <c r="G8" s="15">
        <f t="shared" si="4"/>
        <v>220.57208800000001</v>
      </c>
      <c r="H8" s="15">
        <f t="shared" si="5"/>
        <v>37.010027999999977</v>
      </c>
      <c r="I8" s="15">
        <f t="shared" si="6"/>
        <v>60.96</v>
      </c>
      <c r="J8" s="16" t="str">
        <f t="shared" si="0"/>
        <v>Safe</v>
      </c>
      <c r="M8" s="17" t="str">
        <f t="shared" si="1"/>
        <v>Story6</v>
      </c>
      <c r="N8" s="19">
        <v>3.2</v>
      </c>
      <c r="O8" s="18">
        <f t="shared" si="2"/>
        <v>3.048</v>
      </c>
      <c r="Q8" s="46"/>
      <c r="R8" s="15" t="str">
        <f t="shared" si="7"/>
        <v/>
      </c>
      <c r="S8" s="15" t="str">
        <f t="shared" si="8"/>
        <v/>
      </c>
      <c r="T8" s="15" t="str">
        <f t="shared" si="9"/>
        <v/>
      </c>
      <c r="U8" s="16" t="str">
        <f t="shared" si="3"/>
        <v/>
      </c>
    </row>
    <row r="9" spans="1:22">
      <c r="A9">
        <v>5</v>
      </c>
      <c r="B9" s="34" t="s">
        <v>46</v>
      </c>
      <c r="C9" s="37">
        <v>3000</v>
      </c>
      <c r="D9" s="36">
        <v>3.048</v>
      </c>
      <c r="F9" s="45">
        <v>33.374920000000003</v>
      </c>
      <c r="G9" s="15">
        <f t="shared" si="4"/>
        <v>183.56206000000003</v>
      </c>
      <c r="H9" s="15">
        <f t="shared" si="5"/>
        <v>39.44276050000002</v>
      </c>
      <c r="I9" s="15">
        <f t="shared" si="6"/>
        <v>60.96</v>
      </c>
      <c r="J9" s="16" t="str">
        <f t="shared" si="0"/>
        <v>Safe</v>
      </c>
      <c r="M9" s="17" t="str">
        <f t="shared" si="1"/>
        <v>Story5</v>
      </c>
      <c r="N9" s="19">
        <v>3.2</v>
      </c>
      <c r="O9" s="18">
        <f t="shared" si="2"/>
        <v>3.048</v>
      </c>
      <c r="Q9" s="45"/>
      <c r="R9" s="15" t="str">
        <f t="shared" si="7"/>
        <v/>
      </c>
      <c r="S9" s="15" t="str">
        <f t="shared" si="8"/>
        <v/>
      </c>
      <c r="T9" s="15" t="str">
        <f t="shared" si="9"/>
        <v/>
      </c>
      <c r="U9" s="16" t="str">
        <f t="shared" si="3"/>
        <v/>
      </c>
    </row>
    <row r="10" spans="1:22">
      <c r="A10">
        <v>6</v>
      </c>
      <c r="B10" s="34" t="s">
        <v>47</v>
      </c>
      <c r="C10" s="37">
        <v>3000</v>
      </c>
      <c r="D10" s="36">
        <v>3.048</v>
      </c>
      <c r="F10" s="46">
        <v>26.203509</v>
      </c>
      <c r="G10" s="15">
        <f t="shared" si="4"/>
        <v>144.11929950000001</v>
      </c>
      <c r="H10" s="15">
        <f t="shared" si="5"/>
        <v>40.199060000000017</v>
      </c>
      <c r="I10" s="15">
        <f t="shared" si="6"/>
        <v>60.96</v>
      </c>
      <c r="J10" s="16" t="str">
        <f t="shared" si="0"/>
        <v>Safe</v>
      </c>
      <c r="M10" s="17" t="str">
        <f t="shared" si="1"/>
        <v>Story4</v>
      </c>
      <c r="N10" s="19">
        <v>3.2</v>
      </c>
      <c r="O10" s="18">
        <f t="shared" si="2"/>
        <v>3.048</v>
      </c>
      <c r="Q10" s="46"/>
      <c r="R10" s="15" t="str">
        <f t="shared" si="7"/>
        <v/>
      </c>
      <c r="S10" s="15" t="str">
        <f t="shared" si="8"/>
        <v/>
      </c>
      <c r="T10" s="15" t="str">
        <f t="shared" si="9"/>
        <v/>
      </c>
      <c r="U10" s="16" t="str">
        <f t="shared" si="3"/>
        <v/>
      </c>
    </row>
    <row r="11" spans="1:22">
      <c r="A11">
        <v>7</v>
      </c>
      <c r="B11" s="34" t="s">
        <v>48</v>
      </c>
      <c r="C11" s="37">
        <v>3000</v>
      </c>
      <c r="D11" s="36">
        <v>3.048</v>
      </c>
      <c r="F11" s="45">
        <v>18.894589</v>
      </c>
      <c r="G11" s="15">
        <f t="shared" si="4"/>
        <v>103.92023949999999</v>
      </c>
      <c r="H11" s="15">
        <f t="shared" si="5"/>
        <v>38.804303999999988</v>
      </c>
      <c r="I11" s="15">
        <f t="shared" si="6"/>
        <v>60.96</v>
      </c>
      <c r="J11" s="16" t="str">
        <f t="shared" si="0"/>
        <v>Safe</v>
      </c>
      <c r="M11" s="17" t="str">
        <f t="shared" si="1"/>
        <v>Story3</v>
      </c>
      <c r="N11" s="19">
        <v>3.2</v>
      </c>
      <c r="O11" s="18">
        <f t="shared" si="2"/>
        <v>3.048</v>
      </c>
      <c r="Q11" s="45"/>
      <c r="R11" s="15" t="str">
        <f t="shared" si="7"/>
        <v/>
      </c>
      <c r="S11" s="15" t="str">
        <f t="shared" si="8"/>
        <v/>
      </c>
      <c r="T11" s="15" t="str">
        <f t="shared" si="9"/>
        <v/>
      </c>
      <c r="U11" s="16" t="str">
        <f t="shared" si="3"/>
        <v/>
      </c>
    </row>
    <row r="12" spans="1:22">
      <c r="A12">
        <v>8</v>
      </c>
      <c r="B12" s="34" t="s">
        <v>49</v>
      </c>
      <c r="C12" s="37">
        <v>3000</v>
      </c>
      <c r="D12" s="36">
        <v>3.048</v>
      </c>
      <c r="F12" s="46">
        <v>11.839261</v>
      </c>
      <c r="G12" s="15">
        <f t="shared" si="4"/>
        <v>65.115935500000006</v>
      </c>
      <c r="H12" s="15">
        <f t="shared" si="5"/>
        <v>34.498024000000001</v>
      </c>
      <c r="I12" s="15">
        <f t="shared" si="6"/>
        <v>60.96</v>
      </c>
      <c r="J12" s="16" t="str">
        <f t="shared" si="0"/>
        <v>Safe</v>
      </c>
      <c r="M12" s="17" t="str">
        <f t="shared" si="1"/>
        <v>Story2</v>
      </c>
      <c r="N12" s="19">
        <v>3.2</v>
      </c>
      <c r="O12" s="18">
        <f t="shared" si="2"/>
        <v>3.048</v>
      </c>
      <c r="Q12" s="46"/>
      <c r="R12" s="15" t="str">
        <f t="shared" si="7"/>
        <v/>
      </c>
      <c r="S12" s="15" t="str">
        <f t="shared" si="8"/>
        <v/>
      </c>
      <c r="T12" s="15" t="str">
        <f t="shared" si="9"/>
        <v/>
      </c>
      <c r="U12" s="16" t="str">
        <f t="shared" si="3"/>
        <v/>
      </c>
    </row>
    <row r="13" spans="1:22">
      <c r="A13">
        <v>9</v>
      </c>
      <c r="B13" s="34" t="s">
        <v>50</v>
      </c>
      <c r="C13" s="37">
        <v>3000</v>
      </c>
      <c r="D13" s="36">
        <v>3.3527999999999998</v>
      </c>
      <c r="F13" s="45">
        <v>5.5668930000000003</v>
      </c>
      <c r="G13" s="15">
        <f t="shared" si="4"/>
        <v>30.617911500000002</v>
      </c>
      <c r="H13" s="15">
        <f t="shared" si="5"/>
        <v>-7.9728494999999988</v>
      </c>
      <c r="I13" s="15">
        <f t="shared" si="6"/>
        <v>67.055999999999997</v>
      </c>
      <c r="J13" s="16" t="str">
        <f t="shared" si="0"/>
        <v>Safe</v>
      </c>
      <c r="M13" s="17" t="str">
        <f t="shared" si="1"/>
        <v>Story1</v>
      </c>
      <c r="N13" s="19">
        <v>3.2</v>
      </c>
      <c r="O13" s="18">
        <f t="shared" si="2"/>
        <v>3.3527999999999998</v>
      </c>
      <c r="Q13" s="45"/>
      <c r="R13" s="15" t="str">
        <f t="shared" si="7"/>
        <v/>
      </c>
      <c r="S13" s="15" t="str">
        <f t="shared" si="8"/>
        <v/>
      </c>
      <c r="T13" s="15" t="str">
        <f t="shared" si="9"/>
        <v/>
      </c>
      <c r="U13" s="16" t="str">
        <f t="shared" si="3"/>
        <v/>
      </c>
    </row>
    <row r="14" spans="1:22">
      <c r="A14">
        <v>10</v>
      </c>
      <c r="B14" s="34" t="s">
        <v>51</v>
      </c>
      <c r="C14" s="37">
        <v>3000</v>
      </c>
      <c r="D14" s="36">
        <v>1.524</v>
      </c>
      <c r="F14" s="46">
        <v>7.016502</v>
      </c>
      <c r="G14" s="15">
        <f t="shared" si="4"/>
        <v>38.590761000000001</v>
      </c>
      <c r="H14" s="15" t="e">
        <f t="shared" si="5"/>
        <v>#VALUE!</v>
      </c>
      <c r="I14" s="15">
        <f t="shared" si="6"/>
        <v>30.48</v>
      </c>
      <c r="J14" s="16" t="e">
        <f t="shared" si="0"/>
        <v>#VALUE!</v>
      </c>
      <c r="M14" s="17" t="str">
        <f t="shared" si="1"/>
        <v>GB</v>
      </c>
      <c r="N14" s="19">
        <v>3.2</v>
      </c>
      <c r="O14" s="18">
        <f t="shared" si="2"/>
        <v>1.524</v>
      </c>
      <c r="Q14" s="46"/>
      <c r="R14" s="15" t="str">
        <f t="shared" si="7"/>
        <v/>
      </c>
      <c r="S14" s="15" t="str">
        <f t="shared" si="8"/>
        <v/>
      </c>
      <c r="T14" s="15" t="str">
        <f t="shared" si="9"/>
        <v/>
      </c>
      <c r="U14" s="16" t="str">
        <f t="shared" si="3"/>
        <v/>
      </c>
    </row>
    <row r="15" spans="1:22">
      <c r="A15">
        <v>11</v>
      </c>
      <c r="B15" s="34"/>
      <c r="C15" s="37">
        <v>3000</v>
      </c>
      <c r="D15" s="36"/>
      <c r="F15" s="45"/>
      <c r="G15" s="15" t="str">
        <f t="shared" si="4"/>
        <v/>
      </c>
      <c r="H15" s="15" t="str">
        <f t="shared" si="5"/>
        <v/>
      </c>
      <c r="I15" s="15" t="str">
        <f t="shared" si="6"/>
        <v/>
      </c>
      <c r="J15" s="16" t="str">
        <f t="shared" si="0"/>
        <v/>
      </c>
      <c r="M15" s="17" t="str">
        <f t="shared" si="1"/>
        <v/>
      </c>
      <c r="N15" s="19">
        <v>3.2</v>
      </c>
      <c r="O15" s="18" t="str">
        <f t="shared" si="2"/>
        <v/>
      </c>
      <c r="Q15" s="45"/>
      <c r="R15" s="15" t="str">
        <f t="shared" si="7"/>
        <v/>
      </c>
      <c r="S15" s="15" t="str">
        <f t="shared" si="8"/>
        <v/>
      </c>
      <c r="T15" s="15" t="str">
        <f t="shared" si="9"/>
        <v/>
      </c>
      <c r="U15" s="16" t="str">
        <f t="shared" si="3"/>
        <v/>
      </c>
    </row>
    <row r="16" spans="1:22">
      <c r="A16">
        <v>12</v>
      </c>
      <c r="B16" s="34"/>
      <c r="C16" s="37"/>
      <c r="D16" s="36"/>
      <c r="F16" s="45"/>
      <c r="G16" s="15" t="str">
        <f t="shared" si="4"/>
        <v/>
      </c>
      <c r="H16" s="15" t="str">
        <f t="shared" si="5"/>
        <v/>
      </c>
      <c r="I16" s="15" t="str">
        <f t="shared" si="6"/>
        <v/>
      </c>
      <c r="J16" s="16" t="str">
        <f t="shared" si="0"/>
        <v/>
      </c>
      <c r="M16" s="17" t="str">
        <f t="shared" si="1"/>
        <v/>
      </c>
      <c r="N16" s="19">
        <v>3.2</v>
      </c>
      <c r="O16" s="18" t="str">
        <f t="shared" si="2"/>
        <v/>
      </c>
      <c r="Q16" s="45"/>
      <c r="R16" s="15" t="str">
        <f t="shared" si="7"/>
        <v/>
      </c>
      <c r="S16" s="15" t="str">
        <f t="shared" si="8"/>
        <v/>
      </c>
      <c r="T16" s="15" t="str">
        <f t="shared" si="9"/>
        <v/>
      </c>
      <c r="U16" s="16" t="str">
        <f t="shared" si="3"/>
        <v/>
      </c>
    </row>
    <row r="17" spans="1:21">
      <c r="A17">
        <v>13</v>
      </c>
      <c r="B17" s="34"/>
      <c r="C17" s="37"/>
      <c r="D17" s="36"/>
      <c r="F17" s="46"/>
      <c r="G17" s="15" t="str">
        <f t="shared" si="4"/>
        <v/>
      </c>
      <c r="H17" s="15" t="str">
        <f t="shared" si="5"/>
        <v/>
      </c>
      <c r="I17" s="15" t="str">
        <f t="shared" si="6"/>
        <v/>
      </c>
      <c r="J17" s="16" t="str">
        <f t="shared" si="0"/>
        <v/>
      </c>
      <c r="M17" s="17" t="str">
        <f t="shared" si="1"/>
        <v/>
      </c>
      <c r="N17" s="19">
        <v>3.2</v>
      </c>
      <c r="O17" s="18" t="str">
        <f t="shared" si="2"/>
        <v/>
      </c>
      <c r="Q17" s="46"/>
      <c r="R17" s="15" t="str">
        <f t="shared" si="7"/>
        <v/>
      </c>
      <c r="S17" s="15" t="str">
        <f t="shared" si="8"/>
        <v/>
      </c>
      <c r="T17" s="15" t="str">
        <f t="shared" si="9"/>
        <v/>
      </c>
      <c r="U17" s="16" t="str">
        <f t="shared" si="3"/>
        <v/>
      </c>
    </row>
    <row r="18" spans="1:21">
      <c r="A18">
        <v>14</v>
      </c>
      <c r="B18" s="34"/>
      <c r="C18" s="37"/>
      <c r="D18" s="36"/>
      <c r="F18" s="45"/>
      <c r="G18" s="15" t="str">
        <f t="shared" si="4"/>
        <v/>
      </c>
      <c r="H18" s="15" t="str">
        <f t="shared" si="5"/>
        <v/>
      </c>
      <c r="I18" s="15" t="str">
        <f t="shared" si="6"/>
        <v/>
      </c>
      <c r="J18" s="16" t="str">
        <f t="shared" si="0"/>
        <v/>
      </c>
      <c r="M18" s="17" t="str">
        <f t="shared" si="1"/>
        <v/>
      </c>
      <c r="N18" s="19">
        <v>3.2</v>
      </c>
      <c r="O18" s="18" t="str">
        <f t="shared" si="2"/>
        <v/>
      </c>
      <c r="Q18" s="45"/>
      <c r="R18" s="15" t="str">
        <f t="shared" si="7"/>
        <v/>
      </c>
      <c r="S18" s="15" t="str">
        <f t="shared" si="8"/>
        <v/>
      </c>
      <c r="T18" s="15" t="str">
        <f t="shared" si="9"/>
        <v/>
      </c>
      <c r="U18" s="16" t="str">
        <f t="shared" si="3"/>
        <v/>
      </c>
    </row>
    <row r="19" spans="1:21">
      <c r="A19">
        <v>15</v>
      </c>
      <c r="B19" s="34"/>
      <c r="C19" s="37"/>
      <c r="D19" s="36"/>
      <c r="F19" s="46"/>
      <c r="G19" s="15" t="str">
        <f t="shared" si="4"/>
        <v/>
      </c>
      <c r="H19" s="15" t="str">
        <f t="shared" si="5"/>
        <v/>
      </c>
      <c r="I19" s="15" t="str">
        <f t="shared" si="6"/>
        <v/>
      </c>
      <c r="J19" s="16" t="str">
        <f t="shared" si="0"/>
        <v/>
      </c>
      <c r="M19" s="17" t="str">
        <f t="shared" si="1"/>
        <v/>
      </c>
      <c r="N19" s="19">
        <v>3.2</v>
      </c>
      <c r="O19" s="18" t="str">
        <f t="shared" si="2"/>
        <v/>
      </c>
      <c r="Q19" s="46"/>
      <c r="R19" s="15" t="str">
        <f t="shared" si="7"/>
        <v/>
      </c>
      <c r="S19" s="15" t="str">
        <f t="shared" si="8"/>
        <v/>
      </c>
      <c r="T19" s="15" t="str">
        <f t="shared" si="9"/>
        <v/>
      </c>
      <c r="U19" s="16" t="str">
        <f t="shared" si="3"/>
        <v/>
      </c>
    </row>
    <row r="20" spans="1:21">
      <c r="A20">
        <v>16</v>
      </c>
      <c r="B20" s="34"/>
      <c r="C20" s="37"/>
      <c r="D20" s="36"/>
      <c r="F20" s="45"/>
      <c r="G20" s="15" t="str">
        <f t="shared" si="4"/>
        <v/>
      </c>
      <c r="H20" s="15" t="str">
        <f t="shared" si="5"/>
        <v/>
      </c>
      <c r="I20" s="15" t="str">
        <f t="shared" si="6"/>
        <v/>
      </c>
      <c r="J20" s="16" t="str">
        <f t="shared" si="0"/>
        <v/>
      </c>
      <c r="M20" s="17" t="str">
        <f t="shared" si="1"/>
        <v/>
      </c>
      <c r="N20" s="19">
        <v>3.2</v>
      </c>
      <c r="O20" s="18" t="str">
        <f t="shared" si="2"/>
        <v/>
      </c>
      <c r="Q20" s="45"/>
      <c r="R20" s="15" t="str">
        <f t="shared" si="7"/>
        <v/>
      </c>
      <c r="S20" s="15" t="str">
        <f t="shared" si="8"/>
        <v/>
      </c>
      <c r="T20" s="15" t="str">
        <f t="shared" si="9"/>
        <v/>
      </c>
      <c r="U20" s="16" t="str">
        <f t="shared" si="3"/>
        <v/>
      </c>
    </row>
    <row r="21" spans="1:21">
      <c r="A21">
        <v>17</v>
      </c>
      <c r="B21" s="34"/>
      <c r="C21" s="37"/>
      <c r="D21" s="36"/>
      <c r="F21" s="46"/>
      <c r="G21" s="15" t="str">
        <f t="shared" si="4"/>
        <v/>
      </c>
      <c r="H21" s="15" t="str">
        <f t="shared" si="5"/>
        <v/>
      </c>
      <c r="I21" s="15" t="str">
        <f t="shared" si="6"/>
        <v/>
      </c>
      <c r="J21" s="16" t="str">
        <f t="shared" si="0"/>
        <v/>
      </c>
      <c r="M21" s="17" t="str">
        <f t="shared" si="1"/>
        <v/>
      </c>
      <c r="N21" s="19">
        <v>3.2</v>
      </c>
      <c r="O21" s="18" t="str">
        <f t="shared" si="2"/>
        <v/>
      </c>
      <c r="Q21" s="46"/>
      <c r="R21" s="15" t="str">
        <f t="shared" si="7"/>
        <v/>
      </c>
      <c r="S21" s="15" t="str">
        <f t="shared" si="8"/>
        <v/>
      </c>
      <c r="T21" s="15" t="str">
        <f t="shared" si="9"/>
        <v/>
      </c>
      <c r="U21" s="16" t="str">
        <f t="shared" si="3"/>
        <v/>
      </c>
    </row>
    <row r="22" spans="1:21">
      <c r="A22">
        <v>18</v>
      </c>
      <c r="B22" s="34"/>
      <c r="C22" s="37"/>
      <c r="D22" s="36"/>
      <c r="F22" s="45"/>
      <c r="G22" s="15" t="str">
        <f t="shared" si="4"/>
        <v/>
      </c>
      <c r="H22" s="15" t="str">
        <f t="shared" si="5"/>
        <v/>
      </c>
      <c r="I22" s="15" t="str">
        <f t="shared" si="6"/>
        <v/>
      </c>
      <c r="J22" s="16" t="str">
        <f t="shared" si="0"/>
        <v/>
      </c>
      <c r="M22" s="17" t="str">
        <f t="shared" si="1"/>
        <v/>
      </c>
      <c r="N22" s="19">
        <v>3.2</v>
      </c>
      <c r="O22" s="18" t="str">
        <f t="shared" si="2"/>
        <v/>
      </c>
      <c r="Q22" s="45"/>
      <c r="R22" s="15" t="str">
        <f t="shared" si="7"/>
        <v/>
      </c>
      <c r="S22" s="15" t="str">
        <f t="shared" si="8"/>
        <v/>
      </c>
      <c r="T22" s="15" t="str">
        <f t="shared" si="9"/>
        <v/>
      </c>
      <c r="U22" s="16" t="str">
        <f t="shared" si="3"/>
        <v/>
      </c>
    </row>
    <row r="23" spans="1:21" ht="17.25" thickBot="1">
      <c r="A23">
        <v>19</v>
      </c>
      <c r="B23" s="34"/>
      <c r="C23" s="38"/>
      <c r="D23" s="36"/>
      <c r="F23" s="46"/>
      <c r="G23" s="15" t="str">
        <f t="shared" si="4"/>
        <v/>
      </c>
      <c r="H23" s="15" t="str">
        <f t="shared" si="5"/>
        <v/>
      </c>
      <c r="I23" s="15" t="str">
        <f t="shared" si="6"/>
        <v/>
      </c>
      <c r="J23" s="16" t="str">
        <f t="shared" si="0"/>
        <v/>
      </c>
      <c r="M23" s="17" t="str">
        <f t="shared" ref="M23:M34" si="10">IF(B23="","",B23)</f>
        <v/>
      </c>
      <c r="N23" s="19">
        <v>4.2</v>
      </c>
      <c r="O23" s="18" t="str">
        <f t="shared" ref="O23:O34" si="11">IF(D23="","",D23)</f>
        <v/>
      </c>
      <c r="Q23" s="46"/>
      <c r="R23" s="15" t="str">
        <f t="shared" si="7"/>
        <v/>
      </c>
      <c r="S23" s="15" t="str">
        <f t="shared" si="8"/>
        <v/>
      </c>
      <c r="T23" s="15" t="str">
        <f t="shared" si="9"/>
        <v/>
      </c>
      <c r="U23" s="16" t="str">
        <f t="shared" si="3"/>
        <v/>
      </c>
    </row>
    <row r="24" spans="1:21">
      <c r="A24">
        <v>20</v>
      </c>
      <c r="B24" s="34"/>
      <c r="C24" s="39"/>
      <c r="D24" s="36"/>
      <c r="F24" s="45"/>
      <c r="G24" s="15" t="str">
        <f t="shared" si="4"/>
        <v/>
      </c>
      <c r="H24" s="15" t="str">
        <f t="shared" si="5"/>
        <v/>
      </c>
      <c r="I24" s="15" t="str">
        <f t="shared" si="6"/>
        <v/>
      </c>
      <c r="J24" s="16" t="str">
        <f t="shared" si="0"/>
        <v/>
      </c>
      <c r="M24" s="17" t="str">
        <f t="shared" si="10"/>
        <v/>
      </c>
      <c r="N24" s="19">
        <v>5.2</v>
      </c>
      <c r="O24" s="18" t="str">
        <f t="shared" si="11"/>
        <v/>
      </c>
      <c r="Q24" s="45"/>
      <c r="R24" s="15" t="str">
        <f t="shared" si="7"/>
        <v/>
      </c>
      <c r="S24" s="15" t="str">
        <f t="shared" si="8"/>
        <v/>
      </c>
      <c r="T24" s="15" t="str">
        <f t="shared" si="9"/>
        <v/>
      </c>
      <c r="U24" s="16" t="str">
        <f t="shared" si="3"/>
        <v/>
      </c>
    </row>
    <row r="25" spans="1:21">
      <c r="A25">
        <v>21</v>
      </c>
      <c r="B25" s="34"/>
      <c r="C25" s="39"/>
      <c r="D25" s="36"/>
      <c r="F25" s="46"/>
      <c r="G25" s="15" t="str">
        <f t="shared" si="4"/>
        <v/>
      </c>
      <c r="H25" s="15" t="str">
        <f t="shared" si="5"/>
        <v/>
      </c>
      <c r="I25" s="15" t="str">
        <f t="shared" si="6"/>
        <v/>
      </c>
      <c r="J25" s="16" t="str">
        <f t="shared" si="0"/>
        <v/>
      </c>
      <c r="M25" s="17" t="str">
        <f t="shared" si="10"/>
        <v/>
      </c>
      <c r="N25" s="19">
        <v>6.2</v>
      </c>
      <c r="O25" s="18" t="str">
        <f t="shared" si="11"/>
        <v/>
      </c>
      <c r="Q25" s="46"/>
      <c r="R25" s="15" t="str">
        <f t="shared" si="7"/>
        <v/>
      </c>
      <c r="S25" s="15" t="str">
        <f t="shared" si="8"/>
        <v/>
      </c>
      <c r="T25" s="15" t="str">
        <f t="shared" si="9"/>
        <v/>
      </c>
      <c r="U25" s="16" t="str">
        <f t="shared" si="3"/>
        <v/>
      </c>
    </row>
    <row r="26" spans="1:21">
      <c r="A26">
        <v>22</v>
      </c>
      <c r="B26" s="34"/>
      <c r="C26" s="39"/>
      <c r="D26" s="36"/>
      <c r="F26" s="45"/>
      <c r="G26" s="15" t="str">
        <f t="shared" si="4"/>
        <v/>
      </c>
      <c r="H26" s="15" t="str">
        <f t="shared" si="5"/>
        <v/>
      </c>
      <c r="I26" s="15" t="str">
        <f t="shared" si="6"/>
        <v/>
      </c>
      <c r="J26" s="16" t="str">
        <f t="shared" si="0"/>
        <v/>
      </c>
      <c r="M26" s="17" t="str">
        <f t="shared" si="10"/>
        <v/>
      </c>
      <c r="N26" s="19">
        <v>7.2</v>
      </c>
      <c r="O26" s="18" t="str">
        <f t="shared" si="11"/>
        <v/>
      </c>
      <c r="Q26" s="45"/>
      <c r="R26" s="15" t="str">
        <f t="shared" si="7"/>
        <v/>
      </c>
      <c r="S26" s="15" t="str">
        <f t="shared" si="8"/>
        <v/>
      </c>
      <c r="T26" s="15" t="str">
        <f t="shared" si="9"/>
        <v/>
      </c>
      <c r="U26" s="16" t="str">
        <f t="shared" si="3"/>
        <v/>
      </c>
    </row>
    <row r="27" spans="1:21">
      <c r="A27">
        <v>23</v>
      </c>
      <c r="B27" s="34"/>
      <c r="C27" s="39"/>
      <c r="D27" s="36"/>
      <c r="F27" s="45"/>
      <c r="G27" s="15" t="str">
        <f t="shared" si="4"/>
        <v/>
      </c>
      <c r="H27" s="15" t="str">
        <f t="shared" si="5"/>
        <v/>
      </c>
      <c r="I27" s="15" t="str">
        <f t="shared" si="6"/>
        <v/>
      </c>
      <c r="J27" s="16" t="str">
        <f t="shared" si="0"/>
        <v/>
      </c>
      <c r="M27" s="17" t="str">
        <f t="shared" si="10"/>
        <v/>
      </c>
      <c r="N27" s="19">
        <v>8.1999999999999993</v>
      </c>
      <c r="O27" s="18" t="str">
        <f t="shared" si="11"/>
        <v/>
      </c>
      <c r="Q27" s="45"/>
      <c r="R27" s="15" t="str">
        <f t="shared" si="7"/>
        <v/>
      </c>
      <c r="S27" s="15" t="str">
        <f t="shared" si="8"/>
        <v/>
      </c>
      <c r="T27" s="15" t="str">
        <f t="shared" si="9"/>
        <v/>
      </c>
      <c r="U27" s="16" t="str">
        <f t="shared" si="3"/>
        <v/>
      </c>
    </row>
    <row r="28" spans="1:21">
      <c r="A28">
        <v>24</v>
      </c>
      <c r="B28" s="34"/>
      <c r="C28" s="39"/>
      <c r="D28" s="36"/>
      <c r="F28" s="46"/>
      <c r="G28" s="15" t="str">
        <f t="shared" si="4"/>
        <v/>
      </c>
      <c r="H28" s="15" t="str">
        <f t="shared" si="5"/>
        <v/>
      </c>
      <c r="I28" s="15" t="str">
        <f t="shared" si="6"/>
        <v/>
      </c>
      <c r="J28" s="16" t="str">
        <f t="shared" si="0"/>
        <v/>
      </c>
      <c r="M28" s="17" t="str">
        <f t="shared" si="10"/>
        <v/>
      </c>
      <c r="N28" s="19">
        <v>9.1999999999999993</v>
      </c>
      <c r="O28" s="18" t="str">
        <f t="shared" si="11"/>
        <v/>
      </c>
      <c r="Q28" s="46"/>
      <c r="R28" s="15" t="str">
        <f t="shared" si="7"/>
        <v/>
      </c>
      <c r="S28" s="15" t="str">
        <f t="shared" si="8"/>
        <v/>
      </c>
      <c r="T28" s="15" t="str">
        <f t="shared" si="9"/>
        <v/>
      </c>
      <c r="U28" s="16" t="str">
        <f t="shared" si="3"/>
        <v/>
      </c>
    </row>
    <row r="29" spans="1:21">
      <c r="A29">
        <v>25</v>
      </c>
      <c r="B29" s="34"/>
      <c r="C29" s="39"/>
      <c r="D29" s="36"/>
      <c r="F29" s="45"/>
      <c r="G29" s="15" t="str">
        <f t="shared" si="4"/>
        <v/>
      </c>
      <c r="H29" s="15" t="str">
        <f t="shared" si="5"/>
        <v/>
      </c>
      <c r="I29" s="15" t="str">
        <f t="shared" si="6"/>
        <v/>
      </c>
      <c r="J29" s="16" t="str">
        <f t="shared" si="0"/>
        <v/>
      </c>
      <c r="M29" s="17" t="str">
        <f t="shared" si="10"/>
        <v/>
      </c>
      <c r="N29" s="19">
        <v>10.199999999999999</v>
      </c>
      <c r="O29" s="18" t="str">
        <f t="shared" si="11"/>
        <v/>
      </c>
      <c r="Q29" s="45"/>
      <c r="R29" s="15" t="str">
        <f t="shared" si="7"/>
        <v/>
      </c>
      <c r="S29" s="15" t="str">
        <f t="shared" si="8"/>
        <v/>
      </c>
      <c r="T29" s="15" t="str">
        <f t="shared" si="9"/>
        <v/>
      </c>
      <c r="U29" s="16" t="str">
        <f t="shared" si="3"/>
        <v/>
      </c>
    </row>
    <row r="30" spans="1:21">
      <c r="A30">
        <v>26</v>
      </c>
      <c r="B30" s="34"/>
      <c r="C30" s="39"/>
      <c r="D30" s="36"/>
      <c r="F30" s="46"/>
      <c r="G30" s="15" t="str">
        <f t="shared" si="4"/>
        <v/>
      </c>
      <c r="H30" s="15" t="str">
        <f t="shared" si="5"/>
        <v/>
      </c>
      <c r="I30" s="15" t="str">
        <f t="shared" si="6"/>
        <v/>
      </c>
      <c r="J30" s="16" t="str">
        <f t="shared" si="0"/>
        <v/>
      </c>
      <c r="M30" s="17" t="str">
        <f t="shared" si="10"/>
        <v/>
      </c>
      <c r="N30" s="19">
        <v>11.2</v>
      </c>
      <c r="O30" s="18" t="str">
        <f t="shared" si="11"/>
        <v/>
      </c>
      <c r="Q30" s="46"/>
      <c r="R30" s="15" t="str">
        <f t="shared" si="7"/>
        <v/>
      </c>
      <c r="S30" s="15" t="str">
        <f t="shared" si="8"/>
        <v/>
      </c>
      <c r="T30" s="15" t="str">
        <f t="shared" si="9"/>
        <v/>
      </c>
      <c r="U30" s="16" t="str">
        <f t="shared" si="3"/>
        <v/>
      </c>
    </row>
    <row r="31" spans="1:21">
      <c r="A31">
        <v>27</v>
      </c>
      <c r="B31" s="34"/>
      <c r="C31" s="39"/>
      <c r="D31" s="36"/>
      <c r="F31" s="45"/>
      <c r="G31" s="15" t="str">
        <f t="shared" si="4"/>
        <v/>
      </c>
      <c r="H31" s="15" t="str">
        <f t="shared" si="5"/>
        <v/>
      </c>
      <c r="I31" s="15" t="str">
        <f t="shared" si="6"/>
        <v/>
      </c>
      <c r="J31" s="16" t="str">
        <f t="shared" si="0"/>
        <v/>
      </c>
      <c r="M31" s="17" t="str">
        <f t="shared" si="10"/>
        <v/>
      </c>
      <c r="N31" s="19">
        <v>12.2</v>
      </c>
      <c r="O31" s="18" t="str">
        <f t="shared" si="11"/>
        <v/>
      </c>
      <c r="Q31" s="45"/>
      <c r="R31" s="15" t="str">
        <f t="shared" si="7"/>
        <v/>
      </c>
      <c r="S31" s="15" t="str">
        <f t="shared" si="8"/>
        <v/>
      </c>
      <c r="T31" s="15" t="str">
        <f t="shared" si="9"/>
        <v/>
      </c>
      <c r="U31" s="16" t="str">
        <f t="shared" si="3"/>
        <v/>
      </c>
    </row>
    <row r="32" spans="1:21">
      <c r="A32">
        <v>28</v>
      </c>
      <c r="B32" s="34"/>
      <c r="C32" s="39"/>
      <c r="D32" s="36"/>
      <c r="F32" s="46"/>
      <c r="G32" s="15" t="str">
        <f t="shared" si="4"/>
        <v/>
      </c>
      <c r="H32" s="15" t="str">
        <f t="shared" si="5"/>
        <v/>
      </c>
      <c r="I32" s="15" t="str">
        <f t="shared" si="6"/>
        <v/>
      </c>
      <c r="J32" s="16" t="str">
        <f t="shared" si="0"/>
        <v/>
      </c>
      <c r="M32" s="17" t="str">
        <f t="shared" si="10"/>
        <v/>
      </c>
      <c r="N32" s="19">
        <v>13.2</v>
      </c>
      <c r="O32" s="18" t="str">
        <f t="shared" si="11"/>
        <v/>
      </c>
      <c r="Q32" s="46"/>
      <c r="R32" s="15" t="str">
        <f t="shared" si="7"/>
        <v/>
      </c>
      <c r="S32" s="15" t="str">
        <f t="shared" si="8"/>
        <v/>
      </c>
      <c r="T32" s="15" t="str">
        <f t="shared" si="9"/>
        <v/>
      </c>
      <c r="U32" s="16" t="str">
        <f t="shared" si="3"/>
        <v/>
      </c>
    </row>
    <row r="33" spans="1:21">
      <c r="A33">
        <v>29</v>
      </c>
      <c r="B33" s="34"/>
      <c r="C33" s="39"/>
      <c r="D33" s="36"/>
      <c r="F33" s="45"/>
      <c r="G33" s="15" t="str">
        <f t="shared" si="4"/>
        <v/>
      </c>
      <c r="H33" s="15" t="str">
        <f t="shared" si="5"/>
        <v/>
      </c>
      <c r="I33" s="15" t="str">
        <f t="shared" si="6"/>
        <v/>
      </c>
      <c r="J33" s="16" t="str">
        <f t="shared" si="0"/>
        <v/>
      </c>
      <c r="M33" s="17" t="str">
        <f t="shared" si="10"/>
        <v/>
      </c>
      <c r="N33" s="19">
        <v>14.2</v>
      </c>
      <c r="O33" s="18" t="str">
        <f t="shared" si="11"/>
        <v/>
      </c>
      <c r="Q33" s="45"/>
      <c r="R33" s="15" t="str">
        <f t="shared" si="7"/>
        <v/>
      </c>
      <c r="S33" s="15" t="str">
        <f t="shared" si="8"/>
        <v/>
      </c>
      <c r="T33" s="15" t="str">
        <f t="shared" si="9"/>
        <v/>
      </c>
      <c r="U33" s="16" t="str">
        <f t="shared" si="3"/>
        <v/>
      </c>
    </row>
    <row r="34" spans="1:21">
      <c r="A34">
        <v>30</v>
      </c>
      <c r="B34" s="34"/>
      <c r="C34" s="39"/>
      <c r="D34" s="36"/>
      <c r="F34" s="46"/>
      <c r="G34" s="15" t="str">
        <f t="shared" si="4"/>
        <v/>
      </c>
      <c r="H34" s="15" t="str">
        <f t="shared" si="5"/>
        <v/>
      </c>
      <c r="I34" s="15" t="str">
        <f t="shared" si="6"/>
        <v/>
      </c>
      <c r="J34" s="16" t="str">
        <f t="shared" si="0"/>
        <v/>
      </c>
      <c r="M34" s="17" t="str">
        <f t="shared" si="10"/>
        <v/>
      </c>
      <c r="N34" s="19">
        <v>15.2</v>
      </c>
      <c r="O34" s="18" t="str">
        <f t="shared" si="11"/>
        <v/>
      </c>
      <c r="Q34" s="46"/>
      <c r="R34" s="15" t="str">
        <f t="shared" si="7"/>
        <v/>
      </c>
      <c r="S34" s="15" t="str">
        <f t="shared" si="8"/>
        <v/>
      </c>
      <c r="T34" s="15" t="str">
        <f t="shared" si="9"/>
        <v/>
      </c>
      <c r="U34" s="16" t="str">
        <f t="shared" si="3"/>
        <v/>
      </c>
    </row>
    <row r="47" spans="1:21">
      <c r="I47"/>
    </row>
    <row r="56" spans="6:10" ht="17.25" thickBot="1"/>
    <row r="57" spans="6:10" ht="16.5" customHeight="1">
      <c r="F57" s="53" t="s">
        <v>17</v>
      </c>
      <c r="G57" s="54"/>
      <c r="H57" s="54"/>
      <c r="I57" s="54"/>
      <c r="J57" s="55"/>
    </row>
    <row r="58" spans="6:10">
      <c r="F58" s="56"/>
      <c r="G58" s="57"/>
      <c r="H58" s="57"/>
      <c r="I58" s="57"/>
      <c r="J58" s="58"/>
    </row>
    <row r="59" spans="6:10">
      <c r="F59" s="56"/>
      <c r="G59" s="57"/>
      <c r="H59" s="57"/>
      <c r="I59" s="57"/>
      <c r="J59" s="58"/>
    </row>
    <row r="60" spans="6:10">
      <c r="F60" s="56"/>
      <c r="G60" s="57"/>
      <c r="H60" s="57"/>
      <c r="I60" s="57"/>
      <c r="J60" s="58"/>
    </row>
    <row r="61" spans="6:10">
      <c r="F61" s="56"/>
      <c r="G61" s="57"/>
      <c r="H61" s="57"/>
      <c r="I61" s="57"/>
      <c r="J61" s="58"/>
    </row>
    <row r="62" spans="6:10">
      <c r="F62" s="56"/>
      <c r="G62" s="57"/>
      <c r="H62" s="57"/>
      <c r="I62" s="57"/>
      <c r="J62" s="58"/>
    </row>
    <row r="63" spans="6:10">
      <c r="F63" s="56"/>
      <c r="G63" s="57"/>
      <c r="H63" s="57"/>
      <c r="I63" s="57"/>
      <c r="J63" s="58"/>
    </row>
    <row r="64" spans="6:10">
      <c r="F64" s="56"/>
      <c r="G64" s="57"/>
      <c r="H64" s="57"/>
      <c r="I64" s="57"/>
      <c r="J64" s="58"/>
    </row>
    <row r="65" spans="6:10">
      <c r="F65" s="56"/>
      <c r="G65" s="57"/>
      <c r="H65" s="57"/>
      <c r="I65" s="57"/>
      <c r="J65" s="58"/>
    </row>
    <row r="66" spans="6:10" ht="17.25" thickBot="1">
      <c r="F66" s="59"/>
      <c r="G66" s="60"/>
      <c r="H66" s="60"/>
      <c r="I66" s="60"/>
      <c r="J66" s="61"/>
    </row>
    <row r="73" spans="6:10">
      <c r="J73"/>
    </row>
  </sheetData>
  <mergeCells count="13">
    <mergeCell ref="F57:J66"/>
    <mergeCell ref="O3:O4"/>
    <mergeCell ref="U3:U4"/>
    <mergeCell ref="B1:D1"/>
    <mergeCell ref="F1:J1"/>
    <mergeCell ref="M1:O1"/>
    <mergeCell ref="Q1:U1"/>
    <mergeCell ref="B3:B4"/>
    <mergeCell ref="C3:C4"/>
    <mergeCell ref="D3:D4"/>
    <mergeCell ref="J3:J4"/>
    <mergeCell ref="M3:M4"/>
    <mergeCell ref="N3:N4"/>
  </mergeCells>
  <conditionalFormatting sqref="I5:J34">
    <cfRule type="containsText" dxfId="7" priority="4" operator="containsText" text="Unsafe">
      <formula>NOT(ISERROR(SEARCH("Unsafe",I5)))</formula>
    </cfRule>
  </conditionalFormatting>
  <conditionalFormatting sqref="T5:U34">
    <cfRule type="containsText" dxfId="6" priority="1" operator="containsText" text="Unsafe">
      <formula>NOT(ISERROR(SEARCH("Unsafe",T5)))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"/>
  <sheetViews>
    <sheetView workbookViewId="0">
      <selection activeCell="F3" sqref="F3"/>
    </sheetView>
  </sheetViews>
  <sheetFormatPr defaultRowHeight="16.5"/>
  <cols>
    <col min="1" max="1" width="15.7109375" style="20" customWidth="1"/>
    <col min="2" max="2" width="9" style="1" hidden="1" customWidth="1"/>
    <col min="3" max="3" width="7.85546875" style="1" customWidth="1"/>
    <col min="4" max="4" width="1.85546875" style="1" customWidth="1"/>
    <col min="5" max="5" width="20.28515625" style="1" bestFit="1" customWidth="1"/>
    <col min="6" max="6" width="16.5703125" style="1" customWidth="1"/>
    <col min="7" max="7" width="13.5703125" style="1" customWidth="1"/>
    <col min="8" max="8" width="12.140625" style="20" bestFit="1" customWidth="1"/>
    <col min="9" max="9" width="10.7109375" style="20" customWidth="1"/>
    <col min="10" max="10" width="10.5703125" customWidth="1"/>
    <col min="12" max="12" width="15.7109375" style="20" customWidth="1"/>
    <col min="13" max="13" width="9" style="1" hidden="1" customWidth="1"/>
    <col min="14" max="14" width="7.85546875" style="1" customWidth="1"/>
    <col min="15" max="15" width="1.85546875" style="1" customWidth="1"/>
    <col min="16" max="16" width="20.28515625" style="1" bestFit="1" customWidth="1"/>
    <col min="17" max="17" width="16.140625" style="1" customWidth="1"/>
    <col min="18" max="18" width="13.5703125" style="1" customWidth="1"/>
    <col min="19" max="19" width="12.140625" style="20" bestFit="1" customWidth="1"/>
    <col min="20" max="20" width="10.7109375" style="20" customWidth="1"/>
    <col min="21" max="21" width="11" customWidth="1"/>
  </cols>
  <sheetData>
    <row r="1" spans="1:21" ht="47.25" thickBot="1">
      <c r="A1" s="66"/>
      <c r="B1" s="66"/>
      <c r="C1" s="66"/>
      <c r="E1" s="66" t="s">
        <v>13</v>
      </c>
      <c r="F1" s="66"/>
      <c r="G1" s="66"/>
      <c r="H1" s="66"/>
      <c r="I1" s="66"/>
      <c r="L1" s="66"/>
      <c r="M1" s="66"/>
      <c r="N1" s="66"/>
      <c r="P1" s="66" t="s">
        <v>14</v>
      </c>
      <c r="Q1" s="66"/>
      <c r="R1" s="66"/>
      <c r="S1" s="66"/>
      <c r="T1" s="66"/>
    </row>
    <row r="2" spans="1:21" ht="32.25" customHeight="1" thickBot="1">
      <c r="A2" s="2"/>
      <c r="B2" s="2"/>
      <c r="C2" s="2"/>
      <c r="D2" s="3"/>
      <c r="E2" s="4" t="s">
        <v>18</v>
      </c>
      <c r="F2" s="40">
        <v>5.5</v>
      </c>
      <c r="G2" s="4" t="s">
        <v>19</v>
      </c>
      <c r="H2" s="41">
        <v>1.25</v>
      </c>
      <c r="I2" s="25" t="s">
        <v>21</v>
      </c>
      <c r="J2" s="42">
        <v>1.4999999999999999E-2</v>
      </c>
      <c r="L2" s="2"/>
      <c r="M2" s="2"/>
      <c r="N2" s="2"/>
      <c r="O2" s="3"/>
      <c r="P2" s="4" t="s">
        <v>18</v>
      </c>
      <c r="Q2" s="5">
        <f>F2</f>
        <v>5.5</v>
      </c>
      <c r="R2" s="4" t="s">
        <v>19</v>
      </c>
      <c r="S2" s="6">
        <f>H2</f>
        <v>1.25</v>
      </c>
      <c r="T2" s="25" t="s">
        <v>21</v>
      </c>
      <c r="U2" s="26">
        <f>J2</f>
        <v>1.4999999999999999E-2</v>
      </c>
    </row>
    <row r="3" spans="1:21" ht="34.5" customHeight="1">
      <c r="A3" s="67" t="s">
        <v>2</v>
      </c>
      <c r="B3" s="69" t="s">
        <v>3</v>
      </c>
      <c r="C3" s="62" t="s">
        <v>4</v>
      </c>
      <c r="E3" s="28" t="s">
        <v>22</v>
      </c>
      <c r="F3" s="29" t="s">
        <v>20</v>
      </c>
      <c r="G3" s="30" t="s">
        <v>5</v>
      </c>
      <c r="H3" s="9" t="s">
        <v>6</v>
      </c>
      <c r="I3" s="64" t="s">
        <v>7</v>
      </c>
      <c r="L3" s="67" t="s">
        <v>2</v>
      </c>
      <c r="M3" s="69" t="s">
        <v>3</v>
      </c>
      <c r="N3" s="62" t="s">
        <v>8</v>
      </c>
      <c r="P3" s="28" t="s">
        <v>22</v>
      </c>
      <c r="Q3" s="28" t="s">
        <v>20</v>
      </c>
      <c r="R3" s="7" t="s">
        <v>5</v>
      </c>
      <c r="S3" s="27" t="s">
        <v>6</v>
      </c>
      <c r="T3" s="64" t="s">
        <v>7</v>
      </c>
    </row>
    <row r="4" spans="1:21" ht="17.25" customHeight="1" thickBot="1">
      <c r="A4" s="68"/>
      <c r="B4" s="70"/>
      <c r="C4" s="63"/>
      <c r="E4" s="10" t="s">
        <v>9</v>
      </c>
      <c r="F4" s="11" t="s">
        <v>11</v>
      </c>
      <c r="G4" s="11" t="s">
        <v>10</v>
      </c>
      <c r="H4" s="12" t="s">
        <v>12</v>
      </c>
      <c r="I4" s="65"/>
      <c r="L4" s="68"/>
      <c r="M4" s="70"/>
      <c r="N4" s="63"/>
      <c r="P4" s="10" t="s">
        <v>9</v>
      </c>
      <c r="Q4" s="11" t="s">
        <v>11</v>
      </c>
      <c r="R4" s="11" t="s">
        <v>10</v>
      </c>
      <c r="S4" s="12" t="s">
        <v>12</v>
      </c>
      <c r="T4" s="65"/>
    </row>
    <row r="5" spans="1:21">
      <c r="A5" s="13" t="str">
        <f>'Story Drift X'!B5</f>
        <v>Story9.TR</v>
      </c>
      <c r="B5" s="13">
        <f>'Story Drift X'!C5</f>
        <v>3000</v>
      </c>
      <c r="C5" s="13">
        <f>'Story Drift X'!D5</f>
        <v>3.048</v>
      </c>
      <c r="E5" s="45"/>
      <c r="F5" s="15" t="str">
        <f>IF(E5="","",(E5*$F$2/$H$2))</f>
        <v/>
      </c>
      <c r="G5" s="15" t="str">
        <f>IF(E5="","",F5-F6)</f>
        <v/>
      </c>
      <c r="H5" s="15" t="str">
        <f>IF(E5="","",$J$2*C5*1000)</f>
        <v/>
      </c>
      <c r="I5" s="16" t="str">
        <f t="shared" ref="I5:I34" si="0">IF(E5="","",IF(G5&lt;=H5,"Safe","Unsafe"))</f>
        <v/>
      </c>
      <c r="L5" s="17" t="str">
        <f t="shared" ref="L5:L22" si="1">IF(A5="","",A5)</f>
        <v>Story9.TR</v>
      </c>
      <c r="M5" s="14">
        <v>3.2</v>
      </c>
      <c r="N5" s="18">
        <f t="shared" ref="N5:N22" si="2">IF(C5="","",C5)</f>
        <v>3.048</v>
      </c>
      <c r="P5" s="45"/>
      <c r="Q5" s="15" t="str">
        <f>IF(P5="","",(P5*$F$2/$H$2))</f>
        <v/>
      </c>
      <c r="R5" s="15" t="str">
        <f>IF(P5="","",Q5-Q6)</f>
        <v/>
      </c>
      <c r="S5" s="15" t="str">
        <f>IF(P5="","",$J$2*N5*1000)</f>
        <v/>
      </c>
      <c r="T5" s="16" t="str">
        <f t="shared" ref="T5:T34" si="3">IF(P5="","",IF(R5&lt;=S5,"Safe","Unsafe"))</f>
        <v/>
      </c>
    </row>
    <row r="6" spans="1:21">
      <c r="A6" s="13" t="str">
        <f>'Story Drift X'!B6</f>
        <v>Story8.Roof</v>
      </c>
      <c r="B6" s="13">
        <f>'Story Drift X'!C6</f>
        <v>3000</v>
      </c>
      <c r="C6" s="13">
        <f>'Story Drift X'!D6</f>
        <v>3.048</v>
      </c>
      <c r="E6" s="46"/>
      <c r="F6" s="15" t="str">
        <f t="shared" ref="F6:F34" si="4">IF(E6="","",(E6*$F$2/$H$2))</f>
        <v/>
      </c>
      <c r="G6" s="15" t="str">
        <f t="shared" ref="G6:G34" si="5">IF(E6="","",F6-F7)</f>
        <v/>
      </c>
      <c r="H6" s="15" t="str">
        <f t="shared" ref="H6:H34" si="6">IF(E6="","",$J$2*C6*1000)</f>
        <v/>
      </c>
      <c r="I6" s="16" t="str">
        <f t="shared" si="0"/>
        <v/>
      </c>
      <c r="L6" s="17" t="str">
        <f t="shared" si="1"/>
        <v>Story8.Roof</v>
      </c>
      <c r="M6" s="19">
        <v>3.2</v>
      </c>
      <c r="N6" s="18">
        <f t="shared" si="2"/>
        <v>3.048</v>
      </c>
      <c r="P6" s="46"/>
      <c r="Q6" s="15" t="str">
        <f t="shared" ref="Q6:Q34" si="7">IF(P6="","",(P6*$F$2/$H$2))</f>
        <v/>
      </c>
      <c r="R6" s="15" t="str">
        <f t="shared" ref="R6:R34" si="8">IF(P6="","",Q6-Q7)</f>
        <v/>
      </c>
      <c r="S6" s="15" t="str">
        <f t="shared" ref="S6:S34" si="9">IF(P6="","",$J$2*N6*1000)</f>
        <v/>
      </c>
      <c r="T6" s="16" t="str">
        <f t="shared" si="3"/>
        <v/>
      </c>
    </row>
    <row r="7" spans="1:21">
      <c r="A7" s="13" t="str">
        <f>'Story Drift X'!B7</f>
        <v>Story7</v>
      </c>
      <c r="B7" s="13">
        <f>'Story Drift X'!C7</f>
        <v>3000</v>
      </c>
      <c r="C7" s="13">
        <f>'Story Drift X'!D7</f>
        <v>3.048</v>
      </c>
      <c r="E7" s="45"/>
      <c r="F7" s="15" t="str">
        <f t="shared" si="4"/>
        <v/>
      </c>
      <c r="G7" s="15" t="str">
        <f t="shared" si="5"/>
        <v/>
      </c>
      <c r="H7" s="15" t="str">
        <f t="shared" si="6"/>
        <v/>
      </c>
      <c r="I7" s="16" t="str">
        <f t="shared" si="0"/>
        <v/>
      </c>
      <c r="L7" s="17" t="str">
        <f t="shared" si="1"/>
        <v>Story7</v>
      </c>
      <c r="M7" s="19">
        <v>3.2</v>
      </c>
      <c r="N7" s="18">
        <f t="shared" si="2"/>
        <v>3.048</v>
      </c>
      <c r="P7" s="45"/>
      <c r="Q7" s="15" t="str">
        <f t="shared" si="7"/>
        <v/>
      </c>
      <c r="R7" s="15" t="str">
        <f t="shared" si="8"/>
        <v/>
      </c>
      <c r="S7" s="15" t="str">
        <f t="shared" si="9"/>
        <v/>
      </c>
      <c r="T7" s="16" t="str">
        <f t="shared" si="3"/>
        <v/>
      </c>
    </row>
    <row r="8" spans="1:21">
      <c r="A8" s="13" t="str">
        <f>'Story Drift X'!B8</f>
        <v>Story6</v>
      </c>
      <c r="B8" s="13">
        <f>'Story Drift X'!C8</f>
        <v>3000</v>
      </c>
      <c r="C8" s="13">
        <f>'Story Drift X'!D8</f>
        <v>3.048</v>
      </c>
      <c r="E8" s="46"/>
      <c r="F8" s="15" t="str">
        <f t="shared" si="4"/>
        <v/>
      </c>
      <c r="G8" s="15" t="str">
        <f t="shared" si="5"/>
        <v/>
      </c>
      <c r="H8" s="15" t="str">
        <f t="shared" si="6"/>
        <v/>
      </c>
      <c r="I8" s="16" t="str">
        <f t="shared" si="0"/>
        <v/>
      </c>
      <c r="L8" s="17" t="str">
        <f t="shared" si="1"/>
        <v>Story6</v>
      </c>
      <c r="M8" s="19">
        <v>3.2</v>
      </c>
      <c r="N8" s="18">
        <f t="shared" si="2"/>
        <v>3.048</v>
      </c>
      <c r="P8" s="46"/>
      <c r="Q8" s="15" t="str">
        <f t="shared" si="7"/>
        <v/>
      </c>
      <c r="R8" s="15" t="str">
        <f t="shared" si="8"/>
        <v/>
      </c>
      <c r="S8" s="15" t="str">
        <f t="shared" si="9"/>
        <v/>
      </c>
      <c r="T8" s="16" t="str">
        <f t="shared" si="3"/>
        <v/>
      </c>
    </row>
    <row r="9" spans="1:21">
      <c r="A9" s="13" t="str">
        <f>'Story Drift X'!B9</f>
        <v>Story5</v>
      </c>
      <c r="B9" s="13">
        <f>'Story Drift X'!C9</f>
        <v>3000</v>
      </c>
      <c r="C9" s="13">
        <f>'Story Drift X'!D9</f>
        <v>3.048</v>
      </c>
      <c r="E9" s="45"/>
      <c r="F9" s="15" t="str">
        <f t="shared" si="4"/>
        <v/>
      </c>
      <c r="G9" s="15" t="str">
        <f t="shared" si="5"/>
        <v/>
      </c>
      <c r="H9" s="15" t="str">
        <f t="shared" si="6"/>
        <v/>
      </c>
      <c r="I9" s="16" t="str">
        <f t="shared" si="0"/>
        <v/>
      </c>
      <c r="L9" s="17" t="str">
        <f t="shared" si="1"/>
        <v>Story5</v>
      </c>
      <c r="M9" s="19">
        <v>3.2</v>
      </c>
      <c r="N9" s="18">
        <f t="shared" si="2"/>
        <v>3.048</v>
      </c>
      <c r="P9" s="45"/>
      <c r="Q9" s="15" t="str">
        <f t="shared" si="7"/>
        <v/>
      </c>
      <c r="R9" s="15" t="str">
        <f t="shared" si="8"/>
        <v/>
      </c>
      <c r="S9" s="15" t="str">
        <f t="shared" si="9"/>
        <v/>
      </c>
      <c r="T9" s="16" t="str">
        <f t="shared" si="3"/>
        <v/>
      </c>
    </row>
    <row r="10" spans="1:21">
      <c r="A10" s="13" t="str">
        <f>'Story Drift X'!B10</f>
        <v>Story4</v>
      </c>
      <c r="B10" s="13">
        <f>'Story Drift X'!C10</f>
        <v>3000</v>
      </c>
      <c r="C10" s="13">
        <f>'Story Drift X'!D10</f>
        <v>3.048</v>
      </c>
      <c r="E10" s="46"/>
      <c r="F10" s="15" t="str">
        <f t="shared" si="4"/>
        <v/>
      </c>
      <c r="G10" s="15" t="str">
        <f t="shared" si="5"/>
        <v/>
      </c>
      <c r="H10" s="15" t="str">
        <f t="shared" si="6"/>
        <v/>
      </c>
      <c r="I10" s="16" t="str">
        <f t="shared" si="0"/>
        <v/>
      </c>
      <c r="L10" s="17" t="str">
        <f t="shared" si="1"/>
        <v>Story4</v>
      </c>
      <c r="M10" s="19">
        <v>3.2</v>
      </c>
      <c r="N10" s="18">
        <f t="shared" si="2"/>
        <v>3.048</v>
      </c>
      <c r="P10" s="46"/>
      <c r="Q10" s="15" t="str">
        <f t="shared" si="7"/>
        <v/>
      </c>
      <c r="R10" s="15" t="str">
        <f t="shared" si="8"/>
        <v/>
      </c>
      <c r="S10" s="15" t="str">
        <f t="shared" si="9"/>
        <v/>
      </c>
      <c r="T10" s="16" t="str">
        <f t="shared" si="3"/>
        <v/>
      </c>
    </row>
    <row r="11" spans="1:21">
      <c r="A11" s="13" t="str">
        <f>'Story Drift X'!B11</f>
        <v>Story3</v>
      </c>
      <c r="B11" s="13">
        <f>'Story Drift X'!C11</f>
        <v>3000</v>
      </c>
      <c r="C11" s="13">
        <f>'Story Drift X'!D11</f>
        <v>3.048</v>
      </c>
      <c r="E11" s="45"/>
      <c r="F11" s="15" t="str">
        <f t="shared" si="4"/>
        <v/>
      </c>
      <c r="G11" s="15" t="str">
        <f t="shared" si="5"/>
        <v/>
      </c>
      <c r="H11" s="15" t="str">
        <f t="shared" si="6"/>
        <v/>
      </c>
      <c r="I11" s="16" t="str">
        <f t="shared" si="0"/>
        <v/>
      </c>
      <c r="L11" s="17" t="str">
        <f t="shared" si="1"/>
        <v>Story3</v>
      </c>
      <c r="M11" s="19">
        <v>3.2</v>
      </c>
      <c r="N11" s="18">
        <f t="shared" si="2"/>
        <v>3.048</v>
      </c>
      <c r="P11" s="45"/>
      <c r="Q11" s="15" t="str">
        <f t="shared" si="7"/>
        <v/>
      </c>
      <c r="R11" s="15" t="str">
        <f t="shared" si="8"/>
        <v/>
      </c>
      <c r="S11" s="15" t="str">
        <f t="shared" si="9"/>
        <v/>
      </c>
      <c r="T11" s="16" t="str">
        <f t="shared" si="3"/>
        <v/>
      </c>
    </row>
    <row r="12" spans="1:21">
      <c r="A12" s="13" t="str">
        <f>'Story Drift X'!B12</f>
        <v>Story2</v>
      </c>
      <c r="B12" s="13">
        <f>'Story Drift X'!C12</f>
        <v>3000</v>
      </c>
      <c r="C12" s="13">
        <f>'Story Drift X'!D12</f>
        <v>3.048</v>
      </c>
      <c r="E12" s="46"/>
      <c r="F12" s="15" t="str">
        <f t="shared" si="4"/>
        <v/>
      </c>
      <c r="G12" s="15" t="str">
        <f t="shared" si="5"/>
        <v/>
      </c>
      <c r="H12" s="15" t="str">
        <f t="shared" si="6"/>
        <v/>
      </c>
      <c r="I12" s="16" t="str">
        <f t="shared" si="0"/>
        <v/>
      </c>
      <c r="L12" s="17" t="str">
        <f t="shared" si="1"/>
        <v>Story2</v>
      </c>
      <c r="M12" s="19">
        <v>3.2</v>
      </c>
      <c r="N12" s="18">
        <f t="shared" si="2"/>
        <v>3.048</v>
      </c>
      <c r="P12" s="46"/>
      <c r="Q12" s="15" t="str">
        <f t="shared" si="7"/>
        <v/>
      </c>
      <c r="R12" s="15" t="str">
        <f t="shared" si="8"/>
        <v/>
      </c>
      <c r="S12" s="15" t="str">
        <f t="shared" si="9"/>
        <v/>
      </c>
      <c r="T12" s="16" t="str">
        <f t="shared" si="3"/>
        <v/>
      </c>
    </row>
    <row r="13" spans="1:21">
      <c r="A13" s="13" t="str">
        <f>'Story Drift X'!B13</f>
        <v>Story1</v>
      </c>
      <c r="B13" s="13">
        <f>'Story Drift X'!C13</f>
        <v>3000</v>
      </c>
      <c r="C13" s="13">
        <f>'Story Drift X'!D13</f>
        <v>3.3527999999999998</v>
      </c>
      <c r="E13" s="45"/>
      <c r="F13" s="15" t="str">
        <f t="shared" si="4"/>
        <v/>
      </c>
      <c r="G13" s="15" t="str">
        <f t="shared" si="5"/>
        <v/>
      </c>
      <c r="H13" s="15" t="str">
        <f t="shared" si="6"/>
        <v/>
      </c>
      <c r="I13" s="16" t="str">
        <f t="shared" si="0"/>
        <v/>
      </c>
      <c r="L13" s="17" t="str">
        <f t="shared" si="1"/>
        <v>Story1</v>
      </c>
      <c r="M13" s="19">
        <v>3.2</v>
      </c>
      <c r="N13" s="18">
        <f t="shared" si="2"/>
        <v>3.3527999999999998</v>
      </c>
      <c r="P13" s="45"/>
      <c r="Q13" s="15" t="str">
        <f t="shared" si="7"/>
        <v/>
      </c>
      <c r="R13" s="15" t="str">
        <f t="shared" si="8"/>
        <v/>
      </c>
      <c r="S13" s="15" t="str">
        <f t="shared" si="9"/>
        <v/>
      </c>
      <c r="T13" s="16" t="str">
        <f t="shared" si="3"/>
        <v/>
      </c>
    </row>
    <row r="14" spans="1:21">
      <c r="A14" s="13" t="str">
        <f>'Story Drift X'!B14</f>
        <v>GB</v>
      </c>
      <c r="B14" s="13">
        <f>'Story Drift X'!C14</f>
        <v>3000</v>
      </c>
      <c r="C14" s="13">
        <f>'Story Drift X'!D14</f>
        <v>1.524</v>
      </c>
      <c r="E14" s="46"/>
      <c r="F14" s="15" t="str">
        <f t="shared" si="4"/>
        <v/>
      </c>
      <c r="G14" s="15" t="str">
        <f t="shared" si="5"/>
        <v/>
      </c>
      <c r="H14" s="15" t="str">
        <f t="shared" si="6"/>
        <v/>
      </c>
      <c r="I14" s="16" t="str">
        <f t="shared" si="0"/>
        <v/>
      </c>
      <c r="L14" s="17" t="str">
        <f t="shared" si="1"/>
        <v>GB</v>
      </c>
      <c r="M14" s="19">
        <v>3.2</v>
      </c>
      <c r="N14" s="18">
        <f t="shared" si="2"/>
        <v>1.524</v>
      </c>
      <c r="P14" s="46"/>
      <c r="Q14" s="15" t="str">
        <f t="shared" si="7"/>
        <v/>
      </c>
      <c r="R14" s="15" t="str">
        <f t="shared" si="8"/>
        <v/>
      </c>
      <c r="S14" s="15" t="str">
        <f t="shared" si="9"/>
        <v/>
      </c>
      <c r="T14" s="16" t="str">
        <f t="shared" si="3"/>
        <v/>
      </c>
    </row>
    <row r="15" spans="1:21">
      <c r="A15" s="13">
        <f>'Story Drift X'!B15</f>
        <v>0</v>
      </c>
      <c r="B15" s="13">
        <f>'Story Drift X'!C15</f>
        <v>3000</v>
      </c>
      <c r="C15" s="13">
        <f>'Story Drift X'!D15</f>
        <v>0</v>
      </c>
      <c r="E15" s="45"/>
      <c r="F15" s="15" t="str">
        <f t="shared" si="4"/>
        <v/>
      </c>
      <c r="G15" s="15" t="str">
        <f t="shared" si="5"/>
        <v/>
      </c>
      <c r="H15" s="15" t="str">
        <f t="shared" si="6"/>
        <v/>
      </c>
      <c r="I15" s="16" t="str">
        <f t="shared" si="0"/>
        <v/>
      </c>
      <c r="L15" s="17">
        <f t="shared" si="1"/>
        <v>0</v>
      </c>
      <c r="M15" s="19">
        <v>3.2</v>
      </c>
      <c r="N15" s="18">
        <f t="shared" si="2"/>
        <v>0</v>
      </c>
      <c r="P15" s="45"/>
      <c r="Q15" s="15" t="str">
        <f t="shared" si="7"/>
        <v/>
      </c>
      <c r="R15" s="15" t="str">
        <f t="shared" si="8"/>
        <v/>
      </c>
      <c r="S15" s="15" t="str">
        <f t="shared" si="9"/>
        <v/>
      </c>
      <c r="T15" s="16" t="str">
        <f t="shared" si="3"/>
        <v/>
      </c>
    </row>
    <row r="16" spans="1:21">
      <c r="A16" s="13">
        <f>'Story Drift X'!B16</f>
        <v>0</v>
      </c>
      <c r="B16" s="13">
        <f>'Story Drift X'!C16</f>
        <v>0</v>
      </c>
      <c r="C16" s="13">
        <f>'Story Drift X'!D16</f>
        <v>0</v>
      </c>
      <c r="E16" s="46"/>
      <c r="F16" s="15" t="str">
        <f t="shared" si="4"/>
        <v/>
      </c>
      <c r="G16" s="15" t="str">
        <f t="shared" si="5"/>
        <v/>
      </c>
      <c r="H16" s="15" t="str">
        <f t="shared" si="6"/>
        <v/>
      </c>
      <c r="I16" s="16" t="str">
        <f t="shared" si="0"/>
        <v/>
      </c>
      <c r="L16" s="17">
        <f t="shared" si="1"/>
        <v>0</v>
      </c>
      <c r="M16" s="19">
        <v>3.2</v>
      </c>
      <c r="N16" s="18">
        <f t="shared" si="2"/>
        <v>0</v>
      </c>
      <c r="P16" s="46"/>
      <c r="Q16" s="15" t="str">
        <f t="shared" si="7"/>
        <v/>
      </c>
      <c r="R16" s="15" t="str">
        <f t="shared" si="8"/>
        <v/>
      </c>
      <c r="S16" s="15" t="str">
        <f t="shared" si="9"/>
        <v/>
      </c>
      <c r="T16" s="16" t="str">
        <f t="shared" si="3"/>
        <v/>
      </c>
    </row>
    <row r="17" spans="1:20">
      <c r="A17" s="13">
        <f>'Story Drift X'!B17</f>
        <v>0</v>
      </c>
      <c r="B17" s="13">
        <f>'Story Drift X'!C17</f>
        <v>0</v>
      </c>
      <c r="C17" s="13">
        <f>'Story Drift X'!D17</f>
        <v>0</v>
      </c>
      <c r="E17" s="45"/>
      <c r="F17" s="15" t="str">
        <f t="shared" si="4"/>
        <v/>
      </c>
      <c r="G17" s="15" t="str">
        <f t="shared" si="5"/>
        <v/>
      </c>
      <c r="H17" s="15" t="str">
        <f t="shared" si="6"/>
        <v/>
      </c>
      <c r="I17" s="16" t="str">
        <f t="shared" si="0"/>
        <v/>
      </c>
      <c r="L17" s="17">
        <f t="shared" si="1"/>
        <v>0</v>
      </c>
      <c r="M17" s="19">
        <v>3.2</v>
      </c>
      <c r="N17" s="18">
        <f t="shared" si="2"/>
        <v>0</v>
      </c>
      <c r="P17" s="45"/>
      <c r="Q17" s="15" t="str">
        <f t="shared" si="7"/>
        <v/>
      </c>
      <c r="R17" s="15" t="str">
        <f t="shared" si="8"/>
        <v/>
      </c>
      <c r="S17" s="15" t="str">
        <f t="shared" si="9"/>
        <v/>
      </c>
      <c r="T17" s="16" t="str">
        <f t="shared" si="3"/>
        <v/>
      </c>
    </row>
    <row r="18" spans="1:20">
      <c r="A18" s="13">
        <f>'Story Drift X'!B18</f>
        <v>0</v>
      </c>
      <c r="B18" s="13">
        <f>'Story Drift X'!C18</f>
        <v>0</v>
      </c>
      <c r="C18" s="13">
        <f>'Story Drift X'!D18</f>
        <v>0</v>
      </c>
      <c r="E18" s="46"/>
      <c r="F18" s="15" t="str">
        <f t="shared" si="4"/>
        <v/>
      </c>
      <c r="G18" s="15" t="str">
        <f t="shared" si="5"/>
        <v/>
      </c>
      <c r="H18" s="15" t="str">
        <f t="shared" si="6"/>
        <v/>
      </c>
      <c r="I18" s="16" t="str">
        <f t="shared" si="0"/>
        <v/>
      </c>
      <c r="L18" s="17">
        <f t="shared" si="1"/>
        <v>0</v>
      </c>
      <c r="M18" s="19">
        <v>3.2</v>
      </c>
      <c r="N18" s="18">
        <f t="shared" si="2"/>
        <v>0</v>
      </c>
      <c r="P18" s="46"/>
      <c r="Q18" s="15" t="str">
        <f t="shared" si="7"/>
        <v/>
      </c>
      <c r="R18" s="15" t="str">
        <f t="shared" si="8"/>
        <v/>
      </c>
      <c r="S18" s="15" t="str">
        <f t="shared" si="9"/>
        <v/>
      </c>
      <c r="T18" s="16" t="str">
        <f t="shared" si="3"/>
        <v/>
      </c>
    </row>
    <row r="19" spans="1:20">
      <c r="A19" s="13">
        <f>'Story Drift X'!B19</f>
        <v>0</v>
      </c>
      <c r="B19" s="13">
        <f>'Story Drift X'!C19</f>
        <v>0</v>
      </c>
      <c r="C19" s="13">
        <f>'Story Drift X'!D19</f>
        <v>0</v>
      </c>
      <c r="E19" s="45"/>
      <c r="F19" s="15" t="str">
        <f t="shared" si="4"/>
        <v/>
      </c>
      <c r="G19" s="15" t="str">
        <f t="shared" si="5"/>
        <v/>
      </c>
      <c r="H19" s="15" t="str">
        <f t="shared" si="6"/>
        <v/>
      </c>
      <c r="I19" s="16" t="str">
        <f t="shared" si="0"/>
        <v/>
      </c>
      <c r="L19" s="17">
        <f t="shared" si="1"/>
        <v>0</v>
      </c>
      <c r="M19" s="19">
        <v>3.2</v>
      </c>
      <c r="N19" s="18">
        <f t="shared" si="2"/>
        <v>0</v>
      </c>
      <c r="P19" s="45"/>
      <c r="Q19" s="15" t="str">
        <f t="shared" si="7"/>
        <v/>
      </c>
      <c r="R19" s="15" t="str">
        <f t="shared" si="8"/>
        <v/>
      </c>
      <c r="S19" s="15" t="str">
        <f t="shared" si="9"/>
        <v/>
      </c>
      <c r="T19" s="16" t="str">
        <f t="shared" si="3"/>
        <v/>
      </c>
    </row>
    <row r="20" spans="1:20">
      <c r="A20" s="13">
        <f>'Story Drift X'!B20</f>
        <v>0</v>
      </c>
      <c r="B20" s="13">
        <f>'Story Drift X'!C20</f>
        <v>0</v>
      </c>
      <c r="C20" s="13">
        <f>'Story Drift X'!D20</f>
        <v>0</v>
      </c>
      <c r="E20" s="46"/>
      <c r="F20" s="15" t="str">
        <f t="shared" si="4"/>
        <v/>
      </c>
      <c r="G20" s="15" t="str">
        <f t="shared" si="5"/>
        <v/>
      </c>
      <c r="H20" s="15" t="str">
        <f t="shared" si="6"/>
        <v/>
      </c>
      <c r="I20" s="16" t="str">
        <f t="shared" si="0"/>
        <v/>
      </c>
      <c r="L20" s="17">
        <f t="shared" si="1"/>
        <v>0</v>
      </c>
      <c r="M20" s="19">
        <v>3.2</v>
      </c>
      <c r="N20" s="18">
        <f t="shared" si="2"/>
        <v>0</v>
      </c>
      <c r="P20" s="46"/>
      <c r="Q20" s="15" t="str">
        <f t="shared" si="7"/>
        <v/>
      </c>
      <c r="R20" s="15" t="str">
        <f t="shared" si="8"/>
        <v/>
      </c>
      <c r="S20" s="15" t="str">
        <f t="shared" si="9"/>
        <v/>
      </c>
      <c r="T20" s="16" t="str">
        <f t="shared" si="3"/>
        <v/>
      </c>
    </row>
    <row r="21" spans="1:20">
      <c r="A21" s="13">
        <f>'Story Drift X'!B21</f>
        <v>0</v>
      </c>
      <c r="B21" s="13">
        <f>'Story Drift X'!C21</f>
        <v>0</v>
      </c>
      <c r="C21" s="13">
        <f>'Story Drift X'!D21</f>
        <v>0</v>
      </c>
      <c r="E21" s="45"/>
      <c r="F21" s="15" t="str">
        <f t="shared" si="4"/>
        <v/>
      </c>
      <c r="G21" s="15" t="str">
        <f t="shared" si="5"/>
        <v/>
      </c>
      <c r="H21" s="15" t="str">
        <f t="shared" si="6"/>
        <v/>
      </c>
      <c r="I21" s="16" t="str">
        <f t="shared" si="0"/>
        <v/>
      </c>
      <c r="L21" s="17">
        <f t="shared" si="1"/>
        <v>0</v>
      </c>
      <c r="M21" s="19">
        <v>3.2</v>
      </c>
      <c r="N21" s="18">
        <f t="shared" si="2"/>
        <v>0</v>
      </c>
      <c r="P21" s="45"/>
      <c r="Q21" s="15" t="str">
        <f t="shared" si="7"/>
        <v/>
      </c>
      <c r="R21" s="15" t="str">
        <f t="shared" si="8"/>
        <v/>
      </c>
      <c r="S21" s="15" t="str">
        <f t="shared" si="9"/>
        <v/>
      </c>
      <c r="T21" s="16" t="str">
        <f t="shared" si="3"/>
        <v/>
      </c>
    </row>
    <row r="22" spans="1:20">
      <c r="A22" s="13">
        <f>'Story Drift X'!B22</f>
        <v>0</v>
      </c>
      <c r="B22" s="13">
        <f>'Story Drift X'!C22</f>
        <v>0</v>
      </c>
      <c r="C22" s="13">
        <f>'Story Drift X'!D22</f>
        <v>0</v>
      </c>
      <c r="E22" s="46"/>
      <c r="F22" s="15" t="str">
        <f t="shared" si="4"/>
        <v/>
      </c>
      <c r="G22" s="15" t="str">
        <f t="shared" si="5"/>
        <v/>
      </c>
      <c r="H22" s="15" t="str">
        <f t="shared" si="6"/>
        <v/>
      </c>
      <c r="I22" s="16" t="str">
        <f t="shared" si="0"/>
        <v/>
      </c>
      <c r="L22" s="17">
        <f t="shared" si="1"/>
        <v>0</v>
      </c>
      <c r="M22" s="19">
        <v>3.2</v>
      </c>
      <c r="N22" s="18">
        <f t="shared" si="2"/>
        <v>0</v>
      </c>
      <c r="P22" s="46"/>
      <c r="Q22" s="15" t="str">
        <f t="shared" si="7"/>
        <v/>
      </c>
      <c r="R22" s="15" t="str">
        <f t="shared" si="8"/>
        <v/>
      </c>
      <c r="S22" s="15" t="str">
        <f t="shared" si="9"/>
        <v/>
      </c>
      <c r="T22" s="16" t="str">
        <f t="shared" si="3"/>
        <v/>
      </c>
    </row>
    <row r="23" spans="1:20">
      <c r="A23" s="13">
        <f>'Story Drift X'!B23</f>
        <v>0</v>
      </c>
      <c r="B23" s="13">
        <f>'Story Drift X'!C23</f>
        <v>0</v>
      </c>
      <c r="C23" s="13">
        <f>'Story Drift X'!D23</f>
        <v>0</v>
      </c>
      <c r="E23" s="46"/>
      <c r="F23" s="15" t="str">
        <f t="shared" si="4"/>
        <v/>
      </c>
      <c r="G23" s="15" t="str">
        <f t="shared" si="5"/>
        <v/>
      </c>
      <c r="H23" s="15" t="str">
        <f t="shared" si="6"/>
        <v/>
      </c>
      <c r="I23" s="16" t="str">
        <f t="shared" si="0"/>
        <v/>
      </c>
      <c r="L23" s="17">
        <f t="shared" ref="L23:L34" si="10">IF(A23="","",A23)</f>
        <v>0</v>
      </c>
      <c r="M23" s="19">
        <v>4.2</v>
      </c>
      <c r="N23" s="18">
        <f t="shared" ref="N23:N34" si="11">IF(C23="","",C23)</f>
        <v>0</v>
      </c>
      <c r="P23" s="46"/>
      <c r="Q23" s="15" t="str">
        <f t="shared" si="7"/>
        <v/>
      </c>
      <c r="R23" s="15" t="str">
        <f t="shared" si="8"/>
        <v/>
      </c>
      <c r="S23" s="15" t="str">
        <f t="shared" si="9"/>
        <v/>
      </c>
      <c r="T23" s="16" t="str">
        <f t="shared" si="3"/>
        <v/>
      </c>
    </row>
    <row r="24" spans="1:20">
      <c r="A24" s="13">
        <f>'Story Drift X'!B24</f>
        <v>0</v>
      </c>
      <c r="B24" s="13">
        <f>'Story Drift X'!C24</f>
        <v>0</v>
      </c>
      <c r="C24" s="13">
        <f>'Story Drift X'!D24</f>
        <v>0</v>
      </c>
      <c r="E24" s="46"/>
      <c r="F24" s="15" t="str">
        <f t="shared" si="4"/>
        <v/>
      </c>
      <c r="G24" s="15" t="str">
        <f t="shared" si="5"/>
        <v/>
      </c>
      <c r="H24" s="15" t="str">
        <f t="shared" si="6"/>
        <v/>
      </c>
      <c r="I24" s="16" t="str">
        <f t="shared" si="0"/>
        <v/>
      </c>
      <c r="L24" s="17">
        <f t="shared" si="10"/>
        <v>0</v>
      </c>
      <c r="M24" s="19">
        <v>5.2</v>
      </c>
      <c r="N24" s="18">
        <f t="shared" si="11"/>
        <v>0</v>
      </c>
      <c r="P24" s="46"/>
      <c r="Q24" s="15" t="str">
        <f t="shared" si="7"/>
        <v/>
      </c>
      <c r="R24" s="15" t="str">
        <f t="shared" si="8"/>
        <v/>
      </c>
      <c r="S24" s="15" t="str">
        <f t="shared" si="9"/>
        <v/>
      </c>
      <c r="T24" s="16" t="str">
        <f t="shared" si="3"/>
        <v/>
      </c>
    </row>
    <row r="25" spans="1:20">
      <c r="A25" s="13">
        <f>'Story Drift X'!B25</f>
        <v>0</v>
      </c>
      <c r="B25" s="13">
        <f>'Story Drift X'!C25</f>
        <v>0</v>
      </c>
      <c r="C25" s="13">
        <f>'Story Drift X'!D25</f>
        <v>0</v>
      </c>
      <c r="E25" s="46"/>
      <c r="F25" s="15" t="str">
        <f t="shared" si="4"/>
        <v/>
      </c>
      <c r="G25" s="15" t="str">
        <f t="shared" si="5"/>
        <v/>
      </c>
      <c r="H25" s="15" t="str">
        <f t="shared" si="6"/>
        <v/>
      </c>
      <c r="I25" s="16" t="str">
        <f t="shared" si="0"/>
        <v/>
      </c>
      <c r="L25" s="17">
        <f t="shared" si="10"/>
        <v>0</v>
      </c>
      <c r="M25" s="19">
        <v>6.2</v>
      </c>
      <c r="N25" s="18">
        <f t="shared" si="11"/>
        <v>0</v>
      </c>
      <c r="P25" s="46"/>
      <c r="Q25" s="15" t="str">
        <f t="shared" si="7"/>
        <v/>
      </c>
      <c r="R25" s="15" t="str">
        <f t="shared" si="8"/>
        <v/>
      </c>
      <c r="S25" s="15" t="str">
        <f t="shared" si="9"/>
        <v/>
      </c>
      <c r="T25" s="16" t="str">
        <f t="shared" si="3"/>
        <v/>
      </c>
    </row>
    <row r="26" spans="1:20">
      <c r="A26" s="13">
        <f>'Story Drift X'!B26</f>
        <v>0</v>
      </c>
      <c r="B26" s="13">
        <f>'Story Drift X'!C26</f>
        <v>0</v>
      </c>
      <c r="C26" s="13">
        <f>'Story Drift X'!D26</f>
        <v>0</v>
      </c>
      <c r="E26" s="46"/>
      <c r="F26" s="15" t="str">
        <f t="shared" si="4"/>
        <v/>
      </c>
      <c r="G26" s="15" t="str">
        <f t="shared" si="5"/>
        <v/>
      </c>
      <c r="H26" s="15" t="str">
        <f t="shared" si="6"/>
        <v/>
      </c>
      <c r="I26" s="16" t="str">
        <f t="shared" si="0"/>
        <v/>
      </c>
      <c r="L26" s="17">
        <f t="shared" si="10"/>
        <v>0</v>
      </c>
      <c r="M26" s="19">
        <v>7.2</v>
      </c>
      <c r="N26" s="18">
        <f t="shared" si="11"/>
        <v>0</v>
      </c>
      <c r="P26" s="46"/>
      <c r="Q26" s="15" t="str">
        <f t="shared" si="7"/>
        <v/>
      </c>
      <c r="R26" s="15" t="str">
        <f t="shared" si="8"/>
        <v/>
      </c>
      <c r="S26" s="15" t="str">
        <f t="shared" si="9"/>
        <v/>
      </c>
      <c r="T26" s="16" t="str">
        <f t="shared" si="3"/>
        <v/>
      </c>
    </row>
    <row r="27" spans="1:20">
      <c r="A27" s="13">
        <f>'Story Drift X'!B27</f>
        <v>0</v>
      </c>
      <c r="B27" s="13">
        <f>'Story Drift X'!C27</f>
        <v>0</v>
      </c>
      <c r="C27" s="13">
        <f>'Story Drift X'!D27</f>
        <v>0</v>
      </c>
      <c r="E27" s="46"/>
      <c r="F27" s="15" t="str">
        <f t="shared" si="4"/>
        <v/>
      </c>
      <c r="G27" s="15" t="str">
        <f t="shared" si="5"/>
        <v/>
      </c>
      <c r="H27" s="15" t="str">
        <f t="shared" si="6"/>
        <v/>
      </c>
      <c r="I27" s="16" t="str">
        <f t="shared" si="0"/>
        <v/>
      </c>
      <c r="L27" s="17">
        <f t="shared" si="10"/>
        <v>0</v>
      </c>
      <c r="M27" s="19">
        <v>8.1999999999999993</v>
      </c>
      <c r="N27" s="18">
        <f t="shared" si="11"/>
        <v>0</v>
      </c>
      <c r="P27" s="46"/>
      <c r="Q27" s="15" t="str">
        <f t="shared" si="7"/>
        <v/>
      </c>
      <c r="R27" s="15" t="str">
        <f t="shared" si="8"/>
        <v/>
      </c>
      <c r="S27" s="15" t="str">
        <f t="shared" si="9"/>
        <v/>
      </c>
      <c r="T27" s="16" t="str">
        <f t="shared" si="3"/>
        <v/>
      </c>
    </row>
    <row r="28" spans="1:20">
      <c r="A28" s="13">
        <f>'Story Drift X'!B28</f>
        <v>0</v>
      </c>
      <c r="B28" s="13">
        <f>'Story Drift X'!C28</f>
        <v>0</v>
      </c>
      <c r="C28" s="13">
        <f>'Story Drift X'!D28</f>
        <v>0</v>
      </c>
      <c r="E28" s="46"/>
      <c r="F28" s="15" t="str">
        <f t="shared" si="4"/>
        <v/>
      </c>
      <c r="G28" s="15" t="str">
        <f t="shared" si="5"/>
        <v/>
      </c>
      <c r="H28" s="15" t="str">
        <f t="shared" si="6"/>
        <v/>
      </c>
      <c r="I28" s="16" t="str">
        <f t="shared" si="0"/>
        <v/>
      </c>
      <c r="L28" s="17">
        <f t="shared" si="10"/>
        <v>0</v>
      </c>
      <c r="M28" s="19">
        <v>9.1999999999999993</v>
      </c>
      <c r="N28" s="18">
        <f t="shared" si="11"/>
        <v>0</v>
      </c>
      <c r="P28" s="46"/>
      <c r="Q28" s="15" t="str">
        <f t="shared" si="7"/>
        <v/>
      </c>
      <c r="R28" s="15" t="str">
        <f t="shared" si="8"/>
        <v/>
      </c>
      <c r="S28" s="15" t="str">
        <f t="shared" si="9"/>
        <v/>
      </c>
      <c r="T28" s="16" t="str">
        <f t="shared" si="3"/>
        <v/>
      </c>
    </row>
    <row r="29" spans="1:20">
      <c r="A29" s="13">
        <f>'Story Drift X'!B29</f>
        <v>0</v>
      </c>
      <c r="B29" s="13">
        <f>'Story Drift X'!C29</f>
        <v>0</v>
      </c>
      <c r="C29" s="13">
        <f>'Story Drift X'!D29</f>
        <v>0</v>
      </c>
      <c r="E29" s="46"/>
      <c r="F29" s="15" t="str">
        <f t="shared" si="4"/>
        <v/>
      </c>
      <c r="G29" s="15" t="str">
        <f t="shared" si="5"/>
        <v/>
      </c>
      <c r="H29" s="15" t="str">
        <f t="shared" si="6"/>
        <v/>
      </c>
      <c r="I29" s="16" t="str">
        <f t="shared" si="0"/>
        <v/>
      </c>
      <c r="L29" s="17">
        <f t="shared" si="10"/>
        <v>0</v>
      </c>
      <c r="M29" s="19">
        <v>10.199999999999999</v>
      </c>
      <c r="N29" s="18">
        <f t="shared" si="11"/>
        <v>0</v>
      </c>
      <c r="P29" s="46"/>
      <c r="Q29" s="15" t="str">
        <f t="shared" si="7"/>
        <v/>
      </c>
      <c r="R29" s="15" t="str">
        <f t="shared" si="8"/>
        <v/>
      </c>
      <c r="S29" s="15" t="str">
        <f t="shared" si="9"/>
        <v/>
      </c>
      <c r="T29" s="16" t="str">
        <f t="shared" si="3"/>
        <v/>
      </c>
    </row>
    <row r="30" spans="1:20">
      <c r="A30" s="13">
        <f>'Story Drift X'!B30</f>
        <v>0</v>
      </c>
      <c r="B30" s="13">
        <f>'Story Drift X'!C30</f>
        <v>0</v>
      </c>
      <c r="C30" s="13">
        <f>'Story Drift X'!D30</f>
        <v>0</v>
      </c>
      <c r="E30" s="46"/>
      <c r="F30" s="15" t="str">
        <f t="shared" si="4"/>
        <v/>
      </c>
      <c r="G30" s="15" t="str">
        <f t="shared" si="5"/>
        <v/>
      </c>
      <c r="H30" s="15" t="str">
        <f t="shared" si="6"/>
        <v/>
      </c>
      <c r="I30" s="16" t="str">
        <f t="shared" si="0"/>
        <v/>
      </c>
      <c r="L30" s="17">
        <f t="shared" si="10"/>
        <v>0</v>
      </c>
      <c r="M30" s="19">
        <v>11.2</v>
      </c>
      <c r="N30" s="18">
        <f t="shared" si="11"/>
        <v>0</v>
      </c>
      <c r="P30" s="46"/>
      <c r="Q30" s="15" t="str">
        <f t="shared" si="7"/>
        <v/>
      </c>
      <c r="R30" s="15" t="str">
        <f t="shared" si="8"/>
        <v/>
      </c>
      <c r="S30" s="15" t="str">
        <f t="shared" si="9"/>
        <v/>
      </c>
      <c r="T30" s="16" t="str">
        <f t="shared" si="3"/>
        <v/>
      </c>
    </row>
    <row r="31" spans="1:20">
      <c r="A31" s="13">
        <f>'Story Drift X'!B31</f>
        <v>0</v>
      </c>
      <c r="B31" s="13">
        <f>'Story Drift X'!C31</f>
        <v>0</v>
      </c>
      <c r="C31" s="13">
        <f>'Story Drift X'!D31</f>
        <v>0</v>
      </c>
      <c r="E31" s="46"/>
      <c r="F31" s="15" t="str">
        <f t="shared" si="4"/>
        <v/>
      </c>
      <c r="G31" s="15" t="str">
        <f t="shared" si="5"/>
        <v/>
      </c>
      <c r="H31" s="15" t="str">
        <f t="shared" si="6"/>
        <v/>
      </c>
      <c r="I31" s="16" t="str">
        <f t="shared" si="0"/>
        <v/>
      </c>
      <c r="L31" s="17">
        <f t="shared" si="10"/>
        <v>0</v>
      </c>
      <c r="M31" s="19">
        <v>12.2</v>
      </c>
      <c r="N31" s="18">
        <f t="shared" si="11"/>
        <v>0</v>
      </c>
      <c r="P31" s="46"/>
      <c r="Q31" s="15" t="str">
        <f t="shared" si="7"/>
        <v/>
      </c>
      <c r="R31" s="15" t="str">
        <f t="shared" si="8"/>
        <v/>
      </c>
      <c r="S31" s="15" t="str">
        <f t="shared" si="9"/>
        <v/>
      </c>
      <c r="T31" s="16" t="str">
        <f t="shared" si="3"/>
        <v/>
      </c>
    </row>
    <row r="32" spans="1:20">
      <c r="A32" s="13">
        <f>'Story Drift X'!B32</f>
        <v>0</v>
      </c>
      <c r="B32" s="13">
        <f>'Story Drift X'!C32</f>
        <v>0</v>
      </c>
      <c r="C32" s="13">
        <f>'Story Drift X'!D32</f>
        <v>0</v>
      </c>
      <c r="E32" s="46"/>
      <c r="F32" s="15" t="str">
        <f t="shared" si="4"/>
        <v/>
      </c>
      <c r="G32" s="15" t="str">
        <f t="shared" si="5"/>
        <v/>
      </c>
      <c r="H32" s="15" t="str">
        <f t="shared" si="6"/>
        <v/>
      </c>
      <c r="I32" s="16" t="str">
        <f t="shared" si="0"/>
        <v/>
      </c>
      <c r="L32" s="17">
        <f t="shared" si="10"/>
        <v>0</v>
      </c>
      <c r="M32" s="19">
        <v>13.2</v>
      </c>
      <c r="N32" s="18">
        <f t="shared" si="11"/>
        <v>0</v>
      </c>
      <c r="P32" s="46"/>
      <c r="Q32" s="15" t="str">
        <f t="shared" si="7"/>
        <v/>
      </c>
      <c r="R32" s="15" t="str">
        <f t="shared" si="8"/>
        <v/>
      </c>
      <c r="S32" s="15" t="str">
        <f t="shared" si="9"/>
        <v/>
      </c>
      <c r="T32" s="16" t="str">
        <f t="shared" si="3"/>
        <v/>
      </c>
    </row>
    <row r="33" spans="1:20">
      <c r="A33" s="13">
        <f>'Story Drift X'!B33</f>
        <v>0</v>
      </c>
      <c r="B33" s="13">
        <f>'Story Drift X'!C33</f>
        <v>0</v>
      </c>
      <c r="C33" s="13">
        <f>'Story Drift X'!D33</f>
        <v>0</v>
      </c>
      <c r="E33" s="46"/>
      <c r="F33" s="15" t="str">
        <f t="shared" si="4"/>
        <v/>
      </c>
      <c r="G33" s="15" t="str">
        <f t="shared" si="5"/>
        <v/>
      </c>
      <c r="H33" s="15" t="str">
        <f t="shared" si="6"/>
        <v/>
      </c>
      <c r="I33" s="16" t="str">
        <f t="shared" si="0"/>
        <v/>
      </c>
      <c r="L33" s="17">
        <f t="shared" si="10"/>
        <v>0</v>
      </c>
      <c r="M33" s="19">
        <v>14.2</v>
      </c>
      <c r="N33" s="18">
        <f t="shared" si="11"/>
        <v>0</v>
      </c>
      <c r="P33" s="46"/>
      <c r="Q33" s="15" t="str">
        <f t="shared" si="7"/>
        <v/>
      </c>
      <c r="R33" s="15" t="str">
        <f t="shared" si="8"/>
        <v/>
      </c>
      <c r="S33" s="15" t="str">
        <f t="shared" si="9"/>
        <v/>
      </c>
      <c r="T33" s="16" t="str">
        <f t="shared" si="3"/>
        <v/>
      </c>
    </row>
    <row r="34" spans="1:20">
      <c r="A34" s="13">
        <f>'Story Drift X'!B34</f>
        <v>0</v>
      </c>
      <c r="B34" s="13">
        <f>'Story Drift X'!C34</f>
        <v>0</v>
      </c>
      <c r="C34" s="13">
        <f>'Story Drift X'!D34</f>
        <v>0</v>
      </c>
      <c r="E34" s="46"/>
      <c r="F34" s="15" t="str">
        <f t="shared" si="4"/>
        <v/>
      </c>
      <c r="G34" s="15" t="str">
        <f t="shared" si="5"/>
        <v/>
      </c>
      <c r="H34" s="15" t="str">
        <f t="shared" si="6"/>
        <v/>
      </c>
      <c r="I34" s="16" t="str">
        <f t="shared" si="0"/>
        <v/>
      </c>
      <c r="L34" s="17">
        <f t="shared" si="10"/>
        <v>0</v>
      </c>
      <c r="M34" s="19">
        <v>15.2</v>
      </c>
      <c r="N34" s="18">
        <f t="shared" si="11"/>
        <v>0</v>
      </c>
      <c r="P34" s="46"/>
      <c r="Q34" s="15" t="str">
        <f t="shared" si="7"/>
        <v/>
      </c>
      <c r="R34" s="15" t="str">
        <f t="shared" si="8"/>
        <v/>
      </c>
      <c r="S34" s="15" t="str">
        <f t="shared" si="9"/>
        <v/>
      </c>
      <c r="T34" s="16" t="str">
        <f t="shared" si="3"/>
        <v/>
      </c>
    </row>
    <row r="49" spans="5:9">
      <c r="H49"/>
    </row>
    <row r="58" spans="5:9" ht="17.25" thickBot="1"/>
    <row r="59" spans="5:9" ht="16.5" customHeight="1">
      <c r="E59" s="53" t="s">
        <v>17</v>
      </c>
      <c r="F59" s="54"/>
      <c r="G59" s="54"/>
      <c r="H59" s="54"/>
      <c r="I59" s="55"/>
    </row>
    <row r="60" spans="5:9">
      <c r="E60" s="56"/>
      <c r="F60" s="57"/>
      <c r="G60" s="57"/>
      <c r="H60" s="57"/>
      <c r="I60" s="58"/>
    </row>
    <row r="61" spans="5:9">
      <c r="E61" s="56"/>
      <c r="F61" s="57"/>
      <c r="G61" s="57"/>
      <c r="H61" s="57"/>
      <c r="I61" s="58"/>
    </row>
    <row r="62" spans="5:9">
      <c r="E62" s="56"/>
      <c r="F62" s="57"/>
      <c r="G62" s="57"/>
      <c r="H62" s="57"/>
      <c r="I62" s="58"/>
    </row>
    <row r="63" spans="5:9">
      <c r="E63" s="56"/>
      <c r="F63" s="57"/>
      <c r="G63" s="57"/>
      <c r="H63" s="57"/>
      <c r="I63" s="58"/>
    </row>
    <row r="64" spans="5:9">
      <c r="E64" s="56"/>
      <c r="F64" s="57"/>
      <c r="G64" s="57"/>
      <c r="H64" s="57"/>
      <c r="I64" s="58"/>
    </row>
    <row r="65" spans="5:9">
      <c r="E65" s="56"/>
      <c r="F65" s="57"/>
      <c r="G65" s="57"/>
      <c r="H65" s="57"/>
      <c r="I65" s="58"/>
    </row>
    <row r="66" spans="5:9">
      <c r="E66" s="56"/>
      <c r="F66" s="57"/>
      <c r="G66" s="57"/>
      <c r="H66" s="57"/>
      <c r="I66" s="58"/>
    </row>
    <row r="67" spans="5:9">
      <c r="E67" s="56"/>
      <c r="F67" s="57"/>
      <c r="G67" s="57"/>
      <c r="H67" s="57"/>
      <c r="I67" s="58"/>
    </row>
    <row r="68" spans="5:9" ht="17.25" thickBot="1">
      <c r="E68" s="59"/>
      <c r="F68" s="60"/>
      <c r="G68" s="60"/>
      <c r="H68" s="60"/>
      <c r="I68" s="61"/>
    </row>
  </sheetData>
  <mergeCells count="13">
    <mergeCell ref="N3:N4"/>
    <mergeCell ref="T3:T4"/>
    <mergeCell ref="E59:I68"/>
    <mergeCell ref="A1:C1"/>
    <mergeCell ref="E1:I1"/>
    <mergeCell ref="L1:N1"/>
    <mergeCell ref="P1:T1"/>
    <mergeCell ref="A3:A4"/>
    <mergeCell ref="B3:B4"/>
    <mergeCell ref="C3:C4"/>
    <mergeCell ref="I3:I4"/>
    <mergeCell ref="L3:L4"/>
    <mergeCell ref="M3:M4"/>
  </mergeCells>
  <conditionalFormatting sqref="H5:I34">
    <cfRule type="containsText" dxfId="5" priority="2" operator="containsText" text="Unsafe">
      <formula>NOT(ISERROR(SEARCH("Unsafe",H5)))</formula>
    </cfRule>
  </conditionalFormatting>
  <conditionalFormatting sqref="S5:T34">
    <cfRule type="containsText" dxfId="4" priority="1" operator="containsText" text="Unsafe">
      <formula>NOT(ISERROR(SEARCH("Unsafe",S5)))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O16" sqref="O16"/>
    </sheetView>
  </sheetViews>
  <sheetFormatPr defaultRowHeight="16.5"/>
  <cols>
    <col min="1" max="1" width="21.140625" style="20" customWidth="1"/>
    <col min="2" max="2" width="7" style="1" customWidth="1"/>
    <col min="3" max="3" width="8.42578125" style="1" customWidth="1"/>
    <col min="4" max="4" width="19.5703125" style="1" bestFit="1" customWidth="1"/>
    <col min="5" max="5" width="12.140625" style="20" bestFit="1" customWidth="1"/>
    <col min="6" max="6" width="10.7109375" style="20" customWidth="1"/>
    <col min="7" max="7" width="10.5703125" customWidth="1"/>
    <col min="9" max="9" width="19.5703125" style="1" bestFit="1" customWidth="1"/>
    <col min="10" max="10" width="12.140625" style="20" bestFit="1" customWidth="1"/>
    <col min="11" max="11" width="10.7109375" style="20" customWidth="1"/>
  </cols>
  <sheetData>
    <row r="1" spans="1:11" ht="47.25" thickBot="1">
      <c r="A1" s="66"/>
      <c r="B1" s="66"/>
      <c r="D1" s="66" t="s">
        <v>0</v>
      </c>
      <c r="E1" s="66"/>
      <c r="F1" s="66"/>
      <c r="G1" s="66"/>
      <c r="I1" s="66" t="s">
        <v>1</v>
      </c>
      <c r="J1" s="66"/>
      <c r="K1" s="66"/>
    </row>
    <row r="2" spans="1:11" ht="32.25" customHeight="1" thickBot="1">
      <c r="A2" s="2"/>
      <c r="B2" s="2"/>
      <c r="C2" s="3"/>
      <c r="D2" s="31" t="s">
        <v>23</v>
      </c>
      <c r="E2" s="22">
        <f>'Story Drift X'!K2</f>
        <v>0.02</v>
      </c>
      <c r="F2" s="32"/>
      <c r="I2" s="31" t="s">
        <v>23</v>
      </c>
      <c r="J2" s="22">
        <f>E2</f>
        <v>0.02</v>
      </c>
      <c r="K2" s="32"/>
    </row>
    <row r="3" spans="1:11" ht="17.25" customHeight="1">
      <c r="A3" s="67" t="s">
        <v>2</v>
      </c>
      <c r="B3" s="62" t="s">
        <v>8</v>
      </c>
      <c r="D3" s="8" t="s">
        <v>15</v>
      </c>
      <c r="E3" s="9" t="s">
        <v>6</v>
      </c>
      <c r="F3" s="71" t="s">
        <v>7</v>
      </c>
      <c r="I3" s="8" t="s">
        <v>15</v>
      </c>
      <c r="J3" s="9" t="s">
        <v>6</v>
      </c>
      <c r="K3" s="71" t="s">
        <v>7</v>
      </c>
    </row>
    <row r="4" spans="1:11" ht="17.25" customHeight="1" thickBot="1">
      <c r="A4" s="68"/>
      <c r="B4" s="63"/>
      <c r="D4" s="10" t="s">
        <v>16</v>
      </c>
      <c r="E4" s="12" t="s">
        <v>12</v>
      </c>
      <c r="F4" s="65"/>
      <c r="I4" s="10" t="s">
        <v>16</v>
      </c>
      <c r="J4" s="12" t="s">
        <v>12</v>
      </c>
      <c r="K4" s="65"/>
    </row>
    <row r="5" spans="1:11">
      <c r="A5" s="17" t="str">
        <f>IF('Story Drift X'!B5="","",('Story Drift X'!B5))</f>
        <v>Story9.TR</v>
      </c>
      <c r="B5" s="21">
        <f>IF('Story Drift X'!D5="","",'Story Drift X'!D5)</f>
        <v>3.048</v>
      </c>
      <c r="D5" s="23">
        <f>'Story Drift X'!H5/('Story Drift X'!D5*1000)</f>
        <v>8.2702713254593167E-3</v>
      </c>
      <c r="E5" s="24">
        <f>$E$2</f>
        <v>0.02</v>
      </c>
      <c r="F5" s="16" t="str">
        <f>IF(D5="","",IF(D5&lt;=E5,"Safe","Unsafe"))</f>
        <v>Safe</v>
      </c>
      <c r="I5" s="23" t="str">
        <f>IF('Story Drift X'!R5="","",'Story Drift X'!S5/('Story Drift X'!O5*1000))</f>
        <v/>
      </c>
      <c r="J5" s="24">
        <f>$J$2</f>
        <v>0.02</v>
      </c>
      <c r="K5" s="16" t="str">
        <f>IF(I5="","",IF(I5&lt;=J5,"Safe","Unsafe"))</f>
        <v/>
      </c>
    </row>
    <row r="6" spans="1:11">
      <c r="A6" s="17" t="str">
        <f>IF('Story Drift X'!B6="","",('Story Drift X'!B6))</f>
        <v>Story8.Roof</v>
      </c>
      <c r="B6" s="21">
        <f>IF('Story Drift X'!D6="","",'Story Drift X'!D6)</f>
        <v>3.048</v>
      </c>
      <c r="D6" s="23">
        <f>'Story Drift X'!H6/('Story Drift X'!D6*1000)</f>
        <v>9.6597413057742786E-3</v>
      </c>
      <c r="E6" s="24">
        <f t="shared" ref="E6:E34" si="0">$E$2</f>
        <v>0.02</v>
      </c>
      <c r="F6" s="16" t="str">
        <f t="shared" ref="F6:F34" si="1">IF(D6="","",IF(D6&lt;=E6,"Safe","Unsafe"))</f>
        <v>Safe</v>
      </c>
      <c r="I6" s="23" t="str">
        <f>IF('Story Drift X'!R6="","",'Story Drift X'!S6/('Story Drift X'!O6*1000))</f>
        <v/>
      </c>
      <c r="J6" s="24">
        <f t="shared" ref="J6:J34" si="2">$J$2</f>
        <v>0.02</v>
      </c>
      <c r="K6" s="16" t="str">
        <f t="shared" ref="K6:K34" si="3">IF(I6="","",IF(I6&lt;=J6,"Safe","Unsafe"))</f>
        <v/>
      </c>
    </row>
    <row r="7" spans="1:11">
      <c r="A7" s="17" t="str">
        <f>IF('Story Drift X'!B7="","",('Story Drift X'!B7))</f>
        <v>Story7</v>
      </c>
      <c r="B7" s="21">
        <f>IF('Story Drift X'!D7="","",'Story Drift X'!D7)</f>
        <v>3.048</v>
      </c>
      <c r="D7" s="23">
        <f>'Story Drift X'!H7/('Story Drift X'!D7*1000)</f>
        <v>1.0962573654855636E-2</v>
      </c>
      <c r="E7" s="24">
        <f t="shared" si="0"/>
        <v>0.02</v>
      </c>
      <c r="F7" s="16" t="str">
        <f t="shared" si="1"/>
        <v>Safe</v>
      </c>
      <c r="I7" s="23" t="str">
        <f>IF('Story Drift X'!R7="","",'Story Drift X'!S7/('Story Drift X'!O7*1000))</f>
        <v/>
      </c>
      <c r="J7" s="24">
        <f t="shared" si="2"/>
        <v>0.02</v>
      </c>
      <c r="K7" s="16" t="str">
        <f t="shared" si="3"/>
        <v/>
      </c>
    </row>
    <row r="8" spans="1:11">
      <c r="A8" s="17" t="str">
        <f>IF('Story Drift X'!B8="","",('Story Drift X'!B8))</f>
        <v>Story6</v>
      </c>
      <c r="B8" s="21">
        <f>IF('Story Drift X'!D8="","",'Story Drift X'!D8)</f>
        <v>3.048</v>
      </c>
      <c r="D8" s="23">
        <f>'Story Drift X'!H8/('Story Drift X'!D8*1000)</f>
        <v>1.2142397637795267E-2</v>
      </c>
      <c r="E8" s="24">
        <f t="shared" si="0"/>
        <v>0.02</v>
      </c>
      <c r="F8" s="16" t="str">
        <f t="shared" si="1"/>
        <v>Safe</v>
      </c>
      <c r="I8" s="23" t="str">
        <f>IF('Story Drift X'!R8="","",'Story Drift X'!S8/('Story Drift X'!O8*1000))</f>
        <v/>
      </c>
      <c r="J8" s="24">
        <f t="shared" si="2"/>
        <v>0.02</v>
      </c>
      <c r="K8" s="16" t="str">
        <f t="shared" si="3"/>
        <v/>
      </c>
    </row>
    <row r="9" spans="1:11">
      <c r="A9" s="17" t="str">
        <f>IF('Story Drift X'!B9="","",('Story Drift X'!B9))</f>
        <v>Story5</v>
      </c>
      <c r="B9" s="21">
        <f>IF('Story Drift X'!D9="","",'Story Drift X'!D9)</f>
        <v>3.048</v>
      </c>
      <c r="D9" s="23">
        <f>'Story Drift X'!H9/('Story Drift X'!D9*1000)</f>
        <v>1.2940538221784783E-2</v>
      </c>
      <c r="E9" s="24">
        <f t="shared" si="0"/>
        <v>0.02</v>
      </c>
      <c r="F9" s="16" t="str">
        <f t="shared" si="1"/>
        <v>Safe</v>
      </c>
      <c r="I9" s="23" t="str">
        <f>IF('Story Drift X'!R9="","",'Story Drift X'!S9/('Story Drift X'!O9*1000))</f>
        <v/>
      </c>
      <c r="J9" s="24">
        <f t="shared" si="2"/>
        <v>0.02</v>
      </c>
      <c r="K9" s="16" t="str">
        <f t="shared" si="3"/>
        <v/>
      </c>
    </row>
    <row r="10" spans="1:11">
      <c r="A10" s="17" t="str">
        <f>IF('Story Drift X'!B10="","",('Story Drift X'!B10))</f>
        <v>Story4</v>
      </c>
      <c r="B10" s="21">
        <f>IF('Story Drift X'!D10="","",'Story Drift X'!D10)</f>
        <v>3.048</v>
      </c>
      <c r="D10" s="23">
        <f>'Story Drift X'!H10/('Story Drift X'!D10*1000)</f>
        <v>1.318866797900263E-2</v>
      </c>
      <c r="E10" s="24">
        <f t="shared" si="0"/>
        <v>0.02</v>
      </c>
      <c r="F10" s="16" t="str">
        <f t="shared" si="1"/>
        <v>Safe</v>
      </c>
      <c r="I10" s="23" t="str">
        <f>IF('Story Drift X'!R10="","",'Story Drift X'!S10/('Story Drift X'!O10*1000))</f>
        <v/>
      </c>
      <c r="J10" s="24">
        <f t="shared" si="2"/>
        <v>0.02</v>
      </c>
      <c r="K10" s="16" t="str">
        <f t="shared" si="3"/>
        <v/>
      </c>
    </row>
    <row r="11" spans="1:11">
      <c r="A11" s="17" t="str">
        <f>IF('Story Drift X'!B11="","",('Story Drift X'!B11))</f>
        <v>Story3</v>
      </c>
      <c r="B11" s="21">
        <f>IF('Story Drift X'!D11="","",'Story Drift X'!D11)</f>
        <v>3.048</v>
      </c>
      <c r="D11" s="23">
        <f>'Story Drift X'!H11/('Story Drift X'!D11*1000)</f>
        <v>1.2731070866141728E-2</v>
      </c>
      <c r="E11" s="24">
        <f t="shared" si="0"/>
        <v>0.02</v>
      </c>
      <c r="F11" s="16" t="str">
        <f t="shared" si="1"/>
        <v>Safe</v>
      </c>
      <c r="I11" s="23" t="str">
        <f>IF('Story Drift X'!R11="","",'Story Drift X'!S11/('Story Drift X'!O11*1000))</f>
        <v/>
      </c>
      <c r="J11" s="24">
        <f t="shared" si="2"/>
        <v>0.02</v>
      </c>
      <c r="K11" s="16" t="str">
        <f t="shared" si="3"/>
        <v/>
      </c>
    </row>
    <row r="12" spans="1:11">
      <c r="A12" s="17" t="str">
        <f>IF('Story Drift X'!B12="","",('Story Drift X'!B12))</f>
        <v>Story2</v>
      </c>
      <c r="B12" s="21">
        <f>IF('Story Drift X'!D12="","",'Story Drift X'!D12)</f>
        <v>3.048</v>
      </c>
      <c r="D12" s="23">
        <f>'Story Drift X'!H12/('Story Drift X'!D12*1000)</f>
        <v>1.1318249343832021E-2</v>
      </c>
      <c r="E12" s="24">
        <f t="shared" si="0"/>
        <v>0.02</v>
      </c>
      <c r="F12" s="16" t="str">
        <f t="shared" si="1"/>
        <v>Safe</v>
      </c>
      <c r="I12" s="23" t="str">
        <f>IF('Story Drift X'!R12="","",'Story Drift X'!S12/('Story Drift X'!O12*1000))</f>
        <v/>
      </c>
      <c r="J12" s="24">
        <f t="shared" si="2"/>
        <v>0.02</v>
      </c>
      <c r="K12" s="16" t="str">
        <f t="shared" si="3"/>
        <v/>
      </c>
    </row>
    <row r="13" spans="1:11">
      <c r="A13" s="17" t="str">
        <f>IF('Story Drift X'!B13="","",('Story Drift X'!B13))</f>
        <v>Story1</v>
      </c>
      <c r="B13" s="21">
        <f>IF('Story Drift X'!D13="","",'Story Drift X'!D13)</f>
        <v>3.3527999999999998</v>
      </c>
      <c r="D13" s="23">
        <f>'Story Drift X'!H13/('Story Drift X'!D13*1000)</f>
        <v>-2.3779675196850393E-3</v>
      </c>
      <c r="E13" s="24">
        <f t="shared" si="0"/>
        <v>0.02</v>
      </c>
      <c r="F13" s="16" t="str">
        <f t="shared" si="1"/>
        <v>Safe</v>
      </c>
      <c r="I13" s="23" t="str">
        <f>IF('Story Drift X'!R13="","",'Story Drift X'!S13/('Story Drift X'!O13*1000))</f>
        <v/>
      </c>
      <c r="J13" s="24">
        <f t="shared" si="2"/>
        <v>0.02</v>
      </c>
      <c r="K13" s="16" t="str">
        <f t="shared" si="3"/>
        <v/>
      </c>
    </row>
    <row r="14" spans="1:11">
      <c r="A14" s="17" t="str">
        <f>IF('Story Drift X'!B14="","",('Story Drift X'!B14))</f>
        <v>GB</v>
      </c>
      <c r="B14" s="21">
        <f>IF('Story Drift X'!D14="","",'Story Drift X'!D14)</f>
        <v>1.524</v>
      </c>
      <c r="D14" s="23" t="e">
        <f>'Story Drift X'!H14/('Story Drift X'!D14*1000)</f>
        <v>#VALUE!</v>
      </c>
      <c r="E14" s="24">
        <f t="shared" si="0"/>
        <v>0.02</v>
      </c>
      <c r="F14" s="16" t="e">
        <f t="shared" si="1"/>
        <v>#VALUE!</v>
      </c>
      <c r="I14" s="23" t="str">
        <f>IF('Story Drift X'!R14="","",'Story Drift X'!S14/('Story Drift X'!O14*1000))</f>
        <v/>
      </c>
      <c r="J14" s="24">
        <f t="shared" si="2"/>
        <v>0.02</v>
      </c>
      <c r="K14" s="16" t="str">
        <f t="shared" si="3"/>
        <v/>
      </c>
    </row>
    <row r="15" spans="1:11">
      <c r="A15" s="17" t="str">
        <f>IF('Story Drift X'!B15="","",('Story Drift X'!B15))</f>
        <v/>
      </c>
      <c r="B15" s="21" t="str">
        <f>IF('Story Drift X'!D15="","",'Story Drift X'!D15)</f>
        <v/>
      </c>
      <c r="D15" s="23" t="e">
        <f>'Story Drift X'!H15/('Story Drift X'!D15*1000)</f>
        <v>#VALUE!</v>
      </c>
      <c r="E15" s="24">
        <f t="shared" si="0"/>
        <v>0.02</v>
      </c>
      <c r="F15" s="16" t="e">
        <f t="shared" si="1"/>
        <v>#VALUE!</v>
      </c>
      <c r="I15" s="23" t="str">
        <f>IF('Story Drift X'!R15="","",'Story Drift X'!S15/('Story Drift X'!O15*1000))</f>
        <v/>
      </c>
      <c r="J15" s="24">
        <f t="shared" si="2"/>
        <v>0.02</v>
      </c>
      <c r="K15" s="16" t="str">
        <f t="shared" si="3"/>
        <v/>
      </c>
    </row>
    <row r="16" spans="1:11">
      <c r="A16" s="17" t="str">
        <f>IF('Story Drift X'!B16="","",('Story Drift X'!B16))</f>
        <v/>
      </c>
      <c r="B16" s="21" t="str">
        <f>IF('Story Drift X'!D16="","",'Story Drift X'!D16)</f>
        <v/>
      </c>
      <c r="D16" s="23" t="e">
        <f>'Story Drift X'!H16/('Story Drift X'!D16*1000)</f>
        <v>#VALUE!</v>
      </c>
      <c r="E16" s="24">
        <f t="shared" si="0"/>
        <v>0.02</v>
      </c>
      <c r="F16" s="16" t="e">
        <f t="shared" si="1"/>
        <v>#VALUE!</v>
      </c>
      <c r="I16" s="23" t="str">
        <f>IF('Story Drift X'!R16="","",'Story Drift X'!S16/('Story Drift X'!O16*1000))</f>
        <v/>
      </c>
      <c r="J16" s="24">
        <f t="shared" si="2"/>
        <v>0.02</v>
      </c>
      <c r="K16" s="16" t="str">
        <f t="shared" si="3"/>
        <v/>
      </c>
    </row>
    <row r="17" spans="1:11">
      <c r="A17" s="17" t="str">
        <f>IF('Story Drift X'!B17="","",('Story Drift X'!B17))</f>
        <v/>
      </c>
      <c r="B17" s="21" t="str">
        <f>IF('Story Drift X'!D17="","",'Story Drift X'!D17)</f>
        <v/>
      </c>
      <c r="D17" s="23" t="e">
        <f>'Story Drift X'!H17/('Story Drift X'!D17*1000)</f>
        <v>#VALUE!</v>
      </c>
      <c r="E17" s="24">
        <f t="shared" si="0"/>
        <v>0.02</v>
      </c>
      <c r="F17" s="16" t="e">
        <f t="shared" si="1"/>
        <v>#VALUE!</v>
      </c>
      <c r="I17" s="23" t="str">
        <f>IF('Story Drift X'!R17="","",'Story Drift X'!S17/('Story Drift X'!O17*1000))</f>
        <v/>
      </c>
      <c r="J17" s="24">
        <f t="shared" si="2"/>
        <v>0.02</v>
      </c>
      <c r="K17" s="16" t="str">
        <f t="shared" si="3"/>
        <v/>
      </c>
    </row>
    <row r="18" spans="1:11">
      <c r="A18" s="17" t="str">
        <f>IF('Story Drift X'!B18="","",('Story Drift X'!B18))</f>
        <v/>
      </c>
      <c r="B18" s="21" t="str">
        <f>IF('Story Drift X'!D18="","",'Story Drift X'!D18)</f>
        <v/>
      </c>
      <c r="D18" s="23" t="e">
        <f>'Story Drift X'!H18/('Story Drift X'!D18*1000)</f>
        <v>#VALUE!</v>
      </c>
      <c r="E18" s="24">
        <f t="shared" si="0"/>
        <v>0.02</v>
      </c>
      <c r="F18" s="16" t="e">
        <f t="shared" si="1"/>
        <v>#VALUE!</v>
      </c>
      <c r="I18" s="23" t="str">
        <f>IF('Story Drift X'!R18="","",'Story Drift X'!S18/('Story Drift X'!O18*1000))</f>
        <v/>
      </c>
      <c r="J18" s="24">
        <f t="shared" si="2"/>
        <v>0.02</v>
      </c>
      <c r="K18" s="16" t="str">
        <f t="shared" si="3"/>
        <v/>
      </c>
    </row>
    <row r="19" spans="1:11">
      <c r="A19" s="17" t="str">
        <f>IF('Story Drift X'!B19="","",('Story Drift X'!B19))</f>
        <v/>
      </c>
      <c r="B19" s="21" t="str">
        <f>IF('Story Drift X'!D19="","",'Story Drift X'!D19)</f>
        <v/>
      </c>
      <c r="D19" s="23" t="e">
        <f>'Story Drift X'!H19/('Story Drift X'!D19*1000)</f>
        <v>#VALUE!</v>
      </c>
      <c r="E19" s="24">
        <f t="shared" si="0"/>
        <v>0.02</v>
      </c>
      <c r="F19" s="16" t="e">
        <f t="shared" si="1"/>
        <v>#VALUE!</v>
      </c>
      <c r="I19" s="23" t="str">
        <f>IF('Story Drift X'!R19="","",'Story Drift X'!S19/('Story Drift X'!O19*1000))</f>
        <v/>
      </c>
      <c r="J19" s="24">
        <f t="shared" si="2"/>
        <v>0.02</v>
      </c>
      <c r="K19" s="16" t="str">
        <f t="shared" si="3"/>
        <v/>
      </c>
    </row>
    <row r="20" spans="1:11">
      <c r="A20" s="17" t="str">
        <f>IF('Story Drift X'!B20="","",('Story Drift X'!B20))</f>
        <v/>
      </c>
      <c r="B20" s="21" t="str">
        <f>IF('Story Drift X'!D20="","",'Story Drift X'!D20)</f>
        <v/>
      </c>
      <c r="D20" s="23" t="e">
        <f>'Story Drift X'!H20/('Story Drift X'!D20*1000)</f>
        <v>#VALUE!</v>
      </c>
      <c r="E20" s="24">
        <f t="shared" si="0"/>
        <v>0.02</v>
      </c>
      <c r="F20" s="16" t="e">
        <f t="shared" si="1"/>
        <v>#VALUE!</v>
      </c>
      <c r="I20" s="23" t="str">
        <f>IF('Story Drift X'!R20="","",'Story Drift X'!S20/('Story Drift X'!O20*1000))</f>
        <v/>
      </c>
      <c r="J20" s="24">
        <f t="shared" si="2"/>
        <v>0.02</v>
      </c>
      <c r="K20" s="16" t="str">
        <f t="shared" si="3"/>
        <v/>
      </c>
    </row>
    <row r="21" spans="1:11">
      <c r="A21" s="17" t="str">
        <f>IF('Story Drift X'!B21="","",('Story Drift X'!B21))</f>
        <v/>
      </c>
      <c r="B21" s="21" t="str">
        <f>IF('Story Drift X'!D21="","",'Story Drift X'!D21)</f>
        <v/>
      </c>
      <c r="D21" s="23" t="e">
        <f>'Story Drift X'!H21/('Story Drift X'!D21*1000)</f>
        <v>#VALUE!</v>
      </c>
      <c r="E21" s="24">
        <f t="shared" si="0"/>
        <v>0.02</v>
      </c>
      <c r="F21" s="16" t="e">
        <f t="shared" si="1"/>
        <v>#VALUE!</v>
      </c>
      <c r="I21" s="23" t="str">
        <f>IF('Story Drift X'!R21="","",'Story Drift X'!S21/('Story Drift X'!O21*1000))</f>
        <v/>
      </c>
      <c r="J21" s="24">
        <f t="shared" si="2"/>
        <v>0.02</v>
      </c>
      <c r="K21" s="16" t="str">
        <f t="shared" si="3"/>
        <v/>
      </c>
    </row>
    <row r="22" spans="1:11">
      <c r="A22" s="17" t="str">
        <f>IF('Story Drift X'!B22="","",('Story Drift X'!B22))</f>
        <v/>
      </c>
      <c r="B22" s="21" t="str">
        <f>IF('Story Drift X'!D22="","",'Story Drift X'!D22)</f>
        <v/>
      </c>
      <c r="D22" s="23" t="e">
        <f>'Story Drift X'!H22/('Story Drift X'!D22*1000)</f>
        <v>#VALUE!</v>
      </c>
      <c r="E22" s="24">
        <f t="shared" si="0"/>
        <v>0.02</v>
      </c>
      <c r="F22" s="16" t="e">
        <f t="shared" si="1"/>
        <v>#VALUE!</v>
      </c>
      <c r="I22" s="23" t="str">
        <f>IF('Story Drift X'!R22="","",'Story Drift X'!S22/('Story Drift X'!O22*1000))</f>
        <v/>
      </c>
      <c r="J22" s="24">
        <f t="shared" si="2"/>
        <v>0.02</v>
      </c>
      <c r="K22" s="16" t="str">
        <f t="shared" si="3"/>
        <v/>
      </c>
    </row>
    <row r="23" spans="1:11">
      <c r="A23" s="17" t="str">
        <f>IF('Story Drift X'!B23="","",('Story Drift X'!B23))</f>
        <v/>
      </c>
      <c r="B23" s="21" t="str">
        <f>IF('Story Drift X'!D23="","",'Story Drift X'!D23)</f>
        <v/>
      </c>
      <c r="D23" s="23" t="e">
        <f>'Story Drift X'!H23/('Story Drift X'!D23*1000)</f>
        <v>#VALUE!</v>
      </c>
      <c r="E23" s="24">
        <f t="shared" si="0"/>
        <v>0.02</v>
      </c>
      <c r="F23" s="16" t="e">
        <f t="shared" si="1"/>
        <v>#VALUE!</v>
      </c>
      <c r="I23" s="23" t="str">
        <f>IF('Story Drift X'!R23="","",'Story Drift X'!S23/('Story Drift X'!O23*1000))</f>
        <v/>
      </c>
      <c r="J23" s="24">
        <f t="shared" si="2"/>
        <v>0.02</v>
      </c>
      <c r="K23" s="16" t="str">
        <f t="shared" si="3"/>
        <v/>
      </c>
    </row>
    <row r="24" spans="1:11">
      <c r="A24" s="17" t="str">
        <f>IF('Story Drift X'!B24="","",('Story Drift X'!B24))</f>
        <v/>
      </c>
      <c r="B24" s="21" t="str">
        <f>IF('Story Drift X'!D24="","",'Story Drift X'!D24)</f>
        <v/>
      </c>
      <c r="D24" s="23" t="e">
        <f>'Story Drift X'!H24/('Story Drift X'!D24*1000)</f>
        <v>#VALUE!</v>
      </c>
      <c r="E24" s="24">
        <f t="shared" si="0"/>
        <v>0.02</v>
      </c>
      <c r="F24" s="16" t="e">
        <f t="shared" si="1"/>
        <v>#VALUE!</v>
      </c>
      <c r="I24" s="23" t="str">
        <f>IF('Story Drift X'!R24="","",'Story Drift X'!S24/('Story Drift X'!O24*1000))</f>
        <v/>
      </c>
      <c r="J24" s="24">
        <f t="shared" si="2"/>
        <v>0.02</v>
      </c>
      <c r="K24" s="16" t="str">
        <f t="shared" si="3"/>
        <v/>
      </c>
    </row>
    <row r="25" spans="1:11">
      <c r="A25" s="17" t="str">
        <f>IF('Story Drift X'!B25="","",('Story Drift X'!B25))</f>
        <v/>
      </c>
      <c r="B25" s="21" t="str">
        <f>IF('Story Drift X'!D25="","",'Story Drift X'!D25)</f>
        <v/>
      </c>
      <c r="D25" s="23" t="e">
        <f>'Story Drift X'!H25/('Story Drift X'!D25*1000)</f>
        <v>#VALUE!</v>
      </c>
      <c r="E25" s="24">
        <f t="shared" si="0"/>
        <v>0.02</v>
      </c>
      <c r="F25" s="16" t="e">
        <f t="shared" si="1"/>
        <v>#VALUE!</v>
      </c>
      <c r="I25" s="23" t="str">
        <f>IF('Story Drift X'!R25="","",'Story Drift X'!S25/('Story Drift X'!O25*1000))</f>
        <v/>
      </c>
      <c r="J25" s="24">
        <f t="shared" si="2"/>
        <v>0.02</v>
      </c>
      <c r="K25" s="16" t="str">
        <f t="shared" si="3"/>
        <v/>
      </c>
    </row>
    <row r="26" spans="1:11">
      <c r="A26" s="17" t="str">
        <f>IF('Story Drift X'!B26="","",('Story Drift X'!B26))</f>
        <v/>
      </c>
      <c r="B26" s="21" t="str">
        <f>IF('Story Drift X'!D26="","",'Story Drift X'!D26)</f>
        <v/>
      </c>
      <c r="D26" s="23" t="e">
        <f>'Story Drift X'!H26/('Story Drift X'!D26*1000)</f>
        <v>#VALUE!</v>
      </c>
      <c r="E26" s="24">
        <f t="shared" si="0"/>
        <v>0.02</v>
      </c>
      <c r="F26" s="16" t="e">
        <f t="shared" si="1"/>
        <v>#VALUE!</v>
      </c>
      <c r="I26" s="23" t="str">
        <f>IF('Story Drift X'!R26="","",'Story Drift X'!S26/('Story Drift X'!O26*1000))</f>
        <v/>
      </c>
      <c r="J26" s="24">
        <f t="shared" si="2"/>
        <v>0.02</v>
      </c>
      <c r="K26" s="16" t="str">
        <f t="shared" si="3"/>
        <v/>
      </c>
    </row>
    <row r="27" spans="1:11">
      <c r="A27" s="17" t="str">
        <f>IF('Story Drift X'!B27="","",('Story Drift X'!B27))</f>
        <v/>
      </c>
      <c r="B27" s="21" t="str">
        <f>IF('Story Drift X'!D27="","",'Story Drift X'!D27)</f>
        <v/>
      </c>
      <c r="D27" s="23" t="e">
        <f>'Story Drift X'!H27/('Story Drift X'!D27*1000)</f>
        <v>#VALUE!</v>
      </c>
      <c r="E27" s="24">
        <f t="shared" si="0"/>
        <v>0.02</v>
      </c>
      <c r="F27" s="16" t="e">
        <f t="shared" si="1"/>
        <v>#VALUE!</v>
      </c>
      <c r="I27" s="23" t="str">
        <f>IF('Story Drift X'!R27="","",'Story Drift X'!S27/('Story Drift X'!O27*1000))</f>
        <v/>
      </c>
      <c r="J27" s="24">
        <f t="shared" si="2"/>
        <v>0.02</v>
      </c>
      <c r="K27" s="16" t="str">
        <f t="shared" si="3"/>
        <v/>
      </c>
    </row>
    <row r="28" spans="1:11">
      <c r="A28" s="17" t="str">
        <f>IF('Story Drift X'!B28="","",('Story Drift X'!B28))</f>
        <v/>
      </c>
      <c r="B28" s="21" t="str">
        <f>IF('Story Drift X'!D28="","",'Story Drift X'!D28)</f>
        <v/>
      </c>
      <c r="D28" s="23" t="e">
        <f>'Story Drift X'!H28/('Story Drift X'!D28*1000)</f>
        <v>#VALUE!</v>
      </c>
      <c r="E28" s="24">
        <f t="shared" si="0"/>
        <v>0.02</v>
      </c>
      <c r="F28" s="16" t="e">
        <f t="shared" si="1"/>
        <v>#VALUE!</v>
      </c>
      <c r="I28" s="23" t="str">
        <f>IF('Story Drift X'!R28="","",'Story Drift X'!S28/('Story Drift X'!O28*1000))</f>
        <v/>
      </c>
      <c r="J28" s="24">
        <f t="shared" si="2"/>
        <v>0.02</v>
      </c>
      <c r="K28" s="16" t="str">
        <f t="shared" si="3"/>
        <v/>
      </c>
    </row>
    <row r="29" spans="1:11">
      <c r="A29" s="17" t="str">
        <f>IF('Story Drift X'!B29="","",('Story Drift X'!B29))</f>
        <v/>
      </c>
      <c r="B29" s="21" t="str">
        <f>IF('Story Drift X'!D29="","",'Story Drift X'!D29)</f>
        <v/>
      </c>
      <c r="D29" s="23" t="e">
        <f>'Story Drift X'!H29/('Story Drift X'!D29*1000)</f>
        <v>#VALUE!</v>
      </c>
      <c r="E29" s="24">
        <f t="shared" si="0"/>
        <v>0.02</v>
      </c>
      <c r="F29" s="16" t="e">
        <f t="shared" si="1"/>
        <v>#VALUE!</v>
      </c>
      <c r="I29" s="23" t="str">
        <f>IF('Story Drift X'!R29="","",'Story Drift X'!S29/('Story Drift X'!O29*1000))</f>
        <v/>
      </c>
      <c r="J29" s="24">
        <f t="shared" si="2"/>
        <v>0.02</v>
      </c>
      <c r="K29" s="16" t="str">
        <f t="shared" si="3"/>
        <v/>
      </c>
    </row>
    <row r="30" spans="1:11">
      <c r="A30" s="17" t="str">
        <f>IF('Story Drift X'!B30="","",('Story Drift X'!B30))</f>
        <v/>
      </c>
      <c r="B30" s="21" t="str">
        <f>IF('Story Drift X'!D30="","",'Story Drift X'!D30)</f>
        <v/>
      </c>
      <c r="D30" s="23" t="e">
        <f>'Story Drift X'!H30/('Story Drift X'!D30*1000)</f>
        <v>#VALUE!</v>
      </c>
      <c r="E30" s="24">
        <f t="shared" si="0"/>
        <v>0.02</v>
      </c>
      <c r="F30" s="16" t="e">
        <f t="shared" si="1"/>
        <v>#VALUE!</v>
      </c>
      <c r="I30" s="23" t="str">
        <f>IF('Story Drift X'!R30="","",'Story Drift X'!S30/('Story Drift X'!O30*1000))</f>
        <v/>
      </c>
      <c r="J30" s="24">
        <f t="shared" si="2"/>
        <v>0.02</v>
      </c>
      <c r="K30" s="16" t="str">
        <f t="shared" si="3"/>
        <v/>
      </c>
    </row>
    <row r="31" spans="1:11">
      <c r="A31" s="17" t="str">
        <f>IF('Story Drift X'!B31="","",('Story Drift X'!B31))</f>
        <v/>
      </c>
      <c r="B31" s="21" t="str">
        <f>IF('Story Drift X'!D31="","",'Story Drift X'!D31)</f>
        <v/>
      </c>
      <c r="D31" s="23" t="e">
        <f>'Story Drift X'!H31/('Story Drift X'!D31*1000)</f>
        <v>#VALUE!</v>
      </c>
      <c r="E31" s="24">
        <f t="shared" si="0"/>
        <v>0.02</v>
      </c>
      <c r="F31" s="16" t="e">
        <f t="shared" si="1"/>
        <v>#VALUE!</v>
      </c>
      <c r="I31" s="23" t="str">
        <f>IF('Story Drift X'!R31="","",'Story Drift X'!S31/('Story Drift X'!O31*1000))</f>
        <v/>
      </c>
      <c r="J31" s="24">
        <f t="shared" si="2"/>
        <v>0.02</v>
      </c>
      <c r="K31" s="16" t="str">
        <f t="shared" si="3"/>
        <v/>
      </c>
    </row>
    <row r="32" spans="1:11">
      <c r="A32" s="17" t="str">
        <f>IF('Story Drift X'!B32="","",('Story Drift X'!B32))</f>
        <v/>
      </c>
      <c r="B32" s="21" t="str">
        <f>IF('Story Drift X'!D32="","",'Story Drift X'!D32)</f>
        <v/>
      </c>
      <c r="D32" s="23" t="e">
        <f>'Story Drift X'!H32/('Story Drift X'!D32*1000)</f>
        <v>#VALUE!</v>
      </c>
      <c r="E32" s="24">
        <f t="shared" si="0"/>
        <v>0.02</v>
      </c>
      <c r="F32" s="16" t="e">
        <f t="shared" si="1"/>
        <v>#VALUE!</v>
      </c>
      <c r="I32" s="23" t="str">
        <f>IF('Story Drift X'!R32="","",'Story Drift X'!S32/('Story Drift X'!O32*1000))</f>
        <v/>
      </c>
      <c r="J32" s="24">
        <f t="shared" si="2"/>
        <v>0.02</v>
      </c>
      <c r="K32" s="16" t="str">
        <f t="shared" si="3"/>
        <v/>
      </c>
    </row>
    <row r="33" spans="1:11">
      <c r="A33" s="17" t="str">
        <f>IF('Story Drift X'!B33="","",('Story Drift X'!B33))</f>
        <v/>
      </c>
      <c r="B33" s="21" t="str">
        <f>IF('Story Drift X'!D33="","",'Story Drift X'!D33)</f>
        <v/>
      </c>
      <c r="D33" s="23" t="e">
        <f>'Story Drift X'!H33/('Story Drift X'!D33*1000)</f>
        <v>#VALUE!</v>
      </c>
      <c r="E33" s="24">
        <f t="shared" si="0"/>
        <v>0.02</v>
      </c>
      <c r="F33" s="16" t="e">
        <f t="shared" si="1"/>
        <v>#VALUE!</v>
      </c>
      <c r="I33" s="23" t="str">
        <f>IF('Story Drift X'!R33="","",'Story Drift X'!S33/('Story Drift X'!O33*1000))</f>
        <v/>
      </c>
      <c r="J33" s="24">
        <f t="shared" si="2"/>
        <v>0.02</v>
      </c>
      <c r="K33" s="16" t="str">
        <f t="shared" si="3"/>
        <v/>
      </c>
    </row>
    <row r="34" spans="1:11">
      <c r="A34" s="17" t="str">
        <f>IF('Story Drift X'!B34="","",('Story Drift X'!B34))</f>
        <v/>
      </c>
      <c r="B34" s="21" t="str">
        <f>IF('Story Drift X'!D34="","",'Story Drift X'!D34)</f>
        <v/>
      </c>
      <c r="D34" s="23" t="e">
        <f>'Story Drift X'!H34/('Story Drift X'!D34*1000)</f>
        <v>#VALUE!</v>
      </c>
      <c r="E34" s="24">
        <f t="shared" si="0"/>
        <v>0.02</v>
      </c>
      <c r="F34" s="16" t="e">
        <f t="shared" si="1"/>
        <v>#VALUE!</v>
      </c>
      <c r="I34" s="23" t="str">
        <f>IF('Story Drift X'!R34="","",'Story Drift X'!S34/('Story Drift X'!O34*1000))</f>
        <v/>
      </c>
      <c r="J34" s="24">
        <f t="shared" si="2"/>
        <v>0.02</v>
      </c>
      <c r="K34" s="16" t="str">
        <f t="shared" si="3"/>
        <v/>
      </c>
    </row>
  </sheetData>
  <mergeCells count="7">
    <mergeCell ref="A1:B1"/>
    <mergeCell ref="D1:G1"/>
    <mergeCell ref="I1:K1"/>
    <mergeCell ref="A3:A4"/>
    <mergeCell ref="B3:B4"/>
    <mergeCell ref="F3:F4"/>
    <mergeCell ref="K3:K4"/>
  </mergeCells>
  <conditionalFormatting sqref="E5:F34">
    <cfRule type="containsText" dxfId="3" priority="2" operator="containsText" text="Unsafe">
      <formula>NOT(ISERROR(SEARCH("Unsafe",E5)))</formula>
    </cfRule>
  </conditionalFormatting>
  <conditionalFormatting sqref="J5:K34">
    <cfRule type="containsText" dxfId="2" priority="1" operator="containsText" text="Unsafe">
      <formula>NOT(ISERROR(SEARCH("Unsafe",J5)))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D5" sqref="D5"/>
    </sheetView>
  </sheetViews>
  <sheetFormatPr defaultRowHeight="16.5"/>
  <cols>
    <col min="1" max="1" width="15.7109375" style="20" customWidth="1"/>
    <col min="2" max="2" width="6.28515625" style="1" customWidth="1"/>
    <col min="3" max="3" width="1.85546875" style="1" customWidth="1"/>
    <col min="4" max="4" width="19.5703125" style="1" bestFit="1" customWidth="1"/>
    <col min="5" max="5" width="12.140625" style="20" bestFit="1" customWidth="1"/>
    <col min="6" max="6" width="10.7109375" style="20" customWidth="1"/>
    <col min="7" max="7" width="10.5703125" customWidth="1"/>
    <col min="9" max="9" width="19.5703125" style="1" bestFit="1" customWidth="1"/>
    <col min="10" max="10" width="12.140625" style="20" bestFit="1" customWidth="1"/>
    <col min="11" max="11" width="10.7109375" style="20" customWidth="1"/>
  </cols>
  <sheetData>
    <row r="1" spans="1:11" ht="47.25" thickBot="1">
      <c r="A1" s="66"/>
      <c r="B1" s="66"/>
      <c r="D1" s="66" t="s">
        <v>13</v>
      </c>
      <c r="E1" s="66"/>
      <c r="F1" s="66"/>
      <c r="G1" s="66"/>
      <c r="I1" s="66" t="s">
        <v>14</v>
      </c>
      <c r="J1" s="66"/>
      <c r="K1" s="66"/>
    </row>
    <row r="2" spans="1:11" ht="32.25" customHeight="1" thickBot="1">
      <c r="A2" s="2"/>
      <c r="B2" s="2"/>
      <c r="C2" s="3"/>
      <c r="D2" s="31" t="s">
        <v>23</v>
      </c>
      <c r="E2" s="22">
        <f>'Story Drift X'!K2</f>
        <v>0.02</v>
      </c>
      <c r="F2" s="32"/>
      <c r="I2" s="31" t="s">
        <v>23</v>
      </c>
      <c r="J2" s="22">
        <f>E2</f>
        <v>0.02</v>
      </c>
      <c r="K2" s="32"/>
    </row>
    <row r="3" spans="1:11" ht="17.25" customHeight="1">
      <c r="A3" s="67" t="s">
        <v>2</v>
      </c>
      <c r="B3" s="62" t="s">
        <v>8</v>
      </c>
      <c r="D3" s="8" t="s">
        <v>15</v>
      </c>
      <c r="E3" s="9" t="s">
        <v>6</v>
      </c>
      <c r="F3" s="71" t="s">
        <v>7</v>
      </c>
      <c r="I3" s="8" t="s">
        <v>15</v>
      </c>
      <c r="J3" s="9" t="s">
        <v>6</v>
      </c>
      <c r="K3" s="71" t="s">
        <v>7</v>
      </c>
    </row>
    <row r="4" spans="1:11" ht="17.25" customHeight="1" thickBot="1">
      <c r="A4" s="68"/>
      <c r="B4" s="63"/>
      <c r="D4" s="10" t="s">
        <v>16</v>
      </c>
      <c r="E4" s="12" t="s">
        <v>12</v>
      </c>
      <c r="F4" s="65"/>
      <c r="I4" s="10" t="s">
        <v>16</v>
      </c>
      <c r="J4" s="12" t="s">
        <v>12</v>
      </c>
      <c r="K4" s="65"/>
    </row>
    <row r="5" spans="1:11">
      <c r="A5" s="17" t="str">
        <f>IF('Story Drift X'!B5="","",('Story Drift X'!B5))</f>
        <v>Story9.TR</v>
      </c>
      <c r="B5" s="21">
        <f>IF('Story Drift X'!D5="","",'Story Drift X'!D5)</f>
        <v>3.048</v>
      </c>
      <c r="D5" s="23" t="e">
        <f>'Story Drift Y'!G5/('Story Drift Y'!C5*1000)</f>
        <v>#VALUE!</v>
      </c>
      <c r="E5" s="24">
        <f>$E$2</f>
        <v>0.02</v>
      </c>
      <c r="F5" s="16" t="e">
        <f>IF(D5="","",IF(D5&lt;=E5,"Safe","Unsafe"))</f>
        <v>#VALUE!</v>
      </c>
      <c r="I5" s="23" t="str">
        <f>IF('Story Drift Y'!Q5="","",'Story Drift Y'!R5/('Story Drift Y'!N5*1000))</f>
        <v/>
      </c>
      <c r="J5" s="24">
        <f>$J$2</f>
        <v>0.02</v>
      </c>
      <c r="K5" s="16" t="str">
        <f>IF(I5="","",IF(I5&lt;=J5,"Safe","Unsafe"))</f>
        <v/>
      </c>
    </row>
    <row r="6" spans="1:11">
      <c r="A6" s="17" t="str">
        <f>IF('Story Drift X'!B6="","",('Story Drift X'!B6))</f>
        <v>Story8.Roof</v>
      </c>
      <c r="B6" s="21">
        <f>IF('Story Drift X'!D6="","",'Story Drift X'!D6)</f>
        <v>3.048</v>
      </c>
      <c r="D6" s="23" t="e">
        <f>'Story Drift Y'!G6/('Story Drift Y'!C6*1000)</f>
        <v>#VALUE!</v>
      </c>
      <c r="E6" s="24">
        <f t="shared" ref="E6:E34" si="0">$E$2</f>
        <v>0.02</v>
      </c>
      <c r="F6" s="16" t="e">
        <f t="shared" ref="F6:F34" si="1">IF(D6="","",IF(D6&lt;=E6,"Safe","Unsafe"))</f>
        <v>#VALUE!</v>
      </c>
      <c r="I6" s="23" t="str">
        <f>IF('Story Drift Y'!Q6="","",'Story Drift Y'!R6/('Story Drift Y'!N6*1000))</f>
        <v/>
      </c>
      <c r="J6" s="24">
        <f t="shared" ref="J6:J33" si="2">$J$2</f>
        <v>0.02</v>
      </c>
      <c r="K6" s="16" t="str">
        <f t="shared" ref="K6:K34" si="3">IF(I6="","",IF(I6&lt;=J6,"Safe","Unsafe"))</f>
        <v/>
      </c>
    </row>
    <row r="7" spans="1:11">
      <c r="A7" s="17" t="str">
        <f>IF('Story Drift X'!B7="","",('Story Drift X'!B7))</f>
        <v>Story7</v>
      </c>
      <c r="B7" s="21">
        <f>IF('Story Drift X'!D7="","",'Story Drift X'!D7)</f>
        <v>3.048</v>
      </c>
      <c r="D7" s="23" t="e">
        <f>'Story Drift Y'!G7/('Story Drift Y'!C7*1000)</f>
        <v>#VALUE!</v>
      </c>
      <c r="E7" s="24">
        <f t="shared" si="0"/>
        <v>0.02</v>
      </c>
      <c r="F7" s="16" t="e">
        <f t="shared" si="1"/>
        <v>#VALUE!</v>
      </c>
      <c r="I7" s="23" t="str">
        <f>IF('Story Drift Y'!Q7="","",'Story Drift Y'!R7/('Story Drift Y'!N7*1000))</f>
        <v/>
      </c>
      <c r="J7" s="24">
        <f t="shared" si="2"/>
        <v>0.02</v>
      </c>
      <c r="K7" s="16" t="str">
        <f t="shared" si="3"/>
        <v/>
      </c>
    </row>
    <row r="8" spans="1:11">
      <c r="A8" s="17" t="str">
        <f>IF('Story Drift X'!B8="","",('Story Drift X'!B8))</f>
        <v>Story6</v>
      </c>
      <c r="B8" s="21">
        <f>IF('Story Drift X'!D8="","",'Story Drift X'!D8)</f>
        <v>3.048</v>
      </c>
      <c r="D8" s="23" t="e">
        <f>'Story Drift Y'!G8/('Story Drift Y'!C8*1000)</f>
        <v>#VALUE!</v>
      </c>
      <c r="E8" s="24">
        <f t="shared" si="0"/>
        <v>0.02</v>
      </c>
      <c r="F8" s="16" t="e">
        <f t="shared" si="1"/>
        <v>#VALUE!</v>
      </c>
      <c r="I8" s="23" t="str">
        <f>IF('Story Drift Y'!Q8="","",'Story Drift Y'!R8/('Story Drift Y'!N8*1000))</f>
        <v/>
      </c>
      <c r="J8" s="24">
        <f t="shared" si="2"/>
        <v>0.02</v>
      </c>
      <c r="K8" s="16" t="str">
        <f t="shared" si="3"/>
        <v/>
      </c>
    </row>
    <row r="9" spans="1:11">
      <c r="A9" s="17" t="str">
        <f>IF('Story Drift X'!B9="","",('Story Drift X'!B9))</f>
        <v>Story5</v>
      </c>
      <c r="B9" s="21">
        <f>IF('Story Drift X'!D9="","",'Story Drift X'!D9)</f>
        <v>3.048</v>
      </c>
      <c r="D9" s="23" t="e">
        <f>'Story Drift Y'!G9/('Story Drift Y'!C9*1000)</f>
        <v>#VALUE!</v>
      </c>
      <c r="E9" s="24">
        <f t="shared" si="0"/>
        <v>0.02</v>
      </c>
      <c r="F9" s="16" t="e">
        <f t="shared" si="1"/>
        <v>#VALUE!</v>
      </c>
      <c r="I9" s="23" t="str">
        <f>IF('Story Drift Y'!Q9="","",'Story Drift Y'!R9/('Story Drift Y'!N9*1000))</f>
        <v/>
      </c>
      <c r="J9" s="24">
        <f t="shared" si="2"/>
        <v>0.02</v>
      </c>
      <c r="K9" s="16" t="str">
        <f t="shared" si="3"/>
        <v/>
      </c>
    </row>
    <row r="10" spans="1:11">
      <c r="A10" s="17" t="str">
        <f>IF('Story Drift X'!B10="","",('Story Drift X'!B10))</f>
        <v>Story4</v>
      </c>
      <c r="B10" s="21">
        <f>IF('Story Drift X'!D10="","",'Story Drift X'!D10)</f>
        <v>3.048</v>
      </c>
      <c r="D10" s="23" t="e">
        <f>'Story Drift Y'!G10/('Story Drift Y'!C10*1000)</f>
        <v>#VALUE!</v>
      </c>
      <c r="E10" s="24">
        <f t="shared" si="0"/>
        <v>0.02</v>
      </c>
      <c r="F10" s="16" t="e">
        <f t="shared" si="1"/>
        <v>#VALUE!</v>
      </c>
      <c r="I10" s="23" t="str">
        <f>IF('Story Drift Y'!Q10="","",'Story Drift Y'!R10/('Story Drift Y'!N10*1000))</f>
        <v/>
      </c>
      <c r="J10" s="24">
        <f t="shared" si="2"/>
        <v>0.02</v>
      </c>
      <c r="K10" s="16" t="str">
        <f t="shared" si="3"/>
        <v/>
      </c>
    </row>
    <row r="11" spans="1:11">
      <c r="A11" s="17" t="str">
        <f>IF('Story Drift X'!B11="","",('Story Drift X'!B11))</f>
        <v>Story3</v>
      </c>
      <c r="B11" s="21">
        <f>IF('Story Drift X'!D11="","",'Story Drift X'!D11)</f>
        <v>3.048</v>
      </c>
      <c r="D11" s="23" t="e">
        <f>'Story Drift Y'!G11/('Story Drift Y'!C11*1000)</f>
        <v>#VALUE!</v>
      </c>
      <c r="E11" s="24">
        <f t="shared" si="0"/>
        <v>0.02</v>
      </c>
      <c r="F11" s="16" t="e">
        <f t="shared" si="1"/>
        <v>#VALUE!</v>
      </c>
      <c r="I11" s="23" t="str">
        <f>IF('Story Drift Y'!Q11="","",'Story Drift Y'!R11/('Story Drift Y'!N11*1000))</f>
        <v/>
      </c>
      <c r="J11" s="24">
        <f t="shared" si="2"/>
        <v>0.02</v>
      </c>
      <c r="K11" s="16" t="str">
        <f t="shared" si="3"/>
        <v/>
      </c>
    </row>
    <row r="12" spans="1:11">
      <c r="A12" s="17" t="str">
        <f>IF('Story Drift X'!B12="","",('Story Drift X'!B12))</f>
        <v>Story2</v>
      </c>
      <c r="B12" s="21">
        <f>IF('Story Drift X'!D12="","",'Story Drift X'!D12)</f>
        <v>3.048</v>
      </c>
      <c r="D12" s="23" t="e">
        <f>'Story Drift Y'!G12/('Story Drift Y'!C12*1000)</f>
        <v>#VALUE!</v>
      </c>
      <c r="E12" s="24">
        <f t="shared" si="0"/>
        <v>0.02</v>
      </c>
      <c r="F12" s="16" t="e">
        <f t="shared" si="1"/>
        <v>#VALUE!</v>
      </c>
      <c r="I12" s="23" t="str">
        <f>IF('Story Drift Y'!Q12="","",'Story Drift Y'!R12/('Story Drift Y'!N12*1000))</f>
        <v/>
      </c>
      <c r="J12" s="24">
        <f t="shared" si="2"/>
        <v>0.02</v>
      </c>
      <c r="K12" s="16" t="str">
        <f t="shared" si="3"/>
        <v/>
      </c>
    </row>
    <row r="13" spans="1:11">
      <c r="A13" s="17" t="str">
        <f>IF('Story Drift X'!B13="","",('Story Drift X'!B13))</f>
        <v>Story1</v>
      </c>
      <c r="B13" s="21">
        <f>IF('Story Drift X'!D13="","",'Story Drift X'!D13)</f>
        <v>3.3527999999999998</v>
      </c>
      <c r="D13" s="23" t="e">
        <f>'Story Drift Y'!G13/('Story Drift Y'!C13*1000)</f>
        <v>#VALUE!</v>
      </c>
      <c r="E13" s="24">
        <f t="shared" si="0"/>
        <v>0.02</v>
      </c>
      <c r="F13" s="16" t="e">
        <f t="shared" si="1"/>
        <v>#VALUE!</v>
      </c>
      <c r="I13" s="23" t="str">
        <f>IF('Story Drift Y'!Q13="","",'Story Drift Y'!R13/('Story Drift Y'!N13*1000))</f>
        <v/>
      </c>
      <c r="J13" s="24">
        <f t="shared" si="2"/>
        <v>0.02</v>
      </c>
      <c r="K13" s="16" t="str">
        <f t="shared" si="3"/>
        <v/>
      </c>
    </row>
    <row r="14" spans="1:11">
      <c r="A14" s="17" t="str">
        <f>IF('Story Drift X'!B14="","",('Story Drift X'!B14))</f>
        <v>GB</v>
      </c>
      <c r="B14" s="21">
        <f>IF('Story Drift X'!D14="","",'Story Drift X'!D14)</f>
        <v>1.524</v>
      </c>
      <c r="D14" s="23" t="e">
        <f>'Story Drift Y'!G14/('Story Drift Y'!C14*1000)</f>
        <v>#VALUE!</v>
      </c>
      <c r="E14" s="24">
        <f t="shared" si="0"/>
        <v>0.02</v>
      </c>
      <c r="F14" s="16" t="e">
        <f t="shared" si="1"/>
        <v>#VALUE!</v>
      </c>
      <c r="I14" s="23" t="str">
        <f>IF('Story Drift Y'!Q14="","",'Story Drift Y'!R14/('Story Drift Y'!N14*1000))</f>
        <v/>
      </c>
      <c r="J14" s="24">
        <f t="shared" si="2"/>
        <v>0.02</v>
      </c>
      <c r="K14" s="16" t="str">
        <f t="shared" si="3"/>
        <v/>
      </c>
    </row>
    <row r="15" spans="1:11">
      <c r="A15" s="17" t="str">
        <f>IF('Story Drift X'!B15="","",('Story Drift X'!B15))</f>
        <v/>
      </c>
      <c r="B15" s="21" t="str">
        <f>IF('Story Drift X'!D15="","",'Story Drift X'!D15)</f>
        <v/>
      </c>
      <c r="D15" s="23" t="e">
        <f>'Story Drift Y'!G15/('Story Drift Y'!C15*1000)</f>
        <v>#VALUE!</v>
      </c>
      <c r="E15" s="24">
        <f t="shared" si="0"/>
        <v>0.02</v>
      </c>
      <c r="F15" s="16" t="e">
        <f t="shared" si="1"/>
        <v>#VALUE!</v>
      </c>
      <c r="I15" s="23" t="str">
        <f>IF('Story Drift Y'!Q15="","",'Story Drift Y'!R15/('Story Drift Y'!N15*1000))</f>
        <v/>
      </c>
      <c r="J15" s="24">
        <f t="shared" si="2"/>
        <v>0.02</v>
      </c>
      <c r="K15" s="16" t="str">
        <f t="shared" si="3"/>
        <v/>
      </c>
    </row>
    <row r="16" spans="1:11">
      <c r="A16" s="17" t="str">
        <f>IF('Story Drift X'!B16="","",('Story Drift X'!B16))</f>
        <v/>
      </c>
      <c r="B16" s="21" t="str">
        <f>IF('Story Drift X'!D16="","",'Story Drift X'!D16)</f>
        <v/>
      </c>
      <c r="D16" s="23" t="e">
        <f>'Story Drift Y'!G16/('Story Drift Y'!C16*1000)</f>
        <v>#VALUE!</v>
      </c>
      <c r="E16" s="24">
        <f t="shared" si="0"/>
        <v>0.02</v>
      </c>
      <c r="F16" s="16" t="e">
        <f t="shared" si="1"/>
        <v>#VALUE!</v>
      </c>
      <c r="I16" s="23" t="str">
        <f>IF('Story Drift Y'!Q16="","",'Story Drift Y'!R16/('Story Drift Y'!N16*1000))</f>
        <v/>
      </c>
      <c r="J16" s="24">
        <f t="shared" si="2"/>
        <v>0.02</v>
      </c>
      <c r="K16" s="16" t="str">
        <f t="shared" si="3"/>
        <v/>
      </c>
    </row>
    <row r="17" spans="1:11">
      <c r="A17" s="17" t="str">
        <f>IF('Story Drift X'!B17="","",('Story Drift X'!B17))</f>
        <v/>
      </c>
      <c r="B17" s="21" t="str">
        <f>IF('Story Drift X'!D17="","",'Story Drift X'!D17)</f>
        <v/>
      </c>
      <c r="D17" s="23" t="e">
        <f>'Story Drift Y'!G17/('Story Drift Y'!C17*1000)</f>
        <v>#VALUE!</v>
      </c>
      <c r="E17" s="24">
        <f t="shared" si="0"/>
        <v>0.02</v>
      </c>
      <c r="F17" s="16" t="e">
        <f t="shared" si="1"/>
        <v>#VALUE!</v>
      </c>
      <c r="I17" s="23" t="str">
        <f>IF('Story Drift Y'!Q17="","",'Story Drift Y'!R17/('Story Drift Y'!N17*1000))</f>
        <v/>
      </c>
      <c r="J17" s="24">
        <f t="shared" si="2"/>
        <v>0.02</v>
      </c>
      <c r="K17" s="16" t="str">
        <f t="shared" si="3"/>
        <v/>
      </c>
    </row>
    <row r="18" spans="1:11">
      <c r="A18" s="17" t="str">
        <f>IF('Story Drift X'!B18="","",('Story Drift X'!B18))</f>
        <v/>
      </c>
      <c r="B18" s="21" t="str">
        <f>IF('Story Drift X'!D18="","",'Story Drift X'!D18)</f>
        <v/>
      </c>
      <c r="D18" s="23" t="e">
        <f>'Story Drift Y'!G18/('Story Drift Y'!C18*1000)</f>
        <v>#VALUE!</v>
      </c>
      <c r="E18" s="24">
        <f t="shared" si="0"/>
        <v>0.02</v>
      </c>
      <c r="F18" s="16" t="e">
        <f t="shared" si="1"/>
        <v>#VALUE!</v>
      </c>
      <c r="I18" s="23" t="str">
        <f>IF('Story Drift Y'!Q18="","",'Story Drift Y'!R18/('Story Drift Y'!N18*1000))</f>
        <v/>
      </c>
      <c r="J18" s="24">
        <f t="shared" si="2"/>
        <v>0.02</v>
      </c>
      <c r="K18" s="16" t="str">
        <f t="shared" si="3"/>
        <v/>
      </c>
    </row>
    <row r="19" spans="1:11">
      <c r="A19" s="17" t="str">
        <f>IF('Story Drift X'!B19="","",('Story Drift X'!B19))</f>
        <v/>
      </c>
      <c r="B19" s="21" t="str">
        <f>IF('Story Drift X'!D19="","",'Story Drift X'!D19)</f>
        <v/>
      </c>
      <c r="D19" s="23" t="e">
        <f>'Story Drift Y'!G19/('Story Drift Y'!C19*1000)</f>
        <v>#VALUE!</v>
      </c>
      <c r="E19" s="24">
        <f t="shared" si="0"/>
        <v>0.02</v>
      </c>
      <c r="F19" s="16" t="e">
        <f t="shared" si="1"/>
        <v>#VALUE!</v>
      </c>
      <c r="I19" s="23" t="str">
        <f>IF('Story Drift Y'!Q19="","",'Story Drift Y'!R19/('Story Drift Y'!N19*1000))</f>
        <v/>
      </c>
      <c r="J19" s="24">
        <f t="shared" si="2"/>
        <v>0.02</v>
      </c>
      <c r="K19" s="16" t="str">
        <f t="shared" si="3"/>
        <v/>
      </c>
    </row>
    <row r="20" spans="1:11">
      <c r="A20" s="17" t="str">
        <f>IF('Story Drift X'!B20="","",('Story Drift X'!B20))</f>
        <v/>
      </c>
      <c r="B20" s="21" t="str">
        <f>IF('Story Drift X'!D20="","",'Story Drift X'!D20)</f>
        <v/>
      </c>
      <c r="D20" s="23" t="e">
        <f>'Story Drift Y'!G20/('Story Drift Y'!C20*1000)</f>
        <v>#VALUE!</v>
      </c>
      <c r="E20" s="24">
        <f t="shared" si="0"/>
        <v>0.02</v>
      </c>
      <c r="F20" s="16" t="e">
        <f t="shared" si="1"/>
        <v>#VALUE!</v>
      </c>
      <c r="I20" s="23" t="str">
        <f>IF('Story Drift Y'!Q20="","",'Story Drift Y'!R20/('Story Drift Y'!N20*1000))</f>
        <v/>
      </c>
      <c r="J20" s="24">
        <f t="shared" si="2"/>
        <v>0.02</v>
      </c>
      <c r="K20" s="16" t="str">
        <f t="shared" si="3"/>
        <v/>
      </c>
    </row>
    <row r="21" spans="1:11">
      <c r="A21" s="17" t="str">
        <f>IF('Story Drift X'!B21="","",('Story Drift X'!B21))</f>
        <v/>
      </c>
      <c r="B21" s="21" t="str">
        <f>IF('Story Drift X'!D21="","",'Story Drift X'!D21)</f>
        <v/>
      </c>
      <c r="D21" s="23" t="e">
        <f>'Story Drift Y'!G21/('Story Drift Y'!C21*1000)</f>
        <v>#VALUE!</v>
      </c>
      <c r="E21" s="24">
        <f t="shared" si="0"/>
        <v>0.02</v>
      </c>
      <c r="F21" s="16" t="e">
        <f t="shared" si="1"/>
        <v>#VALUE!</v>
      </c>
      <c r="I21" s="23" t="str">
        <f>IF('Story Drift Y'!Q21="","",'Story Drift Y'!R21/('Story Drift Y'!N21*1000))</f>
        <v/>
      </c>
      <c r="J21" s="24">
        <f t="shared" si="2"/>
        <v>0.02</v>
      </c>
      <c r="K21" s="16" t="str">
        <f t="shared" si="3"/>
        <v/>
      </c>
    </row>
    <row r="22" spans="1:11">
      <c r="A22" s="17" t="str">
        <f>IF('Story Drift X'!B22="","",('Story Drift X'!B22))</f>
        <v/>
      </c>
      <c r="B22" s="21" t="str">
        <f>IF('Story Drift X'!D22="","",'Story Drift X'!D22)</f>
        <v/>
      </c>
      <c r="D22" s="23" t="e">
        <f>'Story Drift Y'!G22/('Story Drift Y'!C22*1000)</f>
        <v>#VALUE!</v>
      </c>
      <c r="E22" s="24">
        <f t="shared" si="0"/>
        <v>0.02</v>
      </c>
      <c r="F22" s="16" t="e">
        <f t="shared" si="1"/>
        <v>#VALUE!</v>
      </c>
      <c r="I22" s="23" t="str">
        <f>IF('Story Drift Y'!Q22="","",'Story Drift Y'!R22/('Story Drift Y'!N22*1000))</f>
        <v/>
      </c>
      <c r="J22" s="24">
        <f t="shared" si="2"/>
        <v>0.02</v>
      </c>
      <c r="K22" s="16" t="str">
        <f t="shared" si="3"/>
        <v/>
      </c>
    </row>
    <row r="23" spans="1:11">
      <c r="A23" s="17" t="str">
        <f>IF('Story Drift X'!B23="","",('Story Drift X'!B23))</f>
        <v/>
      </c>
      <c r="B23" s="21" t="str">
        <f>IF('Story Drift X'!D23="","",'Story Drift X'!D23)</f>
        <v/>
      </c>
      <c r="D23" s="23" t="e">
        <f>'Story Drift Y'!G23/('Story Drift Y'!C23*1000)</f>
        <v>#VALUE!</v>
      </c>
      <c r="E23" s="24">
        <f t="shared" si="0"/>
        <v>0.02</v>
      </c>
      <c r="F23" s="16" t="e">
        <f t="shared" si="1"/>
        <v>#VALUE!</v>
      </c>
      <c r="I23" s="23" t="str">
        <f>IF('Story Drift Y'!Q23="","",'Story Drift Y'!R23/('Story Drift Y'!N23*1000))</f>
        <v/>
      </c>
      <c r="J23" s="24">
        <f t="shared" si="2"/>
        <v>0.02</v>
      </c>
      <c r="K23" s="16" t="str">
        <f t="shared" si="3"/>
        <v/>
      </c>
    </row>
    <row r="24" spans="1:11">
      <c r="A24" s="17" t="str">
        <f>IF('Story Drift X'!B24="","",('Story Drift X'!B24))</f>
        <v/>
      </c>
      <c r="B24" s="21" t="str">
        <f>IF('Story Drift X'!D24="","",'Story Drift X'!D24)</f>
        <v/>
      </c>
      <c r="D24" s="23" t="e">
        <f>'Story Drift Y'!G24/('Story Drift Y'!C24*1000)</f>
        <v>#VALUE!</v>
      </c>
      <c r="E24" s="24">
        <f t="shared" si="0"/>
        <v>0.02</v>
      </c>
      <c r="F24" s="16" t="e">
        <f t="shared" si="1"/>
        <v>#VALUE!</v>
      </c>
      <c r="I24" s="23" t="str">
        <f>IF('Story Drift Y'!Q24="","",'Story Drift Y'!R24/('Story Drift Y'!N24*1000))</f>
        <v/>
      </c>
      <c r="J24" s="24">
        <f t="shared" si="2"/>
        <v>0.02</v>
      </c>
      <c r="K24" s="16" t="str">
        <f t="shared" si="3"/>
        <v/>
      </c>
    </row>
    <row r="25" spans="1:11">
      <c r="A25" s="17" t="str">
        <f>IF('Story Drift X'!B25="","",('Story Drift X'!B25))</f>
        <v/>
      </c>
      <c r="B25" s="21" t="str">
        <f>IF('Story Drift X'!D25="","",'Story Drift X'!D25)</f>
        <v/>
      </c>
      <c r="D25" s="23" t="e">
        <f>'Story Drift Y'!G25/('Story Drift Y'!C25*1000)</f>
        <v>#VALUE!</v>
      </c>
      <c r="E25" s="24">
        <f t="shared" si="0"/>
        <v>0.02</v>
      </c>
      <c r="F25" s="16" t="e">
        <f t="shared" si="1"/>
        <v>#VALUE!</v>
      </c>
      <c r="I25" s="23" t="str">
        <f>IF('Story Drift Y'!Q25="","",'Story Drift Y'!R25/('Story Drift Y'!N25*1000))</f>
        <v/>
      </c>
      <c r="J25" s="24">
        <f t="shared" si="2"/>
        <v>0.02</v>
      </c>
      <c r="K25" s="16" t="str">
        <f t="shared" si="3"/>
        <v/>
      </c>
    </row>
    <row r="26" spans="1:11">
      <c r="A26" s="17" t="str">
        <f>IF('Story Drift X'!B26="","",('Story Drift X'!B26))</f>
        <v/>
      </c>
      <c r="B26" s="21" t="str">
        <f>IF('Story Drift X'!D26="","",'Story Drift X'!D26)</f>
        <v/>
      </c>
      <c r="D26" s="23" t="e">
        <f>'Story Drift Y'!G26/('Story Drift Y'!C26*1000)</f>
        <v>#VALUE!</v>
      </c>
      <c r="E26" s="24">
        <f t="shared" si="0"/>
        <v>0.02</v>
      </c>
      <c r="F26" s="16" t="e">
        <f t="shared" si="1"/>
        <v>#VALUE!</v>
      </c>
      <c r="I26" s="23" t="str">
        <f>IF('Story Drift Y'!Q26="","",'Story Drift Y'!R26/('Story Drift Y'!N26*1000))</f>
        <v/>
      </c>
      <c r="J26" s="24">
        <f t="shared" si="2"/>
        <v>0.02</v>
      </c>
      <c r="K26" s="16" t="str">
        <f t="shared" si="3"/>
        <v/>
      </c>
    </row>
    <row r="27" spans="1:11">
      <c r="A27" s="17" t="str">
        <f>IF('Story Drift X'!B27="","",('Story Drift X'!B27))</f>
        <v/>
      </c>
      <c r="B27" s="21" t="str">
        <f>IF('Story Drift X'!D27="","",'Story Drift X'!D27)</f>
        <v/>
      </c>
      <c r="D27" s="23" t="e">
        <f>'Story Drift Y'!G27/('Story Drift Y'!C27*1000)</f>
        <v>#VALUE!</v>
      </c>
      <c r="E27" s="24">
        <f t="shared" si="0"/>
        <v>0.02</v>
      </c>
      <c r="F27" s="16" t="e">
        <f t="shared" si="1"/>
        <v>#VALUE!</v>
      </c>
      <c r="I27" s="23" t="str">
        <f>IF('Story Drift Y'!Q27="","",'Story Drift Y'!R27/('Story Drift Y'!N27*1000))</f>
        <v/>
      </c>
      <c r="J27" s="24">
        <f t="shared" si="2"/>
        <v>0.02</v>
      </c>
      <c r="K27" s="16" t="str">
        <f t="shared" si="3"/>
        <v/>
      </c>
    </row>
    <row r="28" spans="1:11">
      <c r="A28" s="17" t="str">
        <f>IF('Story Drift X'!B28="","",('Story Drift X'!B28))</f>
        <v/>
      </c>
      <c r="B28" s="21" t="str">
        <f>IF('Story Drift X'!D28="","",'Story Drift X'!D28)</f>
        <v/>
      </c>
      <c r="D28" s="23" t="e">
        <f>'Story Drift Y'!G28/('Story Drift Y'!C28*1000)</f>
        <v>#VALUE!</v>
      </c>
      <c r="E28" s="24">
        <f t="shared" si="0"/>
        <v>0.02</v>
      </c>
      <c r="F28" s="16" t="e">
        <f t="shared" si="1"/>
        <v>#VALUE!</v>
      </c>
      <c r="I28" s="23" t="str">
        <f>IF('Story Drift Y'!Q28="","",'Story Drift Y'!R28/('Story Drift Y'!N28*1000))</f>
        <v/>
      </c>
      <c r="J28" s="24">
        <f t="shared" si="2"/>
        <v>0.02</v>
      </c>
      <c r="K28" s="16" t="str">
        <f t="shared" si="3"/>
        <v/>
      </c>
    </row>
    <row r="29" spans="1:11">
      <c r="A29" s="17" t="str">
        <f>IF('Story Drift X'!B29="","",('Story Drift X'!B29))</f>
        <v/>
      </c>
      <c r="B29" s="21" t="str">
        <f>IF('Story Drift X'!D29="","",'Story Drift X'!D29)</f>
        <v/>
      </c>
      <c r="D29" s="23" t="e">
        <f>'Story Drift Y'!G29/('Story Drift Y'!C29*1000)</f>
        <v>#VALUE!</v>
      </c>
      <c r="E29" s="24">
        <f t="shared" si="0"/>
        <v>0.02</v>
      </c>
      <c r="F29" s="16" t="e">
        <f t="shared" si="1"/>
        <v>#VALUE!</v>
      </c>
      <c r="I29" s="23" t="str">
        <f>IF('Story Drift Y'!Q29="","",'Story Drift Y'!R29/('Story Drift Y'!N29*1000))</f>
        <v/>
      </c>
      <c r="J29" s="24">
        <f t="shared" si="2"/>
        <v>0.02</v>
      </c>
      <c r="K29" s="16" t="str">
        <f t="shared" si="3"/>
        <v/>
      </c>
    </row>
    <row r="30" spans="1:11">
      <c r="A30" s="17" t="str">
        <f>IF('Story Drift X'!B30="","",('Story Drift X'!B30))</f>
        <v/>
      </c>
      <c r="B30" s="21" t="str">
        <f>IF('Story Drift X'!D30="","",'Story Drift X'!D30)</f>
        <v/>
      </c>
      <c r="D30" s="23" t="e">
        <f>'Story Drift Y'!G30/('Story Drift Y'!C30*1000)</f>
        <v>#VALUE!</v>
      </c>
      <c r="E30" s="24">
        <f t="shared" si="0"/>
        <v>0.02</v>
      </c>
      <c r="F30" s="16" t="e">
        <f t="shared" si="1"/>
        <v>#VALUE!</v>
      </c>
      <c r="I30" s="23" t="str">
        <f>IF('Story Drift Y'!Q30="","",'Story Drift Y'!R30/('Story Drift Y'!N30*1000))</f>
        <v/>
      </c>
      <c r="J30" s="24">
        <f t="shared" si="2"/>
        <v>0.02</v>
      </c>
      <c r="K30" s="16" t="str">
        <f t="shared" si="3"/>
        <v/>
      </c>
    </row>
    <row r="31" spans="1:11">
      <c r="A31" s="17" t="str">
        <f>IF('Story Drift X'!B31="","",('Story Drift X'!B31))</f>
        <v/>
      </c>
      <c r="B31" s="21" t="str">
        <f>IF('Story Drift X'!D31="","",'Story Drift X'!D31)</f>
        <v/>
      </c>
      <c r="D31" s="23" t="e">
        <f>'Story Drift Y'!G31/('Story Drift Y'!C31*1000)</f>
        <v>#VALUE!</v>
      </c>
      <c r="E31" s="24">
        <f t="shared" si="0"/>
        <v>0.02</v>
      </c>
      <c r="F31" s="16" t="e">
        <f t="shared" si="1"/>
        <v>#VALUE!</v>
      </c>
      <c r="I31" s="23" t="str">
        <f>IF('Story Drift Y'!Q31="","",'Story Drift Y'!R31/('Story Drift Y'!N31*1000))</f>
        <v/>
      </c>
      <c r="J31" s="24">
        <f t="shared" si="2"/>
        <v>0.02</v>
      </c>
      <c r="K31" s="16" t="str">
        <f t="shared" si="3"/>
        <v/>
      </c>
    </row>
    <row r="32" spans="1:11">
      <c r="A32" s="17" t="str">
        <f>IF('Story Drift X'!B32="","",('Story Drift X'!B32))</f>
        <v/>
      </c>
      <c r="B32" s="21" t="str">
        <f>IF('Story Drift X'!D32="","",'Story Drift X'!D32)</f>
        <v/>
      </c>
      <c r="D32" s="23" t="e">
        <f>'Story Drift Y'!G32/('Story Drift Y'!C32*1000)</f>
        <v>#VALUE!</v>
      </c>
      <c r="E32" s="24">
        <f t="shared" si="0"/>
        <v>0.02</v>
      </c>
      <c r="F32" s="16" t="e">
        <f t="shared" si="1"/>
        <v>#VALUE!</v>
      </c>
      <c r="I32" s="23" t="str">
        <f>IF('Story Drift Y'!Q32="","",'Story Drift Y'!R32/('Story Drift Y'!N32*1000))</f>
        <v/>
      </c>
      <c r="J32" s="24">
        <f t="shared" si="2"/>
        <v>0.02</v>
      </c>
      <c r="K32" s="16" t="str">
        <f t="shared" si="3"/>
        <v/>
      </c>
    </row>
    <row r="33" spans="1:11">
      <c r="A33" s="17" t="str">
        <f>IF('Story Drift X'!B33="","",('Story Drift X'!B33))</f>
        <v/>
      </c>
      <c r="B33" s="21" t="str">
        <f>IF('Story Drift X'!D33="","",'Story Drift X'!D33)</f>
        <v/>
      </c>
      <c r="D33" s="23" t="e">
        <f>'Story Drift Y'!G33/('Story Drift Y'!C33*1000)</f>
        <v>#VALUE!</v>
      </c>
      <c r="E33" s="24">
        <f t="shared" si="0"/>
        <v>0.02</v>
      </c>
      <c r="F33" s="16" t="e">
        <f t="shared" si="1"/>
        <v>#VALUE!</v>
      </c>
      <c r="I33" s="23" t="str">
        <f>IF('Story Drift Y'!Q33="","",'Story Drift Y'!R33/('Story Drift Y'!N33*1000))</f>
        <v/>
      </c>
      <c r="J33" s="24">
        <f t="shared" si="2"/>
        <v>0.02</v>
      </c>
      <c r="K33" s="16" t="str">
        <f t="shared" si="3"/>
        <v/>
      </c>
    </row>
    <row r="34" spans="1:11">
      <c r="A34" s="17" t="str">
        <f>IF('Story Drift X'!B34="","",('Story Drift X'!B34))</f>
        <v/>
      </c>
      <c r="B34" s="21" t="str">
        <f>IF('Story Drift X'!D34="","",'Story Drift X'!D34)</f>
        <v/>
      </c>
      <c r="D34" s="23" t="e">
        <f>'Story Drift Y'!G34/('Story Drift Y'!C34*1000)</f>
        <v>#VALUE!</v>
      </c>
      <c r="E34" s="24">
        <f t="shared" si="0"/>
        <v>0.02</v>
      </c>
      <c r="F34" s="16" t="e">
        <f t="shared" si="1"/>
        <v>#VALUE!</v>
      </c>
      <c r="I34" s="23" t="str">
        <f>IF('Story Drift Y'!Q34="","",'Story Drift Y'!R34/('Story Drift Y'!N34*1000))</f>
        <v/>
      </c>
      <c r="J34" s="24">
        <f>$J$2</f>
        <v>0.02</v>
      </c>
      <c r="K34" s="16" t="str">
        <f t="shared" si="3"/>
        <v/>
      </c>
    </row>
  </sheetData>
  <mergeCells count="7">
    <mergeCell ref="A1:B1"/>
    <mergeCell ref="D1:G1"/>
    <mergeCell ref="I1:K1"/>
    <mergeCell ref="A3:A4"/>
    <mergeCell ref="B3:B4"/>
    <mergeCell ref="F3:F4"/>
    <mergeCell ref="K3:K4"/>
  </mergeCells>
  <conditionalFormatting sqref="E5:F34">
    <cfRule type="containsText" dxfId="1" priority="2" operator="containsText" text="Unsafe">
      <formula>NOT(ISERROR(SEARCH("Unsafe",E5)))</formula>
    </cfRule>
  </conditionalFormatting>
  <conditionalFormatting sqref="J5:K34">
    <cfRule type="containsText" dxfId="0" priority="1" operator="containsText" text="Unsafe">
      <formula>NOT(ISERROR(SEARCH("Unsafe",J5)))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Video &amp; Instruction </vt:lpstr>
      <vt:lpstr>Story Drift X</vt:lpstr>
      <vt:lpstr>Story Drift Y</vt:lpstr>
      <vt:lpstr>Drift Ratio X</vt:lpstr>
      <vt:lpstr>Drift Ratio 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</dc:creator>
  <cp:lastModifiedBy>SM Hedaetullah</cp:lastModifiedBy>
  <dcterms:created xsi:type="dcterms:W3CDTF">2019-08-15T08:13:21Z</dcterms:created>
  <dcterms:modified xsi:type="dcterms:W3CDTF">2025-07-10T16:41:57Z</dcterms:modified>
</cp:coreProperties>
</file>