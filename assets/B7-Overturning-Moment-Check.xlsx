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BUILDING DESIGN PARAMETERS\All Excel file\B. Building Check file\"/>
    </mc:Choice>
  </mc:AlternateContent>
  <bookViews>
    <workbookView xWindow="0" yWindow="0" windowWidth="28800" windowHeight="12180" activeTab="1"/>
  </bookViews>
  <sheets>
    <sheet name="Video &amp; Instruction " sheetId="3" r:id="rId1"/>
    <sheet name="OTM" sheetId="1" r:id="rId2"/>
    <sheet name="Sheet2" sheetId="4" r:id="rId3"/>
    <sheet name="Sheet1" sheetId="2" state="hidden" r:id="rId4"/>
  </sheets>
  <externalReferences>
    <externalReference r:id="rId5"/>
  </externalReferences>
  <definedNames>
    <definedName name="framesystem">[1]Sheet3!$B$39:$B$45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4" l="1"/>
  <c r="E55" i="2" l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2" i="2"/>
  <c r="C1" i="2"/>
  <c r="D9" i="1"/>
  <c r="F9" i="1" s="1"/>
  <c r="F25" i="1"/>
  <c r="F26" i="1"/>
  <c r="F27" i="1"/>
  <c r="F28" i="1"/>
  <c r="F29" i="1"/>
  <c r="F30" i="1"/>
  <c r="F46" i="1"/>
  <c r="F47" i="1"/>
  <c r="F48" i="1"/>
  <c r="D28" i="1"/>
  <c r="D29" i="1" s="1"/>
  <c r="D30" i="1" s="1"/>
  <c r="D46" i="1" s="1"/>
  <c r="D47" i="1" s="1"/>
  <c r="M85" i="1"/>
  <c r="D10" i="1" l="1"/>
  <c r="F55" i="1"/>
  <c r="E49" i="1"/>
  <c r="D11" i="1" l="1"/>
  <c r="F10" i="1"/>
  <c r="D12" i="1" l="1"/>
  <c r="F11" i="1"/>
  <c r="D13" i="1" l="1"/>
  <c r="F12" i="1"/>
  <c r="D14" i="1" l="1"/>
  <c r="F13" i="1"/>
  <c r="D15" i="1" l="1"/>
  <c r="F14" i="1"/>
  <c r="D16" i="1" l="1"/>
  <c r="F15" i="1"/>
  <c r="D17" i="1" l="1"/>
  <c r="F16" i="1"/>
  <c r="D18" i="1" l="1"/>
  <c r="F17" i="1"/>
  <c r="D19" i="1" l="1"/>
  <c r="F18" i="1"/>
  <c r="D20" i="1" l="1"/>
  <c r="F19" i="1"/>
  <c r="D21" i="1" l="1"/>
  <c r="F20" i="1"/>
  <c r="D22" i="1" l="1"/>
  <c r="F21" i="1"/>
  <c r="D23" i="1" l="1"/>
  <c r="F22" i="1"/>
  <c r="D24" i="1" l="1"/>
  <c r="F24" i="1" s="1"/>
  <c r="F23" i="1"/>
  <c r="F49" i="1" l="1"/>
  <c r="F57" i="1" s="1"/>
  <c r="I57" i="1" l="1"/>
  <c r="G57" i="1"/>
</calcChain>
</file>

<file path=xl/sharedStrings.xml><?xml version="1.0" encoding="utf-8"?>
<sst xmlns="http://schemas.openxmlformats.org/spreadsheetml/2006/main" count="44" uniqueCount="44">
  <si>
    <t>Level</t>
  </si>
  <si>
    <t>Overturning Moment</t>
  </si>
  <si>
    <t>Building Weight/Sum of all DL=</t>
  </si>
  <si>
    <t>Resisting Moment =</t>
  </si>
  <si>
    <t>Safety Factor =</t>
  </si>
  <si>
    <t>Story Ht</t>
  </si>
  <si>
    <t>Elevation</t>
  </si>
  <si>
    <t>This is the Poperty of qLearnify</t>
  </si>
  <si>
    <t>Support us And stay connected</t>
  </si>
  <si>
    <t>This file is only for edicational Perpose. Pls don't misuse it.</t>
  </si>
  <si>
    <t>This are Manageing By Engr. Hedaetullah And N.J. Disha
 (B.Sc. In Civil Engineering)</t>
  </si>
  <si>
    <t>Story Force/Shear 
(Vx/Vy)</t>
  </si>
  <si>
    <t>Load Case in X/Y-Direction</t>
  </si>
  <si>
    <t>Distance of Mass Center Along X/Y-direction=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</si>
  <si>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</si>
  <si>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</si>
  <si>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</si>
  <si>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</si>
  <si>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</si>
  <si>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</si>
  <si>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</si>
  <si>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</si>
  <si>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</si>
  <si>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</si>
  <si>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</si>
  <si>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</si>
  <si>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</si>
  <si>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</si>
  <si>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</si>
  <si>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</si>
  <si>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</si>
  <si>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</si>
  <si>
    <t>GF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</si>
  <si>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</si>
  <si>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</si>
  <si>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</si>
  <si>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</si>
  <si>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</si>
  <si>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</si>
  <si>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</si>
  <si>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</si>
  <si>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Story9.Roof</t>
  </si>
  <si>
    <t>Story910.TR</t>
  </si>
  <si>
    <t>Story911.MR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</si>
</sst>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Base Shear=&quot;\ 0"/>
    <numFmt numFmtId="165" formatCode="&quot;Total OM=&quot;\ 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  <font>
      <b/>
      <sz val="11"/>
      <color rgb="FFFF0000"/>
      <name val="Century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Century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entury"/>
      <family val="1"/>
    </font>
    <font>
      <sz val="26"/>
      <color theme="1"/>
      <name val="Calibri"/>
      <family val="2"/>
      <scheme val="minor"/>
    </font>
    <font>
      <sz val="22"/>
      <color rgb="FF7030A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auto="1"/>
      </patternFill>
    </fill>
    <fill>
      <patternFill patternType="solid">
        <fgColor theme="4" tint="0.59999389629810485"/>
        <bgColor auto="1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8" fillId="0" borderId="0" xfId="0" applyFont="1" applyAlignment="1" applyProtection="1">
      <alignment horizontal="center" vertical="center"/>
      <protection locked="0" hidden="1"/>
    </xf>
    <xf numFmtId="0" fontId="7" fillId="0" borderId="0" xfId="0" applyFont="1" applyAlignment="1" applyProtection="1">
      <alignment vertical="center" wrapText="1"/>
      <protection locked="0" hidden="1"/>
    </xf>
    <xf numFmtId="0" fontId="6" fillId="0" borderId="0" xfId="0" applyFont="1" applyAlignment="1" applyProtection="1">
      <alignment horizontal="center" vertical="center" wrapText="1"/>
      <protection locked="0" hidden="1"/>
    </xf>
    <xf numFmtId="0" fontId="4" fillId="7" borderId="1" xfId="0" applyFont="1" applyFill="1" applyBorder="1" applyAlignment="1" applyProtection="1">
      <alignment horizontal="center" vertical="center"/>
      <protection locked="0" hidden="1"/>
    </xf>
    <xf numFmtId="0" fontId="4" fillId="7" borderId="1" xfId="0" applyFont="1" applyFill="1" applyBorder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1" fillId="2" borderId="1" xfId="0" applyFont="1" applyFill="1" applyBorder="1" applyAlignment="1" applyProtection="1">
      <alignment horizontal="center" vertical="center"/>
      <protection locked="0" hidden="1"/>
    </xf>
    <xf numFmtId="164" fontId="1" fillId="0" borderId="1" xfId="0" applyNumberFormat="1" applyFont="1" applyBorder="1" applyAlignment="1" applyProtection="1">
      <alignment horizontal="center" vertical="center"/>
      <protection locked="0" hidden="1"/>
    </xf>
    <xf numFmtId="165" fontId="1" fillId="0" borderId="1" xfId="0" applyNumberFormat="1" applyFont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center" vertical="center"/>
      <protection locked="0" hidden="1"/>
    </xf>
    <xf numFmtId="2" fontId="2" fillId="0" borderId="1" xfId="0" applyNumberFormat="1" applyFont="1" applyBorder="1" applyAlignment="1" applyProtection="1">
      <alignment horizontal="center" vertical="center"/>
      <protection locked="0" hidden="1"/>
    </xf>
    <xf numFmtId="0" fontId="3" fillId="0" borderId="1" xfId="0" applyFont="1" applyBorder="1" applyAlignment="1" applyProtection="1">
      <alignment horizontal="center" vertical="center"/>
      <protection locked="0" hidden="1"/>
    </xf>
    <xf numFmtId="0" fontId="0" fillId="0" borderId="5" xfId="0" applyBorder="1" applyAlignment="1" applyProtection="1">
      <alignment horizontal="center"/>
      <protection locked="0" hidden="1"/>
    </xf>
    <xf numFmtId="0" fontId="15" fillId="0" borderId="0" xfId="0" applyFont="1" applyProtection="1"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2" fillId="0" borderId="0" xfId="1" applyAlignment="1" applyProtection="1">
      <alignment horizontal="left"/>
      <protection hidden="1"/>
    </xf>
    <xf numFmtId="0" fontId="0" fillId="0" borderId="0" xfId="0" applyAlignment="1" applyProtection="1">
      <alignment horizontal="right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9" fillId="3" borderId="0" xfId="0" applyFont="1" applyFill="1" applyAlignment="1" applyProtection="1">
      <alignment horizontal="center"/>
      <protection hidden="1"/>
    </xf>
    <xf numFmtId="0" fontId="10" fillId="4" borderId="0" xfId="0" applyFont="1" applyFill="1" applyAlignment="1" applyProtection="1">
      <alignment horizontal="center" wrapText="1"/>
      <protection hidden="1"/>
    </xf>
    <xf numFmtId="0" fontId="11" fillId="5" borderId="0" xfId="0" applyFont="1" applyFill="1" applyAlignment="1" applyProtection="1">
      <alignment horizontal="center"/>
      <protection hidden="1"/>
    </xf>
    <xf numFmtId="0" fontId="0" fillId="5" borderId="0" xfId="0" applyFill="1" applyAlignment="1" applyProtection="1">
      <alignment horizontal="center"/>
      <protection hidden="1"/>
    </xf>
    <xf numFmtId="0" fontId="1" fillId="0" borderId="0" xfId="0" applyFont="1" applyAlignment="1" applyProtection="1">
      <alignment horizontal="left" vertical="center"/>
      <protection locked="0" hidden="1"/>
    </xf>
    <xf numFmtId="0" fontId="1" fillId="0" borderId="1" xfId="0" applyFont="1" applyBorder="1" applyAlignment="1" applyProtection="1">
      <alignment horizontal="left" vertical="center"/>
      <protection locked="0" hidden="1"/>
    </xf>
    <xf numFmtId="0" fontId="5" fillId="6" borderId="2" xfId="0" applyFont="1" applyFill="1" applyBorder="1" applyAlignment="1" applyProtection="1">
      <alignment horizontal="center" vertical="center"/>
      <protection locked="0" hidden="1"/>
    </xf>
    <xf numFmtId="0" fontId="5" fillId="6" borderId="3" xfId="0" applyFont="1" applyFill="1" applyBorder="1" applyAlignment="1" applyProtection="1">
      <alignment horizontal="center" vertical="center"/>
      <protection locked="0" hidden="1"/>
    </xf>
    <xf numFmtId="0" fontId="5" fillId="6" borderId="4" xfId="0" applyFont="1" applyFill="1" applyBorder="1" applyAlignment="1" applyProtection="1">
      <alignment horizontal="center" vertical="center"/>
      <protection locked="0" hidden="1"/>
    </xf>
    <xf numFmtId="0" fontId="1" fillId="0" borderId="1" xfId="0" applyFont="1" applyBorder="1" applyAlignment="1" applyProtection="1">
      <alignment horizontal="left" vertical="center" wrapText="1"/>
      <protection locked="0" hidden="1"/>
    </xf>
  </cellXfs>
  <cellStyles count="2">
    <cellStyle name="Hyperlink" xfId="1" builtinId="8"/>
    <cellStyle name="Normal" xfId="0" builtinId="0"/>
  </cellStyles>
  <dxfs count="6">
    <dxf>
      <fill>
        <patternFill>
          <bgColor rgb="FF00E266"/>
        </patternFill>
      </fill>
    </dxf>
    <dxf>
      <fill>
        <patternFill>
          <bgColor rgb="FFFFFF9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gradientFill degree="90">
          <stop position="0">
            <color theme="9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rgb="FFFF0000"/>
          </stop>
          <stop position="1">
            <color theme="5" tint="0.40000610370189521"/>
          </stop>
        </gradientFill>
      </fill>
    </dxf>
  </dxfs>
  <tableStyles count="0" defaultTableStyle="TableStyleMedium2" defaultPivotStyle="PivotStyleLight16"/>
  <colors>
    <mruColors>
      <color rgb="FF5ACFF4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2DB556-5418-4DF8-9321-FA27CE810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CD2270A0-F4CB-4348-8F8A-CBDC66CC421C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247650</xdr:colOff>
      <xdr:row>6</xdr:row>
      <xdr:rowOff>38100</xdr:rowOff>
    </xdr:from>
    <xdr:to>
      <xdr:col>22</xdr:col>
      <xdr:colOff>142875</xdr:colOff>
      <xdr:row>28</xdr:row>
      <xdr:rowOff>142875</xdr:rowOff>
    </xdr:to>
    <xdr:pic>
      <xdr:nvPicPr>
        <xdr:cNvPr id="2" name="Picture 1" descr="Overturning Moment Conditions">
          <a:extLst>
            <a:ext uri="{FF2B5EF4-FFF2-40B4-BE49-F238E27FC236}">
              <a16:creationId xmlns:a16="http://schemas.microsoft.com/office/drawing/2014/main" id="{E48CAC60-7A65-02F9-D571-8262575C9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2095500"/>
          <a:ext cx="4772025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285749</xdr:colOff>
      <xdr:row>5</xdr:row>
      <xdr:rowOff>180975</xdr:rowOff>
    </xdr:from>
    <xdr:to>
      <xdr:col>14</xdr:col>
      <xdr:colOff>47624</xdr:colOff>
      <xdr:row>15</xdr:row>
      <xdr:rowOff>76200</xdr:rowOff>
    </xdr:to>
    <xdr:pic>
      <xdr:nvPicPr>
        <xdr:cNvPr id="3" name="Picture 2" descr="Overturning and stabilizing moment. | Download Scientific Diagram">
          <a:extLst>
            <a:ext uri="{FF2B5EF4-FFF2-40B4-BE49-F238E27FC236}">
              <a16:creationId xmlns:a16="http://schemas.microsoft.com/office/drawing/2014/main" id="{B45F6694-3BCA-B1CD-9FD3-AD2D7C1BD3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5" r="17176"/>
        <a:stretch/>
      </xdr:blipFill>
      <xdr:spPr bwMode="auto">
        <a:xfrm>
          <a:off x="5924549" y="2038350"/>
          <a:ext cx="5229225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B24" sqref="B24:J27"/>
    </sheetView>
  </sheetViews>
  <sheetFormatPr defaultRowHeight="15" x14ac:dyDescent="0.25"/>
  <cols>
    <col min="1" max="1" width="9.140625" style="1" customWidth="1"/>
    <col min="2" max="16384" width="9.140625" style="1"/>
  </cols>
  <sheetData>
    <row r="14" spans="2:10" ht="15" customHeight="1" x14ac:dyDescent="0.25">
      <c r="B14" s="22" t="s">
        <v>14</v>
      </c>
      <c r="C14" s="22"/>
      <c r="D14" s="22"/>
      <c r="E14" s="22"/>
      <c r="F14" s="22"/>
      <c r="G14" s="22"/>
      <c r="H14" s="22"/>
      <c r="I14" s="22"/>
      <c r="J14" s="22"/>
    </row>
    <row r="15" spans="2:10" ht="15" customHeight="1" x14ac:dyDescent="0.25">
      <c r="B15" s="22"/>
      <c r="C15" s="22"/>
      <c r="D15" s="22"/>
      <c r="E15" s="22"/>
      <c r="F15" s="22"/>
      <c r="G15" s="22"/>
      <c r="H15" s="22"/>
      <c r="I15" s="22"/>
      <c r="J15" s="22"/>
    </row>
    <row r="16" spans="2:10" x14ac:dyDescent="0.25">
      <c r="B16" s="22"/>
      <c r="C16" s="22"/>
      <c r="D16" s="22"/>
      <c r="E16" s="22"/>
      <c r="F16" s="22"/>
      <c r="G16" s="22"/>
      <c r="H16" s="22"/>
      <c r="I16" s="22"/>
      <c r="J16" s="22"/>
    </row>
    <row r="17" spans="2:10" x14ac:dyDescent="0.25">
      <c r="C17" s="21" t="s">
        <v>15</v>
      </c>
      <c r="D17" s="21"/>
      <c r="E17" s="20" t="s">
        <v>16</v>
      </c>
      <c r="F17" s="20"/>
      <c r="G17" s="20"/>
      <c r="H17" s="20"/>
      <c r="I17" s="20"/>
      <c r="J17" s="20"/>
    </row>
    <row r="18" spans="2:10" x14ac:dyDescent="0.25">
      <c r="C18" s="21" t="s">
        <v>17</v>
      </c>
      <c r="D18" s="21"/>
      <c r="E18" s="20" t="s">
        <v>18</v>
      </c>
      <c r="F18" s="20"/>
      <c r="G18" s="20"/>
      <c r="H18" s="20"/>
      <c r="I18" s="20"/>
      <c r="J18" s="20"/>
    </row>
    <row r="19" spans="2:10" x14ac:dyDescent="0.25">
      <c r="C19" s="21" t="s">
        <v>19</v>
      </c>
      <c r="D19" s="21"/>
      <c r="E19" s="20" t="s">
        <v>20</v>
      </c>
      <c r="F19" s="20"/>
      <c r="G19" s="20"/>
      <c r="H19" s="20"/>
      <c r="I19" s="20"/>
      <c r="J19" s="20"/>
    </row>
    <row r="20" spans="2:10" x14ac:dyDescent="0.25">
      <c r="C20" s="21" t="s">
        <v>21</v>
      </c>
      <c r="D20" s="21"/>
      <c r="E20" s="20" t="s">
        <v>22</v>
      </c>
      <c r="F20" s="20"/>
      <c r="G20" s="20"/>
      <c r="H20" s="20"/>
      <c r="I20" s="20"/>
      <c r="J20" s="20"/>
    </row>
    <row r="21" spans="2:10" x14ac:dyDescent="0.25">
      <c r="C21" s="21" t="s">
        <v>23</v>
      </c>
      <c r="D21" s="21"/>
      <c r="E21" s="20" t="s">
        <v>24</v>
      </c>
      <c r="F21" s="20"/>
      <c r="G21" s="20"/>
      <c r="H21" s="20"/>
      <c r="I21" s="20"/>
      <c r="J21" s="20"/>
    </row>
    <row r="22" spans="2:10" x14ac:dyDescent="0.25">
      <c r="C22" s="21" t="s">
        <v>25</v>
      </c>
      <c r="D22" s="21"/>
      <c r="E22" s="20" t="s">
        <v>26</v>
      </c>
      <c r="F22" s="20"/>
      <c r="G22" s="20"/>
      <c r="H22" s="20"/>
      <c r="I22" s="20"/>
      <c r="J22" s="20"/>
    </row>
    <row r="24" spans="2:10" ht="15" customHeight="1" x14ac:dyDescent="0.25">
      <c r="B24" s="19" t="s">
        <v>27</v>
      </c>
      <c r="C24" s="19"/>
      <c r="D24" s="19"/>
      <c r="E24" s="19"/>
      <c r="F24" s="19"/>
      <c r="G24" s="19"/>
      <c r="H24" s="19"/>
      <c r="I24" s="19"/>
      <c r="J24" s="19"/>
    </row>
    <row r="25" spans="2:10" ht="15" customHeight="1" x14ac:dyDescent="0.25">
      <c r="B25" s="19"/>
      <c r="C25" s="19"/>
      <c r="D25" s="19"/>
      <c r="E25" s="19"/>
      <c r="F25" s="19"/>
      <c r="G25" s="19"/>
      <c r="H25" s="19"/>
      <c r="I25" s="19"/>
      <c r="J25" s="19"/>
    </row>
    <row r="26" spans="2:10" ht="15" customHeight="1" x14ac:dyDescent="0.25">
      <c r="B26" s="19"/>
      <c r="C26" s="19"/>
      <c r="D26" s="19"/>
      <c r="E26" s="19"/>
      <c r="F26" s="19"/>
      <c r="G26" s="19"/>
      <c r="H26" s="19"/>
      <c r="I26" s="19"/>
      <c r="J26" s="19"/>
    </row>
    <row r="27" spans="2:10" x14ac:dyDescent="0.25">
      <c r="B27" s="19"/>
      <c r="C27" s="19"/>
      <c r="D27" s="19"/>
      <c r="E27" s="19"/>
      <c r="F27" s="19"/>
      <c r="G27" s="19"/>
      <c r="H27" s="19"/>
      <c r="I27" s="19"/>
      <c r="J27" s="19"/>
    </row>
    <row r="34" spans="1:13" ht="15.75" x14ac:dyDescent="0.25">
      <c r="A34" s="18" t="s">
        <v>28</v>
      </c>
      <c r="B34" s="20" t="s">
        <v>29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15.75" x14ac:dyDescent="0.25">
      <c r="A35" s="18"/>
    </row>
    <row r="36" spans="1:13" ht="15.75" x14ac:dyDescent="0.25">
      <c r="A36" s="18" t="s">
        <v>30</v>
      </c>
      <c r="B36" s="20" t="s">
        <v>31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C19:D19"/>
    <mergeCell ref="E19:J19"/>
    <mergeCell ref="B14:J16"/>
    <mergeCell ref="C17:D17"/>
    <mergeCell ref="E17:J17"/>
    <mergeCell ref="C18:D18"/>
    <mergeCell ref="E18:J18"/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85"/>
  <sheetViews>
    <sheetView showGridLines="0" tabSelected="1" workbookViewId="0">
      <selection activeCell="H60" sqref="H60"/>
    </sheetView>
  </sheetViews>
  <sheetFormatPr defaultRowHeight="14.25" x14ac:dyDescent="0.25"/>
  <cols>
    <col min="1" max="1" width="9.140625" style="3"/>
    <col min="2" max="2" width="16.28515625" style="3" bestFit="1" customWidth="1"/>
    <col min="3" max="3" width="10.5703125" style="3" customWidth="1"/>
    <col min="4" max="4" width="13.7109375" style="3" customWidth="1"/>
    <col min="5" max="5" width="19.7109375" style="3" bestFit="1" customWidth="1"/>
    <col min="6" max="6" width="19.42578125" style="3" customWidth="1"/>
    <col min="7" max="7" width="6" style="3" customWidth="1"/>
    <col min="8" max="8" width="7.42578125" style="3" customWidth="1"/>
    <col min="9" max="9" width="9.140625" style="3" customWidth="1"/>
    <col min="10" max="10" width="22.85546875" style="3" customWidth="1"/>
    <col min="11" max="14" width="9.140625" style="4"/>
    <col min="15" max="16384" width="9.140625" style="3"/>
  </cols>
  <sheetData>
    <row r="2" spans="1:13" s="2" customFormat="1" ht="31.5" customHeight="1" x14ac:dyDescent="0.5">
      <c r="A2" s="23" t="s">
        <v>7</v>
      </c>
      <c r="B2" s="23"/>
      <c r="C2" s="23"/>
      <c r="D2" s="23"/>
      <c r="E2" s="23"/>
      <c r="F2" s="23"/>
      <c r="G2" s="23"/>
      <c r="H2" s="23"/>
      <c r="I2" s="23"/>
      <c r="J2" s="23"/>
    </row>
    <row r="3" spans="1:13" s="2" customFormat="1" ht="54.75" customHeight="1" x14ac:dyDescent="0.45">
      <c r="A3" s="24" t="s">
        <v>10</v>
      </c>
      <c r="B3" s="24"/>
      <c r="C3" s="24"/>
      <c r="D3" s="24"/>
      <c r="E3" s="24"/>
      <c r="F3" s="24"/>
      <c r="G3" s="24"/>
      <c r="H3" s="24"/>
      <c r="I3" s="24"/>
      <c r="J3" s="24"/>
    </row>
    <row r="4" spans="1:13" s="2" customFormat="1" ht="20.100000000000001" customHeight="1" x14ac:dyDescent="0.35">
      <c r="A4" s="25" t="s">
        <v>8</v>
      </c>
      <c r="B4" s="25"/>
      <c r="C4" s="25"/>
      <c r="D4" s="25"/>
      <c r="E4" s="25"/>
      <c r="F4" s="25"/>
      <c r="G4" s="25"/>
      <c r="H4" s="25"/>
      <c r="I4" s="25"/>
      <c r="J4" s="25"/>
    </row>
    <row r="5" spans="1:13" s="2" customFormat="1" ht="26.25" customHeight="1" x14ac:dyDescent="0.25">
      <c r="A5" s="26" t="s">
        <v>9</v>
      </c>
      <c r="B5" s="26"/>
      <c r="C5" s="26"/>
      <c r="D5" s="26"/>
      <c r="E5" s="26"/>
      <c r="F5" s="26"/>
      <c r="G5" s="26"/>
      <c r="H5" s="26"/>
      <c r="I5" s="26"/>
      <c r="J5" s="26"/>
    </row>
    <row r="6" spans="1:13" ht="15.75" thickBot="1" x14ac:dyDescent="0.3">
      <c r="L6" s="5"/>
    </row>
    <row r="7" spans="1:13" ht="18.75" thickBot="1" x14ac:dyDescent="0.3">
      <c r="B7" s="29" t="s">
        <v>12</v>
      </c>
      <c r="C7" s="30"/>
      <c r="D7" s="30"/>
      <c r="E7" s="30"/>
      <c r="F7" s="31"/>
      <c r="K7" s="6"/>
      <c r="L7" s="5"/>
    </row>
    <row r="8" spans="1:13" ht="57" thickBot="1" x14ac:dyDescent="0.3">
      <c r="B8" s="7" t="s">
        <v>0</v>
      </c>
      <c r="C8" s="7" t="s">
        <v>5</v>
      </c>
      <c r="D8" s="8" t="s">
        <v>6</v>
      </c>
      <c r="E8" s="8" t="s">
        <v>11</v>
      </c>
      <c r="F8" s="8" t="s">
        <v>1</v>
      </c>
      <c r="J8" s="9"/>
      <c r="K8" s="6"/>
      <c r="L8" s="5"/>
    </row>
    <row r="9" spans="1:13" ht="15.75" thickBot="1" x14ac:dyDescent="0.3">
      <c r="B9" s="10" t="s">
        <v>32</v>
      </c>
      <c r="C9" s="10">
        <v>10</v>
      </c>
      <c r="D9" s="11">
        <f>IF(C9=0,"",C9)</f>
        <v>10</v>
      </c>
      <c r="E9" s="10">
        <v>-424.86900000000003</v>
      </c>
      <c r="F9" s="11">
        <f>IF(E9=0,"",(-D9*E9))</f>
        <v>4248.6900000000005</v>
      </c>
      <c r="K9" s="5">
        <v>11</v>
      </c>
      <c r="L9" s="5">
        <v>-21.01400000000001</v>
      </c>
      <c r="M9" s="4">
        <v>350.63900000000001</v>
      </c>
    </row>
    <row r="10" spans="1:13" ht="15.75" thickBot="1" x14ac:dyDescent="0.3">
      <c r="B10" s="10" t="s">
        <v>33</v>
      </c>
      <c r="C10" s="10">
        <v>10</v>
      </c>
      <c r="D10" s="11">
        <f>IF(C10=0,"",(C10+D9))</f>
        <v>20</v>
      </c>
      <c r="E10" s="10">
        <v>-420.53699999999998</v>
      </c>
      <c r="F10" s="11">
        <f t="shared" ref="F10:F48" si="0">IF(E10=0,"",(-D10*E10))</f>
        <v>8410.74</v>
      </c>
      <c r="K10" s="5">
        <v>10</v>
      </c>
      <c r="L10" s="5">
        <v>-22.545999999999992</v>
      </c>
      <c r="M10" s="4">
        <v>448.31900000000002</v>
      </c>
    </row>
    <row r="11" spans="1:13" ht="15.75" thickBot="1" x14ac:dyDescent="0.3">
      <c r="B11" s="10" t="s">
        <v>34</v>
      </c>
      <c r="C11" s="10">
        <v>10</v>
      </c>
      <c r="D11" s="11">
        <f t="shared" ref="D11:D47" si="1">IF(C11=0,"",(C11+D10))</f>
        <v>30</v>
      </c>
      <c r="E11" s="10">
        <v>-409.84500000000003</v>
      </c>
      <c r="F11" s="11">
        <f t="shared" si="0"/>
        <v>12295.35</v>
      </c>
      <c r="K11" s="5">
        <v>9</v>
      </c>
      <c r="L11" s="5">
        <v>-25.673000000000002</v>
      </c>
      <c r="M11" s="4">
        <v>424.62900000000002</v>
      </c>
    </row>
    <row r="12" spans="1:13" ht="15.75" thickBot="1" x14ac:dyDescent="0.3">
      <c r="B12" s="10" t="s">
        <v>35</v>
      </c>
      <c r="C12" s="10">
        <v>10</v>
      </c>
      <c r="D12" s="11">
        <f t="shared" si="1"/>
        <v>40</v>
      </c>
      <c r="E12" s="10">
        <v>-391.46499999999997</v>
      </c>
      <c r="F12" s="11">
        <f t="shared" si="0"/>
        <v>15658.599999999999</v>
      </c>
      <c r="K12" s="5">
        <v>8</v>
      </c>
      <c r="L12" s="5">
        <v>-28.477000000000004</v>
      </c>
      <c r="M12" s="4">
        <v>398.29199999999997</v>
      </c>
    </row>
    <row r="13" spans="1:13" ht="15.75" thickBot="1" x14ac:dyDescent="0.3">
      <c r="B13" s="10" t="s">
        <v>36</v>
      </c>
      <c r="C13" s="10">
        <v>10</v>
      </c>
      <c r="D13" s="11">
        <f t="shared" si="1"/>
        <v>50</v>
      </c>
      <c r="E13" s="10">
        <v>-364.47199999999998</v>
      </c>
      <c r="F13" s="11">
        <f t="shared" si="0"/>
        <v>18223.599999999999</v>
      </c>
      <c r="K13" s="5">
        <v>7</v>
      </c>
      <c r="L13" s="5">
        <v>-29.478999999999985</v>
      </c>
      <c r="M13" s="4">
        <v>405.13400000000001</v>
      </c>
    </row>
    <row r="14" spans="1:13" ht="15.75" thickBot="1" x14ac:dyDescent="0.3">
      <c r="B14" s="10" t="s">
        <v>37</v>
      </c>
      <c r="C14" s="10">
        <v>10</v>
      </c>
      <c r="D14" s="11">
        <f t="shared" si="1"/>
        <v>60</v>
      </c>
      <c r="E14" s="10">
        <v>-328.10300000000001</v>
      </c>
      <c r="F14" s="11">
        <f t="shared" si="0"/>
        <v>19686.18</v>
      </c>
      <c r="K14" s="5">
        <v>6</v>
      </c>
      <c r="L14" s="5">
        <v>-31.316000000000003</v>
      </c>
      <c r="M14" s="4">
        <v>256.28300000000002</v>
      </c>
    </row>
    <row r="15" spans="1:13" ht="15.75" thickBot="1" x14ac:dyDescent="0.3">
      <c r="B15" s="10" t="s">
        <v>38</v>
      </c>
      <c r="C15" s="10">
        <v>10</v>
      </c>
      <c r="D15" s="11">
        <f t="shared" si="1"/>
        <v>70</v>
      </c>
      <c r="E15" s="10">
        <v>-281.70400000000001</v>
      </c>
      <c r="F15" s="11">
        <f t="shared" si="0"/>
        <v>19719.28</v>
      </c>
      <c r="K15" s="5">
        <v>5</v>
      </c>
      <c r="L15" s="5">
        <v>-32.280000000000015</v>
      </c>
      <c r="M15" s="4">
        <v>557.63099999999997</v>
      </c>
    </row>
    <row r="16" spans="1:13" ht="15.75" thickBot="1" x14ac:dyDescent="0.3">
      <c r="B16" s="10" t="s">
        <v>39</v>
      </c>
      <c r="C16" s="10">
        <v>10</v>
      </c>
      <c r="D16" s="11">
        <f t="shared" si="1"/>
        <v>80</v>
      </c>
      <c r="E16" s="10">
        <v>-224.69300000000001</v>
      </c>
      <c r="F16" s="11">
        <f t="shared" si="0"/>
        <v>17975.440000000002</v>
      </c>
      <c r="K16" s="5">
        <v>4</v>
      </c>
      <c r="L16" s="5">
        <v>-33.946999999999989</v>
      </c>
      <c r="M16" s="4">
        <v>659.01400000000001</v>
      </c>
    </row>
    <row r="17" spans="2:17" ht="15.75" thickBot="1" x14ac:dyDescent="0.3">
      <c r="B17" s="10" t="s">
        <v>40</v>
      </c>
      <c r="C17" s="10">
        <v>10</v>
      </c>
      <c r="D17" s="11">
        <f t="shared" si="1"/>
        <v>90</v>
      </c>
      <c r="E17" s="10">
        <v>-156.54900000000001</v>
      </c>
      <c r="F17" s="11">
        <f t="shared" si="0"/>
        <v>14089.41</v>
      </c>
      <c r="K17" s="5">
        <v>3</v>
      </c>
      <c r="L17" s="5">
        <v>-34.981000000000009</v>
      </c>
      <c r="M17" s="4">
        <v>615.53899999999999</v>
      </c>
    </row>
    <row r="18" spans="2:17" ht="15.75" thickBot="1" x14ac:dyDescent="0.3">
      <c r="B18" s="10" t="s">
        <v>41</v>
      </c>
      <c r="C18" s="10">
        <v>10</v>
      </c>
      <c r="D18" s="11">
        <f t="shared" si="1"/>
        <v>100</v>
      </c>
      <c r="E18" s="10">
        <v>-76.792000000000002</v>
      </c>
      <c r="F18" s="11">
        <f t="shared" si="0"/>
        <v>7679.2</v>
      </c>
      <c r="K18" s="5">
        <v>2</v>
      </c>
      <c r="L18" s="5">
        <v>-31.057999999999996</v>
      </c>
      <c r="M18" s="4">
        <v>586.00900000000001</v>
      </c>
    </row>
    <row r="19" spans="2:17" ht="15.75" thickBot="1" x14ac:dyDescent="0.3">
      <c r="B19" s="10" t="s">
        <v>42</v>
      </c>
      <c r="C19" s="10">
        <v>10</v>
      </c>
      <c r="D19" s="11">
        <f t="shared" si="1"/>
        <v>110</v>
      </c>
      <c r="E19" s="10">
        <v>-18.760999999999999</v>
      </c>
      <c r="F19" s="11">
        <f t="shared" si="0"/>
        <v>2063.71</v>
      </c>
      <c r="K19" s="5">
        <v>1</v>
      </c>
      <c r="L19" s="5">
        <v>-4.9980000000000002</v>
      </c>
      <c r="M19" s="4">
        <v>609.93200000000002</v>
      </c>
    </row>
    <row r="20" spans="2:17" ht="15.75" thickBot="1" x14ac:dyDescent="0.3">
      <c r="B20" s="10" t="s">
        <v>43</v>
      </c>
      <c r="C20" s="10">
        <v>8</v>
      </c>
      <c r="D20" s="11">
        <f t="shared" si="1"/>
        <v>118</v>
      </c>
      <c r="E20" s="10">
        <v>-3.2639999999999998</v>
      </c>
      <c r="F20" s="11">
        <f t="shared" si="0"/>
        <v>385.15199999999999</v>
      </c>
      <c r="K20" s="5"/>
      <c r="L20" s="5"/>
      <c r="M20" s="4">
        <v>405.74099999999999</v>
      </c>
    </row>
    <row r="21" spans="2:17" ht="15.75" thickBot="1" x14ac:dyDescent="0.3">
      <c r="B21" s="10"/>
      <c r="C21" s="10"/>
      <c r="D21" s="11" t="str">
        <f t="shared" si="1"/>
        <v/>
      </c>
      <c r="E21" s="10"/>
      <c r="F21" s="11" t="str">
        <f t="shared" si="0"/>
        <v/>
      </c>
      <c r="K21" s="5"/>
      <c r="L21" s="5"/>
      <c r="M21" s="4">
        <v>429.65</v>
      </c>
    </row>
    <row r="22" spans="2:17" ht="15.75" thickBot="1" x14ac:dyDescent="0.3">
      <c r="B22" s="10"/>
      <c r="C22" s="10"/>
      <c r="D22" s="11" t="str">
        <f>IF(C22=0,"",(C22+D21))</f>
        <v/>
      </c>
      <c r="E22" s="10"/>
      <c r="F22" s="11" t="str">
        <f t="shared" si="0"/>
        <v/>
      </c>
      <c r="K22" s="5"/>
      <c r="L22" s="5"/>
      <c r="M22" s="4">
        <v>380.197</v>
      </c>
    </row>
    <row r="23" spans="2:17" ht="15.75" thickBot="1" x14ac:dyDescent="0.3">
      <c r="B23" s="10"/>
      <c r="C23" s="10"/>
      <c r="D23" s="11" t="str">
        <f t="shared" si="1"/>
        <v/>
      </c>
      <c r="E23" s="10"/>
      <c r="F23" s="11" t="str">
        <f t="shared" si="0"/>
        <v/>
      </c>
      <c r="K23" s="5"/>
      <c r="L23" s="5"/>
      <c r="M23" s="4">
        <v>484.91</v>
      </c>
    </row>
    <row r="24" spans="2:17" ht="15.75" thickBot="1" x14ac:dyDescent="0.3">
      <c r="B24" s="10"/>
      <c r="C24" s="10"/>
      <c r="D24" s="11" t="str">
        <f t="shared" si="1"/>
        <v/>
      </c>
      <c r="E24" s="10"/>
      <c r="F24" s="11" t="str">
        <f t="shared" si="0"/>
        <v/>
      </c>
      <c r="K24" s="5"/>
      <c r="L24" s="5"/>
      <c r="M24" s="4">
        <v>512.86800000000005</v>
      </c>
    </row>
    <row r="25" spans="2:17" ht="15.75" thickBot="1" x14ac:dyDescent="0.3">
      <c r="B25" s="10"/>
      <c r="C25" s="10"/>
      <c r="D25" s="11"/>
      <c r="E25" s="10"/>
      <c r="F25" s="11" t="str">
        <f t="shared" si="0"/>
        <v/>
      </c>
      <c r="K25" s="5"/>
      <c r="L25" s="5"/>
      <c r="M25" s="4">
        <v>362.303</v>
      </c>
    </row>
    <row r="26" spans="2:17" ht="15.75" thickBot="1" x14ac:dyDescent="0.3">
      <c r="B26" s="10"/>
      <c r="C26" s="10"/>
      <c r="D26" s="11"/>
      <c r="E26" s="10"/>
      <c r="F26" s="11" t="str">
        <f t="shared" si="0"/>
        <v/>
      </c>
      <c r="K26" s="5"/>
      <c r="L26" s="5"/>
      <c r="M26" s="4">
        <v>509.63799999999998</v>
      </c>
    </row>
    <row r="27" spans="2:17" ht="15.75" thickBot="1" x14ac:dyDescent="0.3">
      <c r="B27" s="10"/>
      <c r="C27" s="10"/>
      <c r="D27" s="11"/>
      <c r="E27" s="10"/>
      <c r="F27" s="11" t="str">
        <f t="shared" si="0"/>
        <v/>
      </c>
      <c r="K27" s="5"/>
      <c r="L27" s="5"/>
      <c r="M27" s="4">
        <v>650.28099999999995</v>
      </c>
      <c r="Q27" s="9"/>
    </row>
    <row r="28" spans="2:17" ht="15.75" thickBot="1" x14ac:dyDescent="0.3">
      <c r="B28" s="10"/>
      <c r="C28" s="10"/>
      <c r="D28" s="11" t="str">
        <f t="shared" si="1"/>
        <v/>
      </c>
      <c r="E28" s="10"/>
      <c r="F28" s="11" t="str">
        <f t="shared" si="0"/>
        <v/>
      </c>
      <c r="K28" s="5"/>
      <c r="L28" s="5"/>
      <c r="M28" s="4">
        <v>411.90699999999998</v>
      </c>
    </row>
    <row r="29" spans="2:17" ht="15.75" thickBot="1" x14ac:dyDescent="0.3">
      <c r="B29" s="10"/>
      <c r="C29" s="10"/>
      <c r="D29" s="11" t="str">
        <f t="shared" si="1"/>
        <v/>
      </c>
      <c r="E29" s="10"/>
      <c r="F29" s="11" t="str">
        <f t="shared" si="0"/>
        <v/>
      </c>
      <c r="K29" s="5"/>
      <c r="L29" s="5"/>
      <c r="M29" s="4">
        <v>344.23200000000003</v>
      </c>
    </row>
    <row r="30" spans="2:17" ht="15.75" thickBot="1" x14ac:dyDescent="0.3">
      <c r="B30" s="10"/>
      <c r="C30" s="10"/>
      <c r="D30" s="11" t="str">
        <f t="shared" si="1"/>
        <v/>
      </c>
      <c r="E30" s="10"/>
      <c r="F30" s="11" t="str">
        <f t="shared" si="0"/>
        <v/>
      </c>
      <c r="K30" s="5"/>
      <c r="L30" s="5"/>
      <c r="M30" s="4">
        <v>371.51499999999999</v>
      </c>
    </row>
    <row r="31" spans="2:17" ht="15.75" thickBot="1" x14ac:dyDescent="0.3">
      <c r="B31" s="10"/>
      <c r="C31" s="10"/>
      <c r="D31" s="11"/>
      <c r="E31" s="10"/>
      <c r="F31" s="11"/>
      <c r="K31" s="5"/>
      <c r="L31" s="5"/>
    </row>
    <row r="32" spans="2:17" ht="15.75" thickBot="1" x14ac:dyDescent="0.3">
      <c r="B32" s="10"/>
      <c r="C32" s="10"/>
      <c r="D32" s="11"/>
      <c r="E32" s="10"/>
      <c r="F32" s="11"/>
      <c r="K32" s="5"/>
      <c r="L32" s="5"/>
    </row>
    <row r="33" spans="2:13" ht="15.75" thickBot="1" x14ac:dyDescent="0.3">
      <c r="B33" s="10"/>
      <c r="C33" s="10"/>
      <c r="D33" s="11"/>
      <c r="E33" s="10"/>
      <c r="F33" s="11"/>
      <c r="K33" s="5"/>
      <c r="L33" s="5"/>
    </row>
    <row r="34" spans="2:13" ht="15.75" thickBot="1" x14ac:dyDescent="0.3">
      <c r="B34" s="10"/>
      <c r="C34" s="10"/>
      <c r="D34" s="11"/>
      <c r="E34" s="10"/>
      <c r="F34" s="11"/>
      <c r="K34" s="5"/>
      <c r="L34" s="5"/>
    </row>
    <row r="35" spans="2:13" ht="15.75" thickBot="1" x14ac:dyDescent="0.3">
      <c r="B35" s="10"/>
      <c r="C35" s="10"/>
      <c r="D35" s="11"/>
      <c r="E35" s="10"/>
      <c r="F35" s="11"/>
      <c r="K35" s="5"/>
      <c r="L35" s="5"/>
    </row>
    <row r="36" spans="2:13" ht="15.75" thickBot="1" x14ac:dyDescent="0.3">
      <c r="B36" s="10"/>
      <c r="C36" s="10"/>
      <c r="D36" s="11"/>
      <c r="E36" s="10"/>
      <c r="F36" s="11"/>
      <c r="K36" s="5"/>
      <c r="L36" s="5"/>
    </row>
    <row r="37" spans="2:13" ht="15.75" thickBot="1" x14ac:dyDescent="0.3">
      <c r="B37" s="10"/>
      <c r="C37" s="10"/>
      <c r="D37" s="11"/>
      <c r="E37" s="10"/>
      <c r="F37" s="11"/>
      <c r="K37" s="5"/>
      <c r="L37" s="5"/>
    </row>
    <row r="38" spans="2:13" ht="15.75" thickBot="1" x14ac:dyDescent="0.3">
      <c r="B38" s="10"/>
      <c r="C38" s="10"/>
      <c r="D38" s="11"/>
      <c r="E38" s="10"/>
      <c r="F38" s="11"/>
      <c r="K38" s="5"/>
      <c r="L38" s="5"/>
    </row>
    <row r="39" spans="2:13" ht="15.75" thickBot="1" x14ac:dyDescent="0.3">
      <c r="B39" s="10"/>
      <c r="C39" s="10"/>
      <c r="D39" s="11"/>
      <c r="E39" s="10"/>
      <c r="F39" s="11"/>
      <c r="K39" s="5"/>
      <c r="L39" s="5"/>
    </row>
    <row r="40" spans="2:13" ht="15.75" thickBot="1" x14ac:dyDescent="0.3">
      <c r="B40" s="10"/>
      <c r="C40" s="10"/>
      <c r="D40" s="11"/>
      <c r="E40" s="10"/>
      <c r="F40" s="11"/>
      <c r="K40" s="5"/>
      <c r="L40" s="5"/>
    </row>
    <row r="41" spans="2:13" ht="15.75" thickBot="1" x14ac:dyDescent="0.3">
      <c r="B41" s="10"/>
      <c r="C41" s="10"/>
      <c r="D41" s="11"/>
      <c r="E41" s="10"/>
      <c r="F41" s="11"/>
      <c r="K41" s="5"/>
      <c r="L41" s="5"/>
    </row>
    <row r="42" spans="2:13" ht="15.75" thickBot="1" x14ac:dyDescent="0.3">
      <c r="B42" s="10"/>
      <c r="C42" s="10"/>
      <c r="D42" s="11"/>
      <c r="E42" s="10"/>
      <c r="F42" s="11"/>
      <c r="K42" s="5"/>
      <c r="L42" s="5"/>
    </row>
    <row r="43" spans="2:13" ht="15.75" thickBot="1" x14ac:dyDescent="0.3">
      <c r="B43" s="10"/>
      <c r="C43" s="10"/>
      <c r="D43" s="11"/>
      <c r="E43" s="10"/>
      <c r="F43" s="11"/>
      <c r="K43" s="5"/>
      <c r="L43" s="5"/>
    </row>
    <row r="44" spans="2:13" ht="15.75" thickBot="1" x14ac:dyDescent="0.3">
      <c r="B44" s="10"/>
      <c r="C44" s="10"/>
      <c r="D44" s="11"/>
      <c r="E44" s="10"/>
      <c r="F44" s="11"/>
      <c r="K44" s="5"/>
      <c r="L44" s="5"/>
    </row>
    <row r="45" spans="2:13" ht="15.75" thickBot="1" x14ac:dyDescent="0.3">
      <c r="B45" s="10"/>
      <c r="C45" s="10"/>
      <c r="D45" s="11"/>
      <c r="E45" s="10"/>
      <c r="F45" s="11"/>
      <c r="K45" s="5"/>
      <c r="L45" s="5"/>
    </row>
    <row r="46" spans="2:13" ht="15.75" thickBot="1" x14ac:dyDescent="0.3">
      <c r="B46" s="10"/>
      <c r="C46" s="10"/>
      <c r="D46" s="11" t="str">
        <f>IF(C46=0,"",(C46+D30))</f>
        <v/>
      </c>
      <c r="E46" s="10"/>
      <c r="F46" s="11" t="str">
        <f t="shared" si="0"/>
        <v/>
      </c>
      <c r="K46" s="5"/>
      <c r="L46" s="5"/>
      <c r="M46" s="4">
        <v>479.55099999999999</v>
      </c>
    </row>
    <row r="47" spans="2:13" ht="15.75" thickBot="1" x14ac:dyDescent="0.3">
      <c r="B47" s="10"/>
      <c r="C47" s="10"/>
      <c r="D47" s="11" t="str">
        <f t="shared" si="1"/>
        <v/>
      </c>
      <c r="E47" s="10"/>
      <c r="F47" s="11" t="str">
        <f t="shared" si="0"/>
        <v/>
      </c>
      <c r="K47" s="5"/>
      <c r="L47" s="5"/>
      <c r="M47" s="4">
        <v>484.95600000000002</v>
      </c>
    </row>
    <row r="48" spans="2:13" ht="15.75" thickBot="1" x14ac:dyDescent="0.3">
      <c r="B48" s="10"/>
      <c r="C48" s="10"/>
      <c r="D48" s="11"/>
      <c r="E48" s="10"/>
      <c r="F48" s="11" t="str">
        <f t="shared" si="0"/>
        <v/>
      </c>
      <c r="K48" s="5"/>
      <c r="L48" s="5"/>
      <c r="M48" s="4">
        <v>298.94</v>
      </c>
    </row>
    <row r="49" spans="2:13" ht="15.75" thickBot="1" x14ac:dyDescent="0.3">
      <c r="E49" s="12">
        <f>SUM(E9:E48)</f>
        <v>-3101.0540000000001</v>
      </c>
      <c r="F49" s="13">
        <f>SUM(F9:F48)</f>
        <v>140435.35200000001</v>
      </c>
      <c r="K49" s="5"/>
      <c r="L49" s="5"/>
      <c r="M49" s="4">
        <v>378.05099999999999</v>
      </c>
    </row>
    <row r="50" spans="2:13" ht="15" x14ac:dyDescent="0.25">
      <c r="K50" s="5"/>
      <c r="L50" s="5"/>
      <c r="M50" s="4">
        <v>433.28100000000001</v>
      </c>
    </row>
    <row r="51" spans="2:13" ht="15" x14ac:dyDescent="0.25">
      <c r="K51" s="5"/>
      <c r="L51" s="5"/>
      <c r="M51" s="4">
        <v>123.268</v>
      </c>
    </row>
    <row r="52" spans="2:13" ht="15.75" thickBot="1" x14ac:dyDescent="0.3">
      <c r="K52" s="5"/>
      <c r="M52" s="4">
        <v>114.893</v>
      </c>
    </row>
    <row r="53" spans="2:13" ht="15.75" thickBot="1" x14ac:dyDescent="0.3">
      <c r="B53" s="32" t="s">
        <v>2</v>
      </c>
      <c r="C53" s="32"/>
      <c r="D53" s="32"/>
      <c r="E53" s="32"/>
      <c r="F53" s="10">
        <v>14465.28</v>
      </c>
      <c r="K53" s="5"/>
      <c r="M53" s="4">
        <v>138.57400000000001</v>
      </c>
    </row>
    <row r="54" spans="2:13" ht="14.25" customHeight="1" thickBot="1" x14ac:dyDescent="0.3">
      <c r="B54" s="32" t="s">
        <v>13</v>
      </c>
      <c r="C54" s="32"/>
      <c r="D54" s="32"/>
      <c r="E54" s="32"/>
      <c r="F54" s="10">
        <v>40.56</v>
      </c>
      <c r="K54" s="5"/>
      <c r="M54" s="4">
        <v>124.34</v>
      </c>
    </row>
    <row r="55" spans="2:13" ht="15" thickBot="1" x14ac:dyDescent="0.3">
      <c r="B55" s="28" t="s">
        <v>3</v>
      </c>
      <c r="C55" s="28"/>
      <c r="D55" s="28"/>
      <c r="E55" s="28"/>
      <c r="F55" s="14">
        <f>F53*F54</f>
        <v>586711.75680000009</v>
      </c>
      <c r="M55" s="4">
        <v>122.086</v>
      </c>
    </row>
    <row r="56" spans="2:13" ht="15" thickBot="1" x14ac:dyDescent="0.3">
      <c r="B56" s="27"/>
      <c r="C56" s="27"/>
      <c r="D56" s="27"/>
      <c r="E56" s="27"/>
      <c r="M56" s="4">
        <v>135.75</v>
      </c>
    </row>
    <row r="57" spans="2:13" ht="15.75" thickBot="1" x14ac:dyDescent="0.3">
      <c r="B57" s="28" t="s">
        <v>4</v>
      </c>
      <c r="C57" s="28"/>
      <c r="D57" s="28"/>
      <c r="E57" s="28"/>
      <c r="F57" s="15">
        <f>IF(F49=0,"",(F55/F49))</f>
        <v>4.1778067163601369</v>
      </c>
      <c r="G57" s="14" t="str">
        <f>IF(F57&gt;1.5,"&gt;",IF(F57&lt;1.5,"&lt;",IF(F57=1.5,"=")))</f>
        <v>&gt;</v>
      </c>
      <c r="H57" s="16">
        <v>1.5</v>
      </c>
      <c r="I57" s="17" t="str">
        <f>IF(F57&gt;=1.5,"OK","NOT OK")</f>
        <v>OK</v>
      </c>
      <c r="M57" s="4">
        <v>114.721</v>
      </c>
    </row>
    <row r="58" spans="2:13" x14ac:dyDescent="0.25">
      <c r="M58" s="4">
        <v>102.334</v>
      </c>
    </row>
    <row r="59" spans="2:13" x14ac:dyDescent="0.25">
      <c r="M59" s="4">
        <v>107.119</v>
      </c>
    </row>
    <row r="60" spans="2:13" x14ac:dyDescent="0.25">
      <c r="M60" s="4">
        <v>106.52800000000001</v>
      </c>
    </row>
    <row r="61" spans="2:13" x14ac:dyDescent="0.25">
      <c r="M61" s="4">
        <v>108.91800000000001</v>
      </c>
    </row>
    <row r="62" spans="2:13" x14ac:dyDescent="0.25">
      <c r="M62" s="4">
        <v>115.04300000000001</v>
      </c>
    </row>
    <row r="63" spans="2:13" x14ac:dyDescent="0.25">
      <c r="M63" s="4">
        <v>115.11499999999999</v>
      </c>
    </row>
    <row r="64" spans="2:13" x14ac:dyDescent="0.25">
      <c r="M64" s="4">
        <v>117.351</v>
      </c>
    </row>
    <row r="65" spans="13:13" x14ac:dyDescent="0.25">
      <c r="M65" s="4">
        <v>122.667</v>
      </c>
    </row>
    <row r="66" spans="13:13" x14ac:dyDescent="0.25">
      <c r="M66" s="4">
        <v>120.964</v>
      </c>
    </row>
    <row r="67" spans="13:13" x14ac:dyDescent="0.25">
      <c r="M67" s="4">
        <v>117.58199999999999</v>
      </c>
    </row>
    <row r="68" spans="13:13" x14ac:dyDescent="0.25">
      <c r="M68" s="4">
        <v>117.259</v>
      </c>
    </row>
    <row r="69" spans="13:13" x14ac:dyDescent="0.25">
      <c r="M69" s="4">
        <v>105.309</v>
      </c>
    </row>
    <row r="70" spans="13:13" x14ac:dyDescent="0.25">
      <c r="M70" s="4">
        <v>107.422</v>
      </c>
    </row>
    <row r="71" spans="13:13" x14ac:dyDescent="0.25">
      <c r="M71" s="4">
        <v>112.369</v>
      </c>
    </row>
    <row r="72" spans="13:13" x14ac:dyDescent="0.25">
      <c r="M72" s="4">
        <v>127.03100000000001</v>
      </c>
    </row>
    <row r="73" spans="13:13" x14ac:dyDescent="0.25">
      <c r="M73" s="4">
        <v>121.459</v>
      </c>
    </row>
    <row r="74" spans="13:13" x14ac:dyDescent="0.25">
      <c r="M74" s="4">
        <v>120.16200000000001</v>
      </c>
    </row>
    <row r="75" spans="13:13" x14ac:dyDescent="0.25">
      <c r="M75" s="4">
        <v>101.077</v>
      </c>
    </row>
    <row r="76" spans="13:13" x14ac:dyDescent="0.25">
      <c r="M76" s="4">
        <v>97.155000000000001</v>
      </c>
    </row>
    <row r="77" spans="13:13" x14ac:dyDescent="0.25">
      <c r="M77" s="4">
        <v>94.638000000000005</v>
      </c>
    </row>
    <row r="78" spans="13:13" x14ac:dyDescent="0.25">
      <c r="M78" s="4">
        <v>102.791</v>
      </c>
    </row>
    <row r="79" spans="13:13" x14ac:dyDescent="0.25">
      <c r="M79" s="4">
        <v>90.787000000000006</v>
      </c>
    </row>
    <row r="80" spans="13:13" x14ac:dyDescent="0.25">
      <c r="M80" s="4">
        <v>88.802000000000007</v>
      </c>
    </row>
    <row r="81" spans="13:13" x14ac:dyDescent="0.25">
      <c r="M81" s="4">
        <v>97.152000000000001</v>
      </c>
    </row>
    <row r="82" spans="13:13" x14ac:dyDescent="0.25">
      <c r="M82" s="4">
        <v>97.436000000000007</v>
      </c>
    </row>
    <row r="83" spans="13:13" x14ac:dyDescent="0.25">
      <c r="M83" s="4">
        <v>86.766999999999996</v>
      </c>
    </row>
    <row r="84" spans="13:13" x14ac:dyDescent="0.25">
      <c r="M84" s="4">
        <v>91.233000000000004</v>
      </c>
    </row>
    <row r="85" spans="13:13" x14ac:dyDescent="0.25">
      <c r="M85" s="4">
        <f>SUM(M9:M84)</f>
        <v>16015.544</v>
      </c>
    </row>
  </sheetData>
  <sheetProtection algorithmName="SHA-512" hashValue="459lWwCefdaLOZMOG3mITsNsnqEQL7RWHjXa1jNMlWCa099qmfKm4FETacu7LCP8k/7qZ3uPXerhGlT9m2cnDg==" saltValue="rxIg4vlesEih7g0IdQpgBw==" spinCount="100000" sheet="1" formatCells="0" formatColumns="0" formatRows="0" insertColumns="0" insertRows="0" insertHyperlinks="0" deleteColumns="0" deleteRows="0" selectLockedCells="1" sort="0" autoFilter="0" pivotTables="0"/>
  <sortState ref="K9:L19">
    <sortCondition descending="1" ref="K9"/>
  </sortState>
  <mergeCells count="10">
    <mergeCell ref="B57:E57"/>
    <mergeCell ref="B7:F7"/>
    <mergeCell ref="B53:E53"/>
    <mergeCell ref="B54:E54"/>
    <mergeCell ref="B55:E55"/>
    <mergeCell ref="A2:J2"/>
    <mergeCell ref="A3:J3"/>
    <mergeCell ref="A4:J4"/>
    <mergeCell ref="A5:J5"/>
    <mergeCell ref="B56:E56"/>
  </mergeCells>
  <conditionalFormatting sqref="I57">
    <cfRule type="containsText" dxfId="5" priority="11" operator="containsText" text="Not Ok">
      <formula>NOT(ISERROR(SEARCH("Not Ok",I57)))</formula>
    </cfRule>
    <cfRule type="containsText" dxfId="4" priority="12" operator="containsText" text="Ok">
      <formula>NOT(ISERROR(SEARCH("Ok",I57)))</formula>
    </cfRule>
  </conditionalFormatting>
  <conditionalFormatting sqref="K2:XFD5 A5">
    <cfRule type="cellIs" dxfId="3" priority="5" operator="equal">
      <formula>"Torsion Have"</formula>
    </cfRule>
    <cfRule type="cellIs" dxfId="2" priority="6" operator="equal">
      <formula>"Extremely Erragularity"</formula>
    </cfRule>
    <cfRule type="cellIs" dxfId="1" priority="7" operator="equal">
      <formula>"Torsion Have"</formula>
    </cfRule>
    <cfRule type="cellIs" dxfId="0" priority="8" operator="equal">
      <formula>"OK"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43"/>
  <sheetViews>
    <sheetView topLeftCell="A14" workbookViewId="0">
      <selection activeCell="C43" sqref="C43"/>
    </sheetView>
  </sheetViews>
  <sheetFormatPr defaultRowHeight="15" x14ac:dyDescent="0.25"/>
  <sheetData>
    <row r="2" spans="3:3" x14ac:dyDescent="0.25">
      <c r="C2">
        <v>361.98</v>
      </c>
    </row>
    <row r="3" spans="3:3" x14ac:dyDescent="0.25">
      <c r="C3">
        <v>442.625</v>
      </c>
    </row>
    <row r="4" spans="3:3" x14ac:dyDescent="0.25">
      <c r="C4">
        <v>387.65899999999999</v>
      </c>
    </row>
    <row r="5" spans="3:3" x14ac:dyDescent="0.25">
      <c r="C5">
        <v>373.03</v>
      </c>
    </row>
    <row r="6" spans="3:3" x14ac:dyDescent="0.25">
      <c r="C6">
        <v>369.30399999999997</v>
      </c>
    </row>
    <row r="7" spans="3:3" x14ac:dyDescent="0.25">
      <c r="C7">
        <v>244.16200000000001</v>
      </c>
    </row>
    <row r="8" spans="3:3" x14ac:dyDescent="0.25">
      <c r="C8">
        <v>521.28599999999994</v>
      </c>
    </row>
    <row r="9" spans="3:3" x14ac:dyDescent="0.25">
      <c r="C9">
        <v>361.77499999999998</v>
      </c>
    </row>
    <row r="10" spans="3:3" x14ac:dyDescent="0.25">
      <c r="C10">
        <v>585.34699999999998</v>
      </c>
    </row>
    <row r="11" spans="3:3" x14ac:dyDescent="0.25">
      <c r="C11">
        <v>670.28800000000001</v>
      </c>
    </row>
    <row r="12" spans="3:3" x14ac:dyDescent="0.25">
      <c r="C12">
        <v>595.88300000000004</v>
      </c>
    </row>
    <row r="13" spans="3:3" x14ac:dyDescent="0.25">
      <c r="C13">
        <v>600.34500000000003</v>
      </c>
    </row>
    <row r="14" spans="3:3" x14ac:dyDescent="0.25">
      <c r="C14">
        <v>457.904</v>
      </c>
    </row>
    <row r="15" spans="3:3" x14ac:dyDescent="0.25">
      <c r="C15">
        <v>324.81900000000002</v>
      </c>
    </row>
    <row r="16" spans="3:3" x14ac:dyDescent="0.25">
      <c r="C16">
        <v>421.73700000000002</v>
      </c>
    </row>
    <row r="17" spans="3:3" x14ac:dyDescent="0.25">
      <c r="C17">
        <v>467.9</v>
      </c>
    </row>
    <row r="18" spans="3:3" x14ac:dyDescent="0.25">
      <c r="C18">
        <v>346.54199999999997</v>
      </c>
    </row>
    <row r="19" spans="3:3" x14ac:dyDescent="0.25">
      <c r="C19">
        <v>371.32799999999997</v>
      </c>
    </row>
    <row r="20" spans="3:3" x14ac:dyDescent="0.25">
      <c r="C20">
        <v>626.822</v>
      </c>
    </row>
    <row r="21" spans="3:3" x14ac:dyDescent="0.25">
      <c r="C21">
        <v>476.10599999999999</v>
      </c>
    </row>
    <row r="22" spans="3:3" x14ac:dyDescent="0.25">
      <c r="C22">
        <v>472.81700000000001</v>
      </c>
    </row>
    <row r="23" spans="3:3" x14ac:dyDescent="0.25">
      <c r="C23">
        <v>491.04300000000001</v>
      </c>
    </row>
    <row r="24" spans="3:3" x14ac:dyDescent="0.25">
      <c r="C24">
        <v>356.60700000000003</v>
      </c>
    </row>
    <row r="25" spans="3:3" x14ac:dyDescent="0.25">
      <c r="C25">
        <v>399.49200000000002</v>
      </c>
    </row>
    <row r="26" spans="3:3" x14ac:dyDescent="0.25">
      <c r="C26">
        <v>263.58</v>
      </c>
    </row>
    <row r="27" spans="3:3" x14ac:dyDescent="0.25">
      <c r="C27">
        <v>444.06700000000001</v>
      </c>
    </row>
    <row r="28" spans="3:3" x14ac:dyDescent="0.25">
      <c r="C28">
        <v>379.48700000000002</v>
      </c>
    </row>
    <row r="29" spans="3:3" x14ac:dyDescent="0.25">
      <c r="C29">
        <v>233.05099999999999</v>
      </c>
    </row>
    <row r="30" spans="3:3" x14ac:dyDescent="0.25">
      <c r="C30">
        <v>207.982</v>
      </c>
    </row>
    <row r="31" spans="3:3" x14ac:dyDescent="0.25">
      <c r="C31">
        <v>81.108000000000004</v>
      </c>
    </row>
    <row r="32" spans="3:3" x14ac:dyDescent="0.25">
      <c r="C32">
        <v>77.236999999999995</v>
      </c>
    </row>
    <row r="33" spans="3:3" x14ac:dyDescent="0.25">
      <c r="C33">
        <v>315.96499999999997</v>
      </c>
    </row>
    <row r="34" spans="3:3" x14ac:dyDescent="0.25">
      <c r="C34">
        <v>198.303</v>
      </c>
    </row>
    <row r="35" spans="3:3" x14ac:dyDescent="0.25">
      <c r="C35">
        <v>74.024000000000001</v>
      </c>
    </row>
    <row r="36" spans="3:3" x14ac:dyDescent="0.25">
      <c r="C36">
        <v>349.77</v>
      </c>
    </row>
    <row r="37" spans="3:3" x14ac:dyDescent="0.25">
      <c r="C37">
        <v>231.84399999999999</v>
      </c>
    </row>
    <row r="38" spans="3:3" x14ac:dyDescent="0.25">
      <c r="C38">
        <v>74.346000000000004</v>
      </c>
    </row>
    <row r="39" spans="3:3" x14ac:dyDescent="0.25">
      <c r="C39">
        <v>412.673</v>
      </c>
    </row>
    <row r="40" spans="3:3" x14ac:dyDescent="0.25">
      <c r="C40">
        <v>379.81099999999998</v>
      </c>
    </row>
    <row r="41" spans="3:3" x14ac:dyDescent="0.25">
      <c r="C41">
        <v>4.9980000000000002</v>
      </c>
    </row>
    <row r="42" spans="3:3" x14ac:dyDescent="0.25">
      <c r="C42">
        <v>10.237</v>
      </c>
    </row>
    <row r="43" spans="3:3" x14ac:dyDescent="0.25">
      <c r="C43">
        <f>SUM(C2:C42)</f>
        <v>14465.283999999996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5"/>
  <sheetViews>
    <sheetView workbookViewId="0">
      <selection activeCell="C37" sqref="C37"/>
    </sheetView>
  </sheetViews>
  <sheetFormatPr defaultRowHeight="15" x14ac:dyDescent="0.25"/>
  <sheetData>
    <row r="1" spans="2:12" x14ac:dyDescent="0.25">
      <c r="B1">
        <v>-7.8769999999999998</v>
      </c>
      <c r="C1">
        <f>B1</f>
        <v>-7.8769999999999998</v>
      </c>
      <c r="E1">
        <v>412.27600000000001</v>
      </c>
      <c r="K1">
        <v>16</v>
      </c>
      <c r="L1">
        <v>-127.843</v>
      </c>
    </row>
    <row r="2" spans="2:12" x14ac:dyDescent="0.25">
      <c r="B2">
        <v>-40.722000000000001</v>
      </c>
      <c r="C2">
        <f>B2-C1</f>
        <v>-32.844999999999999</v>
      </c>
      <c r="E2">
        <v>302.279</v>
      </c>
      <c r="K2">
        <v>15</v>
      </c>
      <c r="L2">
        <v>-121.81499999999998</v>
      </c>
    </row>
    <row r="3" spans="2:12" x14ac:dyDescent="0.25">
      <c r="B3">
        <v>-76.272999999999996</v>
      </c>
      <c r="C3">
        <f t="shared" ref="C3:C16" si="0">B3-C2</f>
        <v>-43.427999999999997</v>
      </c>
      <c r="E3">
        <v>547.10599999999999</v>
      </c>
      <c r="K3">
        <v>14</v>
      </c>
      <c r="L3">
        <v>-127.587</v>
      </c>
    </row>
    <row r="4" spans="2:12" x14ac:dyDescent="0.25">
      <c r="B4">
        <v>-107.866</v>
      </c>
      <c r="C4">
        <f t="shared" si="0"/>
        <v>-64.438000000000002</v>
      </c>
      <c r="E4">
        <v>489.85899999999998</v>
      </c>
      <c r="K4">
        <v>13</v>
      </c>
      <c r="L4">
        <v>-120.36</v>
      </c>
    </row>
    <row r="5" spans="2:12" x14ac:dyDescent="0.25">
      <c r="B5">
        <v>-135.673</v>
      </c>
      <c r="C5">
        <f t="shared" si="0"/>
        <v>-71.234999999999999</v>
      </c>
      <c r="E5">
        <v>564.98299999999995</v>
      </c>
      <c r="K5">
        <v>12</v>
      </c>
      <c r="L5">
        <v>-124.67700000000001</v>
      </c>
    </row>
    <row r="6" spans="2:12" x14ac:dyDescent="0.25">
      <c r="B6">
        <v>-159.87299999999999</v>
      </c>
      <c r="C6">
        <f t="shared" si="0"/>
        <v>-88.637999999999991</v>
      </c>
      <c r="E6">
        <v>387.03199999999998</v>
      </c>
      <c r="K6">
        <v>11</v>
      </c>
      <c r="L6">
        <v>-115.66099999999999</v>
      </c>
    </row>
    <row r="7" spans="2:12" x14ac:dyDescent="0.25">
      <c r="B7">
        <v>-180.65199999999999</v>
      </c>
      <c r="C7">
        <f t="shared" si="0"/>
        <v>-92.013999999999996</v>
      </c>
      <c r="E7">
        <v>415.30500000000001</v>
      </c>
      <c r="K7">
        <v>10</v>
      </c>
      <c r="L7">
        <v>-117.89700000000001</v>
      </c>
    </row>
    <row r="8" spans="2:12" x14ac:dyDescent="0.25">
      <c r="B8">
        <v>-198.20099999999999</v>
      </c>
      <c r="C8">
        <f t="shared" si="0"/>
        <v>-106.187</v>
      </c>
      <c r="E8">
        <v>516.673</v>
      </c>
      <c r="K8">
        <v>9</v>
      </c>
      <c r="L8">
        <v>-106.53699999999999</v>
      </c>
    </row>
    <row r="9" spans="2:12" x14ac:dyDescent="0.25">
      <c r="B9">
        <v>-212.72399999999999</v>
      </c>
      <c r="C9">
        <f t="shared" si="0"/>
        <v>-106.53699999999999</v>
      </c>
      <c r="E9">
        <v>467.37400000000002</v>
      </c>
      <c r="K9">
        <v>8</v>
      </c>
      <c r="L9">
        <v>-106.187</v>
      </c>
    </row>
    <row r="10" spans="2:12" x14ac:dyDescent="0.25">
      <c r="B10">
        <v>-224.434</v>
      </c>
      <c r="C10">
        <f t="shared" si="0"/>
        <v>-117.89700000000001</v>
      </c>
      <c r="E10">
        <v>471.298</v>
      </c>
      <c r="K10">
        <v>7</v>
      </c>
      <c r="L10">
        <v>-92.013999999999996</v>
      </c>
    </row>
    <row r="11" spans="2:12" x14ac:dyDescent="0.25">
      <c r="B11">
        <v>-233.55799999999999</v>
      </c>
      <c r="C11">
        <f t="shared" si="0"/>
        <v>-115.66099999999999</v>
      </c>
      <c r="E11">
        <v>421.19499999999999</v>
      </c>
      <c r="K11">
        <v>6</v>
      </c>
      <c r="L11">
        <v>-88.637999999999991</v>
      </c>
    </row>
    <row r="12" spans="2:12" x14ac:dyDescent="0.25">
      <c r="B12">
        <v>-240.33799999999999</v>
      </c>
      <c r="C12">
        <f t="shared" si="0"/>
        <v>-124.67700000000001</v>
      </c>
      <c r="E12">
        <v>398.483</v>
      </c>
      <c r="K12">
        <v>5</v>
      </c>
      <c r="L12">
        <v>-71.234999999999999</v>
      </c>
    </row>
    <row r="13" spans="2:12" x14ac:dyDescent="0.25">
      <c r="B13">
        <v>-245.03700000000001</v>
      </c>
      <c r="C13">
        <f t="shared" si="0"/>
        <v>-120.36</v>
      </c>
      <c r="E13">
        <v>378.00400000000002</v>
      </c>
      <c r="K13">
        <v>4</v>
      </c>
      <c r="L13">
        <v>-64.438000000000002</v>
      </c>
    </row>
    <row r="14" spans="2:12" x14ac:dyDescent="0.25">
      <c r="B14">
        <v>-247.947</v>
      </c>
      <c r="C14">
        <f t="shared" si="0"/>
        <v>-127.587</v>
      </c>
      <c r="E14">
        <v>423.45</v>
      </c>
      <c r="K14">
        <v>3</v>
      </c>
      <c r="L14">
        <v>-43.427999999999997</v>
      </c>
    </row>
    <row r="15" spans="2:12" x14ac:dyDescent="0.25">
      <c r="B15">
        <v>-249.40199999999999</v>
      </c>
      <c r="C15">
        <f t="shared" si="0"/>
        <v>-121.81499999999998</v>
      </c>
      <c r="E15">
        <v>413.12099999999998</v>
      </c>
      <c r="K15">
        <v>2</v>
      </c>
      <c r="L15">
        <v>-32.844999999999999</v>
      </c>
    </row>
    <row r="16" spans="2:12" x14ac:dyDescent="0.25">
      <c r="B16">
        <v>-249.65799999999999</v>
      </c>
      <c r="C16">
        <f t="shared" si="0"/>
        <v>-127.843</v>
      </c>
      <c r="E16">
        <v>338.17599999999999</v>
      </c>
      <c r="K16">
        <v>1</v>
      </c>
      <c r="L16">
        <v>-7.8769999999999998</v>
      </c>
    </row>
    <row r="17" spans="5:5" x14ac:dyDescent="0.25">
      <c r="E17">
        <v>382.56</v>
      </c>
    </row>
    <row r="18" spans="5:5" x14ac:dyDescent="0.25">
      <c r="E18">
        <v>394.315</v>
      </c>
    </row>
    <row r="19" spans="5:5" x14ac:dyDescent="0.25">
      <c r="E19">
        <v>301.60199999999998</v>
      </c>
    </row>
    <row r="20" spans="5:5" x14ac:dyDescent="0.25">
      <c r="E20">
        <v>867.024</v>
      </c>
    </row>
    <row r="21" spans="5:5" x14ac:dyDescent="0.25">
      <c r="E21">
        <v>757.05799999999999</v>
      </c>
    </row>
    <row r="22" spans="5:5" x14ac:dyDescent="0.25">
      <c r="E22">
        <v>779.02499999999998</v>
      </c>
    </row>
    <row r="23" spans="5:5" x14ac:dyDescent="0.25">
      <c r="E23">
        <v>741.92</v>
      </c>
    </row>
    <row r="24" spans="5:5" x14ac:dyDescent="0.25">
      <c r="E24">
        <v>614.97900000000004</v>
      </c>
    </row>
    <row r="25" spans="5:5" x14ac:dyDescent="0.25">
      <c r="E25">
        <v>525.98699999999997</v>
      </c>
    </row>
    <row r="26" spans="5:5" x14ac:dyDescent="0.25">
      <c r="E26">
        <v>588.01400000000001</v>
      </c>
    </row>
    <row r="27" spans="5:5" x14ac:dyDescent="0.25">
      <c r="E27">
        <v>763.66399999999999</v>
      </c>
    </row>
    <row r="28" spans="5:5" x14ac:dyDescent="0.25">
      <c r="E28">
        <v>371.53100000000001</v>
      </c>
    </row>
    <row r="29" spans="5:5" x14ac:dyDescent="0.25">
      <c r="E29">
        <v>364.834</v>
      </c>
    </row>
    <row r="30" spans="5:5" x14ac:dyDescent="0.25">
      <c r="E30">
        <v>134.78100000000001</v>
      </c>
    </row>
    <row r="31" spans="5:5" x14ac:dyDescent="0.25">
      <c r="E31">
        <v>145.28</v>
      </c>
    </row>
    <row r="32" spans="5:5" x14ac:dyDescent="0.25">
      <c r="E32">
        <v>309.00400000000002</v>
      </c>
    </row>
    <row r="33" spans="5:5" x14ac:dyDescent="0.25">
      <c r="E33">
        <v>292.38799999999998</v>
      </c>
    </row>
    <row r="34" spans="5:5" x14ac:dyDescent="0.25">
      <c r="E34">
        <v>157.11000000000001</v>
      </c>
    </row>
    <row r="35" spans="5:5" x14ac:dyDescent="0.25">
      <c r="E35">
        <v>146.91800000000001</v>
      </c>
    </row>
    <row r="36" spans="5:5" x14ac:dyDescent="0.25">
      <c r="E36">
        <v>121.586</v>
      </c>
    </row>
    <row r="37" spans="5:5" x14ac:dyDescent="0.25">
      <c r="E37">
        <v>125.491</v>
      </c>
    </row>
    <row r="38" spans="5:5" x14ac:dyDescent="0.25">
      <c r="E38">
        <v>133.71100000000001</v>
      </c>
    </row>
    <row r="39" spans="5:5" x14ac:dyDescent="0.25">
      <c r="E39">
        <v>139.44499999999999</v>
      </c>
    </row>
    <row r="40" spans="5:5" x14ac:dyDescent="0.25">
      <c r="E40">
        <v>133.697</v>
      </c>
    </row>
    <row r="41" spans="5:5" x14ac:dyDescent="0.25">
      <c r="E41">
        <v>131.96700000000001</v>
      </c>
    </row>
    <row r="42" spans="5:5" x14ac:dyDescent="0.25">
      <c r="E42">
        <v>133.81</v>
      </c>
    </row>
    <row r="43" spans="5:5" x14ac:dyDescent="0.25">
      <c r="E43">
        <v>124.86799999999999</v>
      </c>
    </row>
    <row r="44" spans="5:5" x14ac:dyDescent="0.25">
      <c r="E44">
        <v>117.14400000000001</v>
      </c>
    </row>
    <row r="45" spans="5:5" x14ac:dyDescent="0.25">
      <c r="E45">
        <v>113.41200000000001</v>
      </c>
    </row>
    <row r="46" spans="5:5" x14ac:dyDescent="0.25">
      <c r="E46">
        <v>99.98</v>
      </c>
    </row>
    <row r="47" spans="5:5" x14ac:dyDescent="0.25">
      <c r="E47">
        <v>103.345</v>
      </c>
    </row>
    <row r="48" spans="5:5" x14ac:dyDescent="0.25">
      <c r="E48">
        <v>109.669</v>
      </c>
    </row>
    <row r="49" spans="5:5" x14ac:dyDescent="0.25">
      <c r="E49">
        <v>131.083</v>
      </c>
    </row>
    <row r="50" spans="5:5" x14ac:dyDescent="0.25">
      <c r="E50">
        <v>131.035</v>
      </c>
    </row>
    <row r="51" spans="5:5" x14ac:dyDescent="0.25">
      <c r="E51">
        <v>136.68199999999999</v>
      </c>
    </row>
    <row r="52" spans="5:5" x14ac:dyDescent="0.25">
      <c r="E52">
        <v>118.289</v>
      </c>
    </row>
    <row r="53" spans="5:5" x14ac:dyDescent="0.25">
      <c r="E53">
        <v>110.637</v>
      </c>
    </row>
    <row r="54" spans="5:5" x14ac:dyDescent="0.25">
      <c r="E54">
        <v>106.871</v>
      </c>
    </row>
    <row r="55" spans="5:5" x14ac:dyDescent="0.25">
      <c r="E55">
        <f>SUM(E1:E54)</f>
        <v>17907.330000000002</v>
      </c>
    </row>
  </sheetData>
  <sortState ref="K1:L16">
    <sortCondition descending="1" ref="K1:K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Video &amp; Instruction </vt:lpstr>
      <vt:lpstr>OTM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Humayun Kabir</dc:creator>
  <cp:lastModifiedBy>SM Hedaetullah</cp:lastModifiedBy>
  <dcterms:created xsi:type="dcterms:W3CDTF">2015-06-05T18:17:20Z</dcterms:created>
  <dcterms:modified xsi:type="dcterms:W3CDTF">2025-07-11T15:47:36Z</dcterms:modified>
</cp:coreProperties>
</file>