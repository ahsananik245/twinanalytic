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QLearnify\All Excel file\F. Estimating\"/>
    </mc:Choice>
  </mc:AlternateContent>
  <xr:revisionPtr revIDLastSave="0" documentId="13_ncr:1_{88DC6435-81B0-46F0-AF3F-3261CB47FB24}" xr6:coauthVersionLast="47" xr6:coauthVersionMax="47" xr10:uidLastSave="{00000000-0000-0000-0000-000000000000}"/>
  <bookViews>
    <workbookView xWindow="180" yWindow="2415" windowWidth="15405" windowHeight="12555" xr2:uid="{00000000-000D-0000-FFFF-FFFF00000000}"/>
  </bookViews>
  <sheets>
    <sheet name="Video &amp; Instruction " sheetId="8" r:id="rId1"/>
    <sheet name="Beam Estimating V1.1 (721.7.23)" sheetId="5" r:id="rId2"/>
    <sheet name="Beam Estimating" sheetId="7" state="hidden" r:id="rId3"/>
    <sheet name="Calculation" sheetId="1" state="hidden" r:id="rId4"/>
    <sheet name="Strrups Calculation " sheetId="4" r:id="rId5"/>
  </sheets>
  <externalReferences>
    <externalReference r:id="rId6"/>
  </externalReferences>
  <definedNames>
    <definedName name="D">#REF!</definedName>
    <definedName name="Dt">#REF!</definedName>
    <definedName name="framesystem">[1]Sheet3!$B$39:$B$45</definedName>
    <definedName name="H">#REF!</definedName>
    <definedName name="n">#REF!</definedName>
    <definedName name="total_length">#REF!</definedName>
    <definedName name="Wt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E10" i="5" l="1"/>
  <c r="BX10" i="5"/>
  <c r="BQ10" i="5"/>
  <c r="BJ10" i="5"/>
  <c r="BC10" i="5"/>
  <c r="AV10" i="5"/>
  <c r="AO10" i="5"/>
  <c r="AH10" i="5"/>
  <c r="AA10" i="5"/>
  <c r="T10" i="5"/>
  <c r="M10" i="5"/>
  <c r="F10" i="5"/>
  <c r="M6" i="7" l="1"/>
  <c r="M7" i="7"/>
  <c r="M8" i="7"/>
  <c r="M9" i="7"/>
  <c r="M10" i="7"/>
  <c r="M11" i="7"/>
  <c r="M12" i="7"/>
  <c r="M13" i="7"/>
  <c r="M14" i="7"/>
  <c r="M15" i="7"/>
  <c r="M16" i="7"/>
  <c r="M5" i="7"/>
  <c r="H85" i="1" l="1"/>
  <c r="I85" i="1"/>
  <c r="G85" i="1"/>
  <c r="G82" i="1" l="1"/>
  <c r="H87" i="1" s="1"/>
  <c r="M17" i="5" s="1"/>
  <c r="H5" i="1"/>
  <c r="H89" i="1" l="1"/>
  <c r="M19" i="5" s="1"/>
  <c r="H88" i="1"/>
  <c r="M18" i="5" s="1"/>
  <c r="H4" i="1"/>
  <c r="I4" i="1"/>
  <c r="D8" i="1"/>
  <c r="D7" i="1"/>
  <c r="F4" i="1"/>
  <c r="CE4" i="1" l="1"/>
  <c r="CE5" i="1"/>
  <c r="CC7" i="1"/>
  <c r="CC8" i="1"/>
  <c r="CG4" i="1"/>
  <c r="CG5" i="1"/>
  <c r="CF5" i="1" l="1"/>
  <c r="CD13" i="1" s="1"/>
  <c r="CF4" i="1"/>
  <c r="CD12" i="1" s="1"/>
  <c r="BY5" i="1"/>
  <c r="BW13" i="1" s="1"/>
  <c r="BY4" i="1"/>
  <c r="BW12" i="1" s="1"/>
  <c r="BR5" i="1"/>
  <c r="BP13" i="1" s="1"/>
  <c r="BR4" i="1"/>
  <c r="BP12" i="1" s="1"/>
  <c r="BK5" i="1"/>
  <c r="BI13" i="1" s="1"/>
  <c r="BK4" i="1"/>
  <c r="BI12" i="1" s="1"/>
  <c r="BD5" i="1"/>
  <c r="BB13" i="1" s="1"/>
  <c r="BD4" i="1"/>
  <c r="BB12" i="1" s="1"/>
  <c r="AW5" i="1"/>
  <c r="AU13" i="1" s="1"/>
  <c r="AW4" i="1"/>
  <c r="AU12" i="1" s="1"/>
  <c r="AP5" i="1"/>
  <c r="AN13" i="1" s="1"/>
  <c r="AP4" i="1"/>
  <c r="AN12" i="1" s="1"/>
  <c r="AI5" i="1"/>
  <c r="AG13" i="1" s="1"/>
  <c r="AI4" i="1"/>
  <c r="AG12" i="1" s="1"/>
  <c r="AB5" i="1"/>
  <c r="Z13" i="1" s="1"/>
  <c r="AB4" i="1"/>
  <c r="Z12" i="1" s="1"/>
  <c r="U5" i="1"/>
  <c r="S13" i="1" s="1"/>
  <c r="U4" i="1"/>
  <c r="S12" i="1" s="1"/>
  <c r="N5" i="1"/>
  <c r="L13" i="1" s="1"/>
  <c r="N4" i="1"/>
  <c r="L12" i="1" s="1"/>
  <c r="G5" i="1"/>
  <c r="E13" i="1" s="1"/>
  <c r="G4" i="1"/>
  <c r="E44" i="1"/>
  <c r="H16" i="1"/>
  <c r="G36" i="1" s="1"/>
  <c r="D4" i="1"/>
  <c r="CG16" i="1"/>
  <c r="CF33" i="1" s="1"/>
  <c r="CG15" i="1"/>
  <c r="CG14" i="1"/>
  <c r="CG13" i="1"/>
  <c r="CG12" i="1"/>
  <c r="BZ16" i="1"/>
  <c r="BY39" i="1" s="1"/>
  <c r="BZ15" i="1"/>
  <c r="BZ14" i="1"/>
  <c r="BZ13" i="1"/>
  <c r="BZ12" i="1"/>
  <c r="BS16" i="1"/>
  <c r="BR35" i="1" s="1"/>
  <c r="BS15" i="1"/>
  <c r="BS14" i="1"/>
  <c r="BS13" i="1"/>
  <c r="BS12" i="1"/>
  <c r="BL16" i="1"/>
  <c r="BK35" i="1" s="1"/>
  <c r="BL15" i="1"/>
  <c r="BL14" i="1"/>
  <c r="BL13" i="1"/>
  <c r="BL12" i="1"/>
  <c r="BE16" i="1"/>
  <c r="BD35" i="1" s="1"/>
  <c r="BE15" i="1"/>
  <c r="BE14" i="1"/>
  <c r="BE13" i="1"/>
  <c r="BE12" i="1"/>
  <c r="AX16" i="1"/>
  <c r="AW34" i="1" s="1"/>
  <c r="AX15" i="1"/>
  <c r="AX14" i="1"/>
  <c r="AX13" i="1"/>
  <c r="AX12" i="1"/>
  <c r="AQ16" i="1"/>
  <c r="AP33" i="1" s="1"/>
  <c r="AQ15" i="1"/>
  <c r="AQ14" i="1"/>
  <c r="AQ13" i="1"/>
  <c r="AQ12" i="1"/>
  <c r="AJ16" i="1"/>
  <c r="AI35" i="1" s="1"/>
  <c r="AJ15" i="1"/>
  <c r="AJ14" i="1"/>
  <c r="AJ13" i="1"/>
  <c r="AJ12" i="1"/>
  <c r="AC16" i="1"/>
  <c r="AB40" i="1" s="1"/>
  <c r="AC15" i="1"/>
  <c r="AC14" i="1"/>
  <c r="AC13" i="1"/>
  <c r="AC12" i="1"/>
  <c r="V16" i="1"/>
  <c r="U35" i="1" s="1"/>
  <c r="V15" i="1"/>
  <c r="V14" i="1"/>
  <c r="V13" i="1"/>
  <c r="V12" i="1"/>
  <c r="O16" i="1"/>
  <c r="N37" i="1" s="1"/>
  <c r="O15" i="1"/>
  <c r="O14" i="1"/>
  <c r="O13" i="1"/>
  <c r="O12" i="1"/>
  <c r="H13" i="1"/>
  <c r="H14" i="1"/>
  <c r="H15" i="1"/>
  <c r="H12" i="1"/>
  <c r="CH5" i="1"/>
  <c r="CD19" i="1" s="1"/>
  <c r="CD5" i="1"/>
  <c r="CD17" i="1" s="1"/>
  <c r="CC5" i="1"/>
  <c r="CH4" i="1"/>
  <c r="CD18" i="1" s="1"/>
  <c r="CD4" i="1"/>
  <c r="CD16" i="1" s="1"/>
  <c r="CC4" i="1"/>
  <c r="CA5" i="1"/>
  <c r="BW19" i="1" s="1"/>
  <c r="BZ5" i="1"/>
  <c r="BX5" i="1"/>
  <c r="BW5" i="1"/>
  <c r="BV5" i="1"/>
  <c r="CA4" i="1"/>
  <c r="BZ4" i="1"/>
  <c r="BX4" i="1"/>
  <c r="BW4" i="1"/>
  <c r="BW16" i="1" s="1"/>
  <c r="BV4" i="1"/>
  <c r="BT5" i="1"/>
  <c r="BP19" i="1" s="1"/>
  <c r="BS5" i="1"/>
  <c r="BQ5" i="1"/>
  <c r="BP5" i="1"/>
  <c r="BP17" i="1" s="1"/>
  <c r="BO5" i="1"/>
  <c r="BT4" i="1"/>
  <c r="BP18" i="1" s="1"/>
  <c r="BS4" i="1"/>
  <c r="BQ4" i="1"/>
  <c r="BP4" i="1"/>
  <c r="BP16" i="1" s="1"/>
  <c r="BO4" i="1"/>
  <c r="BM5" i="1"/>
  <c r="BI19" i="1" s="1"/>
  <c r="BL5" i="1"/>
  <c r="BJ5" i="1"/>
  <c r="BI5" i="1"/>
  <c r="BH5" i="1"/>
  <c r="BM4" i="1"/>
  <c r="BI18" i="1" s="1"/>
  <c r="BL4" i="1"/>
  <c r="BJ4" i="1"/>
  <c r="BI4" i="1"/>
  <c r="BH4" i="1"/>
  <c r="BF5" i="1"/>
  <c r="BB19" i="1" s="1"/>
  <c r="BE5" i="1"/>
  <c r="BC5" i="1"/>
  <c r="BB5" i="1"/>
  <c r="BA5" i="1"/>
  <c r="BF4" i="1"/>
  <c r="BB18" i="1" s="1"/>
  <c r="BE4" i="1"/>
  <c r="BC4" i="1"/>
  <c r="BB4" i="1"/>
  <c r="BB16" i="1" s="1"/>
  <c r="BA4" i="1"/>
  <c r="AY5" i="1"/>
  <c r="AU19" i="1" s="1"/>
  <c r="AX5" i="1"/>
  <c r="AV5" i="1"/>
  <c r="AU5" i="1"/>
  <c r="AT5" i="1"/>
  <c r="AY4" i="1"/>
  <c r="AU18" i="1" s="1"/>
  <c r="AX4" i="1"/>
  <c r="AV4" i="1"/>
  <c r="AU4" i="1"/>
  <c r="AU16" i="1" s="1"/>
  <c r="AT4" i="1"/>
  <c r="AR5" i="1"/>
  <c r="AN19" i="1" s="1"/>
  <c r="AQ5" i="1"/>
  <c r="AO5" i="1"/>
  <c r="AN5" i="1"/>
  <c r="AN17" i="1" s="1"/>
  <c r="AM5" i="1"/>
  <c r="AR4" i="1"/>
  <c r="AN18" i="1" s="1"/>
  <c r="AQ4" i="1"/>
  <c r="AO4" i="1"/>
  <c r="AN4" i="1"/>
  <c r="AN16" i="1" s="1"/>
  <c r="AM4" i="1"/>
  <c r="AK5" i="1"/>
  <c r="AG19" i="1" s="1"/>
  <c r="AJ5" i="1"/>
  <c r="AH5" i="1"/>
  <c r="AG5" i="1"/>
  <c r="AG17" i="1" s="1"/>
  <c r="AF5" i="1"/>
  <c r="AK4" i="1"/>
  <c r="AJ4" i="1"/>
  <c r="AH4" i="1"/>
  <c r="AG4" i="1"/>
  <c r="AG16" i="1" s="1"/>
  <c r="AF4" i="1"/>
  <c r="AD5" i="1"/>
  <c r="Z19" i="1" s="1"/>
  <c r="AC5" i="1"/>
  <c r="AA5" i="1"/>
  <c r="Z5" i="1"/>
  <c r="Z17" i="1" s="1"/>
  <c r="Y5" i="1"/>
  <c r="AD4" i="1"/>
  <c r="Z18" i="1" s="1"/>
  <c r="AC4" i="1"/>
  <c r="AA4" i="1"/>
  <c r="Z4" i="1"/>
  <c r="Z16" i="1" s="1"/>
  <c r="Y4" i="1"/>
  <c r="W5" i="1"/>
  <c r="V5" i="1"/>
  <c r="T5" i="1"/>
  <c r="S5" i="1"/>
  <c r="R5" i="1"/>
  <c r="W4" i="1"/>
  <c r="V4" i="1"/>
  <c r="T4" i="1"/>
  <c r="S4" i="1"/>
  <c r="S16" i="1" s="1"/>
  <c r="R4" i="1"/>
  <c r="P5" i="1"/>
  <c r="O5" i="1"/>
  <c r="M5" i="1"/>
  <c r="L5" i="1"/>
  <c r="L17" i="1" s="1"/>
  <c r="K5" i="1"/>
  <c r="P4" i="1"/>
  <c r="L18" i="1" s="1"/>
  <c r="O4" i="1"/>
  <c r="M4" i="1"/>
  <c r="L4" i="1"/>
  <c r="L16" i="1" s="1"/>
  <c r="K4" i="1"/>
  <c r="CI7" i="1"/>
  <c r="CH7" i="1"/>
  <c r="CH8" i="1"/>
  <c r="CD21" i="1" s="1"/>
  <c r="CG8" i="1"/>
  <c r="CD8" i="1"/>
  <c r="CD15" i="1" s="1"/>
  <c r="CG7" i="1"/>
  <c r="CE7" i="1"/>
  <c r="CD7" i="1"/>
  <c r="CD14" i="1" s="1"/>
  <c r="CB7" i="1"/>
  <c r="CA8" i="1"/>
  <c r="BW21" i="1" s="1"/>
  <c r="BZ8" i="1"/>
  <c r="BW8" i="1"/>
  <c r="BW15" i="1" s="1"/>
  <c r="BV8" i="1"/>
  <c r="CA7" i="1"/>
  <c r="BW20" i="1" s="1"/>
  <c r="BZ7" i="1"/>
  <c r="BX7" i="1"/>
  <c r="BW7" i="1"/>
  <c r="BW14" i="1" s="1"/>
  <c r="BV7" i="1"/>
  <c r="BU7" i="1"/>
  <c r="BT8" i="1"/>
  <c r="BP21" i="1" s="1"/>
  <c r="BS8" i="1"/>
  <c r="BP8" i="1"/>
  <c r="BP15" i="1" s="1"/>
  <c r="BO8" i="1"/>
  <c r="BT7" i="1"/>
  <c r="BP20" i="1" s="1"/>
  <c r="BS7" i="1"/>
  <c r="BQ7" i="1"/>
  <c r="BP7" i="1"/>
  <c r="BP14" i="1" s="1"/>
  <c r="BO7" i="1"/>
  <c r="BN7" i="1"/>
  <c r="BM8" i="1"/>
  <c r="BI21" i="1" s="1"/>
  <c r="BL8" i="1"/>
  <c r="BI8" i="1"/>
  <c r="BI15" i="1" s="1"/>
  <c r="BH8" i="1"/>
  <c r="BM7" i="1"/>
  <c r="BI20" i="1" s="1"/>
  <c r="BL7" i="1"/>
  <c r="BJ7" i="1"/>
  <c r="BI7" i="1"/>
  <c r="BI14" i="1" s="1"/>
  <c r="BH7" i="1"/>
  <c r="BG7" i="1"/>
  <c r="BF8" i="1"/>
  <c r="BB21" i="1" s="1"/>
  <c r="BE8" i="1"/>
  <c r="BB8" i="1"/>
  <c r="BB15" i="1" s="1"/>
  <c r="BA8" i="1"/>
  <c r="BF7" i="1"/>
  <c r="BB20" i="1" s="1"/>
  <c r="BE7" i="1"/>
  <c r="BC7" i="1"/>
  <c r="BB7" i="1"/>
  <c r="BB14" i="1" s="1"/>
  <c r="BA7" i="1"/>
  <c r="AZ7" i="1"/>
  <c r="AY8" i="1"/>
  <c r="AU21" i="1" s="1"/>
  <c r="AX8" i="1"/>
  <c r="AU8" i="1"/>
  <c r="AU15" i="1" s="1"/>
  <c r="AT8" i="1"/>
  <c r="AY7" i="1"/>
  <c r="AX7" i="1"/>
  <c r="AV7" i="1"/>
  <c r="AU7" i="1"/>
  <c r="AU14" i="1" s="1"/>
  <c r="AT7" i="1"/>
  <c r="AS7" i="1"/>
  <c r="AR8" i="1"/>
  <c r="AN21" i="1" s="1"/>
  <c r="AQ8" i="1"/>
  <c r="AN8" i="1"/>
  <c r="AN15" i="1" s="1"/>
  <c r="AM8" i="1"/>
  <c r="AR7" i="1"/>
  <c r="AN20" i="1" s="1"/>
  <c r="AQ7" i="1"/>
  <c r="AO7" i="1"/>
  <c r="AN7" i="1"/>
  <c r="AN14" i="1" s="1"/>
  <c r="AM7" i="1"/>
  <c r="AL7" i="1"/>
  <c r="AK8" i="1"/>
  <c r="AG21" i="1" s="1"/>
  <c r="AJ8" i="1"/>
  <c r="AG8" i="1"/>
  <c r="AG15" i="1" s="1"/>
  <c r="AF8" i="1"/>
  <c r="AK7" i="1"/>
  <c r="AG20" i="1" s="1"/>
  <c r="AJ7" i="1"/>
  <c r="AH7" i="1"/>
  <c r="AG7" i="1"/>
  <c r="AG14" i="1" s="1"/>
  <c r="AF7" i="1"/>
  <c r="AE7" i="1"/>
  <c r="AD8" i="1"/>
  <c r="Z21" i="1" s="1"/>
  <c r="AC8" i="1"/>
  <c r="Z8" i="1"/>
  <c r="Z15" i="1" s="1"/>
  <c r="Y8" i="1"/>
  <c r="AD7" i="1"/>
  <c r="Z20" i="1" s="1"/>
  <c r="AC7" i="1"/>
  <c r="AA7" i="1"/>
  <c r="Z7" i="1"/>
  <c r="Z14" i="1" s="1"/>
  <c r="Y7" i="1"/>
  <c r="X7" i="1"/>
  <c r="W8" i="1"/>
  <c r="S21" i="1" s="1"/>
  <c r="V8" i="1"/>
  <c r="S8" i="1"/>
  <c r="S15" i="1" s="1"/>
  <c r="R8" i="1"/>
  <c r="W7" i="1"/>
  <c r="S20" i="1" s="1"/>
  <c r="V7" i="1"/>
  <c r="T7" i="1"/>
  <c r="S7" i="1"/>
  <c r="S14" i="1" s="1"/>
  <c r="R7" i="1"/>
  <c r="Q7" i="1"/>
  <c r="P8" i="1"/>
  <c r="L21" i="1" s="1"/>
  <c r="O8" i="1"/>
  <c r="L8" i="1"/>
  <c r="L15" i="1" s="1"/>
  <c r="K8" i="1"/>
  <c r="P7" i="1"/>
  <c r="L20" i="1" s="1"/>
  <c r="O7" i="1"/>
  <c r="M7" i="1"/>
  <c r="L7" i="1"/>
  <c r="L14" i="1" s="1"/>
  <c r="K7" i="1"/>
  <c r="J7" i="1"/>
  <c r="I8" i="1"/>
  <c r="E21" i="1" s="1"/>
  <c r="I7" i="1"/>
  <c r="E20" i="1" s="1"/>
  <c r="I5" i="1"/>
  <c r="E18" i="1"/>
  <c r="H8" i="1"/>
  <c r="H7" i="1"/>
  <c r="F7" i="1"/>
  <c r="F5" i="1"/>
  <c r="E8" i="1"/>
  <c r="E7" i="1"/>
  <c r="E5" i="1"/>
  <c r="E17" i="1" s="1"/>
  <c r="E4" i="1"/>
  <c r="E16" i="1" s="1"/>
  <c r="C7" i="1"/>
  <c r="D5" i="1"/>
  <c r="C2" i="1"/>
  <c r="C1" i="1"/>
  <c r="E2" i="1" s="1"/>
  <c r="L11" i="4"/>
  <c r="W10" i="4"/>
  <c r="AE10" i="4" s="1"/>
  <c r="AH11" i="4" s="1"/>
  <c r="CD20" i="1"/>
  <c r="BW18" i="1"/>
  <c r="AG18" i="1"/>
  <c r="S18" i="1"/>
  <c r="E15" i="1"/>
  <c r="G39" i="1" l="1"/>
  <c r="E68" i="1" s="1"/>
  <c r="N40" i="1"/>
  <c r="Y21" i="1"/>
  <c r="BK34" i="1"/>
  <c r="M63" i="1" s="1"/>
  <c r="J27" i="1"/>
  <c r="BO12" i="1"/>
  <c r="BQ12" i="1" s="1"/>
  <c r="BQ31" i="1" s="1"/>
  <c r="N47" i="1" s="1"/>
  <c r="AT19" i="1"/>
  <c r="AV19" i="1" s="1"/>
  <c r="AU28" i="1"/>
  <c r="BW27" i="1"/>
  <c r="AU27" i="1"/>
  <c r="CC24" i="1"/>
  <c r="CJ28" i="1"/>
  <c r="CK28" i="1" s="1"/>
  <c r="CC28" i="1"/>
  <c r="CD28" i="1" s="1"/>
  <c r="BV28" i="1"/>
  <c r="BW28" i="1" s="1"/>
  <c r="BO28" i="1"/>
  <c r="BP28" i="1" s="1"/>
  <c r="BH28" i="1"/>
  <c r="BI28" i="1" s="1"/>
  <c r="BA28" i="1"/>
  <c r="BB28" i="1" s="1"/>
  <c r="AT28" i="1"/>
  <c r="AM28" i="1"/>
  <c r="AN28" i="1" s="1"/>
  <c r="AF28" i="1"/>
  <c r="AG28" i="1" s="1"/>
  <c r="Y28" i="1"/>
  <c r="R28" i="1"/>
  <c r="BI27" i="1"/>
  <c r="R26" i="1"/>
  <c r="BP24" i="1"/>
  <c r="BO24" i="1"/>
  <c r="Y24" i="1"/>
  <c r="CJ27" i="1"/>
  <c r="CK27" i="1" s="1"/>
  <c r="CC27" i="1"/>
  <c r="CD27" i="1" s="1"/>
  <c r="BV27" i="1"/>
  <c r="BO27" i="1"/>
  <c r="BP27" i="1" s="1"/>
  <c r="BH27" i="1"/>
  <c r="BA27" i="1"/>
  <c r="BB27" i="1" s="1"/>
  <c r="AT27" i="1"/>
  <c r="AM27" i="1"/>
  <c r="AN27" i="1" s="1"/>
  <c r="AF27" i="1"/>
  <c r="AG27" i="1" s="1"/>
  <c r="Y27" i="1"/>
  <c r="R27" i="1"/>
  <c r="CC26" i="1"/>
  <c r="CD26" i="1" s="1"/>
  <c r="BV26" i="1"/>
  <c r="BW26" i="1" s="1"/>
  <c r="BO26" i="1"/>
  <c r="BA26" i="1"/>
  <c r="AM26" i="1"/>
  <c r="AF26" i="1"/>
  <c r="AG26" i="1" s="1"/>
  <c r="CJ24" i="1"/>
  <c r="BA24" i="1"/>
  <c r="BB24" i="1" s="1"/>
  <c r="AF24" i="1"/>
  <c r="AG24" i="1" s="1"/>
  <c r="CD23" i="1"/>
  <c r="BP26" i="1"/>
  <c r="BB26" i="1"/>
  <c r="AN26" i="1"/>
  <c r="CJ26" i="1"/>
  <c r="CK26" i="1" s="1"/>
  <c r="BH26" i="1"/>
  <c r="BI26" i="1" s="1"/>
  <c r="AT26" i="1"/>
  <c r="AU26" i="1" s="1"/>
  <c r="Y26" i="1"/>
  <c r="AT24" i="1"/>
  <c r="AU24" i="1" s="1"/>
  <c r="R24" i="1"/>
  <c r="R23" i="1"/>
  <c r="BW25" i="1"/>
  <c r="BP25" i="1"/>
  <c r="BI25" i="1"/>
  <c r="CJ25" i="1"/>
  <c r="CK25" i="1" s="1"/>
  <c r="CC25" i="1"/>
  <c r="CD25" i="1" s="1"/>
  <c r="BV25" i="1"/>
  <c r="BO25" i="1"/>
  <c r="BH25" i="1"/>
  <c r="BA25" i="1"/>
  <c r="BB25" i="1" s="1"/>
  <c r="AT25" i="1"/>
  <c r="AU25" i="1" s="1"/>
  <c r="AM25" i="1"/>
  <c r="AN25" i="1" s="1"/>
  <c r="AF25" i="1"/>
  <c r="AG25" i="1" s="1"/>
  <c r="Y25" i="1"/>
  <c r="R25" i="1"/>
  <c r="CK24" i="1"/>
  <c r="CD24" i="1"/>
  <c r="AN24" i="1"/>
  <c r="BV24" i="1"/>
  <c r="BW24" i="1" s="1"/>
  <c r="BH24" i="1"/>
  <c r="BI24" i="1" s="1"/>
  <c r="AM24" i="1"/>
  <c r="CJ23" i="1"/>
  <c r="CK23" i="1" s="1"/>
  <c r="CC23" i="1"/>
  <c r="BV23" i="1"/>
  <c r="BW23" i="1" s="1"/>
  <c r="BO23" i="1"/>
  <c r="BP23" i="1" s="1"/>
  <c r="BH23" i="1"/>
  <c r="BI23" i="1" s="1"/>
  <c r="BA23" i="1"/>
  <c r="BB23" i="1" s="1"/>
  <c r="AT23" i="1"/>
  <c r="AU23" i="1" s="1"/>
  <c r="AM23" i="1"/>
  <c r="AN23" i="1" s="1"/>
  <c r="AF23" i="1"/>
  <c r="AG23" i="1" s="1"/>
  <c r="Y23" i="1"/>
  <c r="J23" i="1"/>
  <c r="E14" i="1"/>
  <c r="AL24" i="1"/>
  <c r="BG23" i="1"/>
  <c r="BU24" i="1"/>
  <c r="Q26" i="1"/>
  <c r="K28" i="1"/>
  <c r="K26" i="1"/>
  <c r="K24" i="1"/>
  <c r="K23" i="1"/>
  <c r="K25" i="1"/>
  <c r="K27" i="1"/>
  <c r="L27" i="1" s="1"/>
  <c r="S19" i="1"/>
  <c r="L19" i="1"/>
  <c r="M38" i="1" s="1"/>
  <c r="F54" i="1" s="1"/>
  <c r="D19" i="1"/>
  <c r="E19" i="1"/>
  <c r="AM10" i="4"/>
  <c r="AI38" i="1"/>
  <c r="I67" i="1" s="1"/>
  <c r="AP40" i="1"/>
  <c r="J69" i="1"/>
  <c r="AT14" i="1"/>
  <c r="AV14" i="1" s="1"/>
  <c r="AF12" i="1"/>
  <c r="AH12" i="1" s="1"/>
  <c r="AH31" i="1" s="1"/>
  <c r="I47" i="1" s="1"/>
  <c r="U39" i="1"/>
  <c r="G68" i="1" s="1"/>
  <c r="AW37" i="1"/>
  <c r="K66" i="1" s="1"/>
  <c r="AF15" i="1"/>
  <c r="AH15" i="1" s="1"/>
  <c r="BV15" i="1"/>
  <c r="BX15" i="1" s="1"/>
  <c r="AF18" i="1"/>
  <c r="AH18" i="1" s="1"/>
  <c r="AT18" i="1"/>
  <c r="AV18" i="1" s="1"/>
  <c r="BH18" i="1"/>
  <c r="BJ18" i="1" s="1"/>
  <c r="BY35" i="1"/>
  <c r="O64" i="1" s="1"/>
  <c r="AF14" i="1"/>
  <c r="AH14" i="1" s="1"/>
  <c r="U34" i="1"/>
  <c r="G63" i="1" s="1"/>
  <c r="AW33" i="1"/>
  <c r="K62" i="1" s="1"/>
  <c r="R19" i="1"/>
  <c r="AF13" i="1"/>
  <c r="AH13" i="1" s="1"/>
  <c r="AI37" i="1"/>
  <c r="BK37" i="1"/>
  <c r="M66" i="1" s="1"/>
  <c r="E12" i="1"/>
  <c r="AI34" i="1"/>
  <c r="I63" i="1" s="1"/>
  <c r="BK33" i="1"/>
  <c r="M62" i="1" s="1"/>
  <c r="G34" i="1"/>
  <c r="E63" i="1" s="1"/>
  <c r="AI41" i="1"/>
  <c r="AI33" i="1"/>
  <c r="BK38" i="1"/>
  <c r="BR38" i="1"/>
  <c r="AI40" i="1"/>
  <c r="AI36" i="1"/>
  <c r="AB36" i="1"/>
  <c r="BK41" i="1"/>
  <c r="BK36" i="1"/>
  <c r="M65" i="1" s="1"/>
  <c r="AT13" i="1"/>
  <c r="AV13" i="1" s="1"/>
  <c r="AF16" i="1"/>
  <c r="AH16" i="1" s="1"/>
  <c r="AF19" i="1"/>
  <c r="AH19" i="1" s="1"/>
  <c r="D21" i="1"/>
  <c r="F21" i="1" s="1"/>
  <c r="AF21" i="1"/>
  <c r="AH21" i="1" s="1"/>
  <c r="BO21" i="1"/>
  <c r="BQ21" i="1" s="1"/>
  <c r="AI39" i="1"/>
  <c r="BK39" i="1"/>
  <c r="BH15" i="1"/>
  <c r="BJ15" i="1" s="1"/>
  <c r="BH20" i="1"/>
  <c r="BJ20" i="1" s="1"/>
  <c r="BV21" i="1"/>
  <c r="BX21" i="1" s="1"/>
  <c r="Y18" i="1"/>
  <c r="AA18" i="1" s="1"/>
  <c r="AT16" i="1"/>
  <c r="AV16" i="1" s="1"/>
  <c r="BH16" i="1"/>
  <c r="BH13" i="1"/>
  <c r="BJ13" i="1" s="1"/>
  <c r="BH19" i="1"/>
  <c r="BJ19" i="1" s="1"/>
  <c r="U38" i="1"/>
  <c r="G67" i="1" s="1"/>
  <c r="AW41" i="1"/>
  <c r="AW36" i="1"/>
  <c r="K15" i="1"/>
  <c r="M15" i="1" s="1"/>
  <c r="AM18" i="1"/>
  <c r="AO18" i="1" s="1"/>
  <c r="AT20" i="1"/>
  <c r="BA15" i="1"/>
  <c r="BC15" i="1" s="1"/>
  <c r="BH14" i="1"/>
  <c r="BJ14" i="1" s="1"/>
  <c r="BO18" i="1"/>
  <c r="BQ18" i="1" s="1"/>
  <c r="CC13" i="1"/>
  <c r="CE13" i="1" s="1"/>
  <c r="CC21" i="1"/>
  <c r="CE21" i="1" s="1"/>
  <c r="Y16" i="1"/>
  <c r="AA16" i="1" s="1"/>
  <c r="Y19" i="1"/>
  <c r="AA19" i="1" s="1"/>
  <c r="AT12" i="1"/>
  <c r="AV12" i="1" s="1"/>
  <c r="AT17" i="1"/>
  <c r="BA16" i="1"/>
  <c r="BC16" i="1" s="1"/>
  <c r="BH12" i="1"/>
  <c r="BJ12" i="1" s="1"/>
  <c r="BH17" i="1"/>
  <c r="BO16" i="1"/>
  <c r="BQ16" i="1" s="1"/>
  <c r="BO19" i="1"/>
  <c r="BQ19" i="1" s="1"/>
  <c r="BV12" i="1"/>
  <c r="BX12" i="1" s="1"/>
  <c r="BV17" i="1"/>
  <c r="CC16" i="1"/>
  <c r="CE16" i="1" s="1"/>
  <c r="CC19" i="1"/>
  <c r="CE19" i="1" s="1"/>
  <c r="AU20" i="1"/>
  <c r="BA21" i="1"/>
  <c r="BC21" i="1" s="1"/>
  <c r="BI16" i="1"/>
  <c r="N36" i="1"/>
  <c r="F65" i="1" s="1"/>
  <c r="U36" i="1"/>
  <c r="G65" i="1" s="1"/>
  <c r="AW40" i="1"/>
  <c r="K69" i="1" s="1"/>
  <c r="AW35" i="1"/>
  <c r="K64" i="1" s="1"/>
  <c r="BR34" i="1"/>
  <c r="R14" i="1"/>
  <c r="T14" i="1" s="1"/>
  <c r="R21" i="1"/>
  <c r="T21" i="1" s="1"/>
  <c r="Y14" i="1"/>
  <c r="AA14" i="1" s="1"/>
  <c r="Y20" i="1"/>
  <c r="AA20" i="1" s="1"/>
  <c r="AW31" i="1"/>
  <c r="BA19" i="1"/>
  <c r="BC19" i="1" s="1"/>
  <c r="U40" i="1"/>
  <c r="G69" i="1" s="1"/>
  <c r="AW39" i="1"/>
  <c r="F69" i="1"/>
  <c r="K70" i="1"/>
  <c r="K65" i="1"/>
  <c r="M70" i="1"/>
  <c r="N67" i="1"/>
  <c r="L64" i="1"/>
  <c r="P62" i="1"/>
  <c r="I69" i="1"/>
  <c r="I65" i="1"/>
  <c r="H69" i="1"/>
  <c r="M68" i="1"/>
  <c r="M64" i="1"/>
  <c r="N63" i="1"/>
  <c r="K60" i="1"/>
  <c r="G64" i="1"/>
  <c r="I68" i="1"/>
  <c r="I64" i="1"/>
  <c r="H65" i="1"/>
  <c r="K68" i="1"/>
  <c r="K63" i="1"/>
  <c r="M67" i="1"/>
  <c r="F66" i="1"/>
  <c r="J62" i="1"/>
  <c r="N64" i="1"/>
  <c r="K16" i="1"/>
  <c r="M16" i="1" s="1"/>
  <c r="AC18" i="1"/>
  <c r="AB32" i="1" s="1"/>
  <c r="H61" i="1" s="1"/>
  <c r="K20" i="1"/>
  <c r="M20" i="1" s="1"/>
  <c r="R20" i="1"/>
  <c r="T20" i="1" s="1"/>
  <c r="AU17" i="1"/>
  <c r="AT21" i="1"/>
  <c r="AV21" i="1" s="1"/>
  <c r="CC14" i="1"/>
  <c r="CE14" i="1" s="1"/>
  <c r="CC18" i="1"/>
  <c r="CE18" i="1" s="1"/>
  <c r="CC20" i="1"/>
  <c r="CE20" i="1" s="1"/>
  <c r="AB39" i="1"/>
  <c r="H68" i="1" s="1"/>
  <c r="AB35" i="1"/>
  <c r="H64" i="1" s="1"/>
  <c r="AT15" i="1"/>
  <c r="AV15" i="1" s="1"/>
  <c r="AJ18" i="1"/>
  <c r="AI32" i="1" s="1"/>
  <c r="I61" i="1" s="1"/>
  <c r="BL18" i="1"/>
  <c r="BK32" i="1" s="1"/>
  <c r="M61" i="1" s="1"/>
  <c r="K21" i="1"/>
  <c r="M21" i="1" s="1"/>
  <c r="Y13" i="1"/>
  <c r="AA13" i="1" s="1"/>
  <c r="AF20" i="1"/>
  <c r="AH20" i="1" s="1"/>
  <c r="AM20" i="1"/>
  <c r="AO20" i="1" s="1"/>
  <c r="BA14" i="1"/>
  <c r="BC14" i="1" s="1"/>
  <c r="BA20" i="1"/>
  <c r="BC20" i="1" s="1"/>
  <c r="BI17" i="1"/>
  <c r="BH21" i="1"/>
  <c r="BJ21" i="1" s="1"/>
  <c r="AB31" i="1"/>
  <c r="H60" i="1" s="1"/>
  <c r="AB38" i="1"/>
  <c r="AB33" i="1"/>
  <c r="H62" i="1" s="1"/>
  <c r="CF40" i="1"/>
  <c r="P69" i="1" s="1"/>
  <c r="V18" i="1"/>
  <c r="U32" i="1" s="1"/>
  <c r="G61" i="1" s="1"/>
  <c r="BV20" i="1"/>
  <c r="BX20" i="1" s="1"/>
  <c r="CC15" i="1"/>
  <c r="CE15" i="1" s="1"/>
  <c r="R16" i="1"/>
  <c r="T16" i="1" s="1"/>
  <c r="Y12" i="1"/>
  <c r="AA12" i="1" s="1"/>
  <c r="AA31" i="1" s="1"/>
  <c r="H47" i="1" s="1"/>
  <c r="BA17" i="1"/>
  <c r="BV19" i="1"/>
  <c r="BX19" i="1" s="1"/>
  <c r="CC12" i="1"/>
  <c r="CE12" i="1" s="1"/>
  <c r="BE18" i="1"/>
  <c r="BD31" i="1" s="1"/>
  <c r="L60" i="1" s="1"/>
  <c r="AM13" i="1"/>
  <c r="AO13" i="1" s="1"/>
  <c r="AM17" i="1"/>
  <c r="AO17" i="1" s="1"/>
  <c r="BA12" i="1"/>
  <c r="BC12" i="1" s="1"/>
  <c r="BO14" i="1"/>
  <c r="BQ14" i="1" s="1"/>
  <c r="BW17" i="1"/>
  <c r="BX34" i="1" s="1"/>
  <c r="O50" i="1" s="1"/>
  <c r="AB41" i="1"/>
  <c r="H70" i="1" s="1"/>
  <c r="AB37" i="1"/>
  <c r="H66" i="1" s="1"/>
  <c r="CF36" i="1"/>
  <c r="P65" i="1" s="1"/>
  <c r="D20" i="1"/>
  <c r="F20" i="1" s="1"/>
  <c r="Y15" i="1"/>
  <c r="AA15" i="1" s="1"/>
  <c r="AM15" i="1"/>
  <c r="AO15" i="1" s="1"/>
  <c r="BO15" i="1"/>
  <c r="BQ15" i="1" s="1"/>
  <c r="BA18" i="1"/>
  <c r="BC18" i="1" s="1"/>
  <c r="BA13" i="1"/>
  <c r="BC13" i="1" s="1"/>
  <c r="AX18" i="1"/>
  <c r="BZ18" i="1"/>
  <c r="BY32" i="1" s="1"/>
  <c r="O61" i="1" s="1"/>
  <c r="BY41" i="1"/>
  <c r="O70" i="1" s="1"/>
  <c r="BY37" i="1"/>
  <c r="O66" i="1" s="1"/>
  <c r="BD38" i="1"/>
  <c r="L67" i="1" s="1"/>
  <c r="BD34" i="1"/>
  <c r="L63" i="1" s="1"/>
  <c r="AP36" i="1"/>
  <c r="J65" i="1" s="1"/>
  <c r="AI31" i="1"/>
  <c r="I60" i="1" s="1"/>
  <c r="AB34" i="1"/>
  <c r="H63" i="1" s="1"/>
  <c r="I66" i="1"/>
  <c r="O68" i="1"/>
  <c r="I55" i="1"/>
  <c r="E65" i="1"/>
  <c r="I62" i="1"/>
  <c r="O63" i="1"/>
  <c r="H67" i="1"/>
  <c r="I70" i="1"/>
  <c r="BY31" i="1"/>
  <c r="O60" i="1" s="1"/>
  <c r="BY38" i="1"/>
  <c r="O67" i="1" s="1"/>
  <c r="BY34" i="1"/>
  <c r="BY33" i="1"/>
  <c r="O62" i="1" s="1"/>
  <c r="BY40" i="1"/>
  <c r="O69" i="1" s="1"/>
  <c r="BY36" i="1"/>
  <c r="O65" i="1" s="1"/>
  <c r="BR37" i="1"/>
  <c r="N66" i="1" s="1"/>
  <c r="BR33" i="1"/>
  <c r="N62" i="1" s="1"/>
  <c r="BS18" i="1"/>
  <c r="BR31" i="1" s="1"/>
  <c r="N60" i="1" s="1"/>
  <c r="BR36" i="1"/>
  <c r="N65" i="1" s="1"/>
  <c r="BR40" i="1"/>
  <c r="N69" i="1" s="1"/>
  <c r="BR39" i="1"/>
  <c r="N68" i="1" s="1"/>
  <c r="BK31" i="1"/>
  <c r="M60" i="1" s="1"/>
  <c r="BK40" i="1"/>
  <c r="M69" i="1" s="1"/>
  <c r="BD41" i="1"/>
  <c r="L70" i="1" s="1"/>
  <c r="BD37" i="1"/>
  <c r="L66" i="1" s="1"/>
  <c r="BD33" i="1"/>
  <c r="L62" i="1" s="1"/>
  <c r="BD40" i="1"/>
  <c r="L69" i="1" s="1"/>
  <c r="BD36" i="1"/>
  <c r="L65" i="1" s="1"/>
  <c r="BD39" i="1"/>
  <c r="L68" i="1" s="1"/>
  <c r="U33" i="1"/>
  <c r="G62" i="1" s="1"/>
  <c r="CF39" i="1"/>
  <c r="P68" i="1" s="1"/>
  <c r="CF35" i="1"/>
  <c r="P64" i="1" s="1"/>
  <c r="CF38" i="1"/>
  <c r="P67" i="1" s="1"/>
  <c r="CF34" i="1"/>
  <c r="P63" i="1" s="1"/>
  <c r="CF41" i="1"/>
  <c r="P70" i="1" s="1"/>
  <c r="CF37" i="1"/>
  <c r="P66" i="1" s="1"/>
  <c r="AQ18" i="1"/>
  <c r="AP38" i="1"/>
  <c r="J67" i="1" s="1"/>
  <c r="AP34" i="1"/>
  <c r="J63" i="1" s="1"/>
  <c r="AP39" i="1"/>
  <c r="J68" i="1" s="1"/>
  <c r="AP35" i="1"/>
  <c r="J64" i="1" s="1"/>
  <c r="AP41" i="1"/>
  <c r="J70" i="1" s="1"/>
  <c r="AP37" i="1"/>
  <c r="J66" i="1" s="1"/>
  <c r="U31" i="1"/>
  <c r="G60" i="1" s="1"/>
  <c r="N39" i="1"/>
  <c r="F68" i="1" s="1"/>
  <c r="N34" i="1"/>
  <c r="F63" i="1" s="1"/>
  <c r="N38" i="1"/>
  <c r="F67" i="1" s="1"/>
  <c r="N41" i="1"/>
  <c r="F70" i="1" s="1"/>
  <c r="U41" i="1"/>
  <c r="G70" i="1" s="1"/>
  <c r="U37" i="1"/>
  <c r="G66" i="1" s="1"/>
  <c r="K14" i="1"/>
  <c r="M14" i="1" s="1"/>
  <c r="R12" i="1"/>
  <c r="T12" i="1" s="1"/>
  <c r="R17" i="1"/>
  <c r="R15" i="1"/>
  <c r="T15" i="1" s="1"/>
  <c r="R18" i="1"/>
  <c r="T18" i="1" s="1"/>
  <c r="R13" i="1"/>
  <c r="T13" i="1" s="1"/>
  <c r="O18" i="1"/>
  <c r="N31" i="1" s="1"/>
  <c r="F60" i="1" s="1"/>
  <c r="H18" i="1"/>
  <c r="G32" i="1" s="1"/>
  <c r="E61" i="1" s="1"/>
  <c r="CG18" i="1"/>
  <c r="G38" i="1"/>
  <c r="E67" i="1" s="1"/>
  <c r="G33" i="1"/>
  <c r="E62" i="1" s="1"/>
  <c r="G37" i="1"/>
  <c r="E66" i="1" s="1"/>
  <c r="G41" i="1"/>
  <c r="E70" i="1" s="1"/>
  <c r="G40" i="1"/>
  <c r="E69" i="1" s="1"/>
  <c r="CC17" i="1"/>
  <c r="CE17" i="1" s="1"/>
  <c r="BB17" i="1"/>
  <c r="BC37" i="1" s="1"/>
  <c r="L53" i="1" s="1"/>
  <c r="AH39" i="1"/>
  <c r="AH33" i="1"/>
  <c r="I49" i="1" s="1"/>
  <c r="AF17" i="1"/>
  <c r="AH17" i="1" s="1"/>
  <c r="Y17" i="1"/>
  <c r="AA17" i="1" s="1"/>
  <c r="S17" i="1"/>
  <c r="BV14" i="1"/>
  <c r="BX14" i="1" s="1"/>
  <c r="BV16" i="1"/>
  <c r="BX16" i="1" s="1"/>
  <c r="BV18" i="1"/>
  <c r="BX18" i="1" s="1"/>
  <c r="BV13" i="1"/>
  <c r="BX13" i="1" s="1"/>
  <c r="BQ37" i="1"/>
  <c r="N53" i="1" s="1"/>
  <c r="BQ34" i="1"/>
  <c r="N50" i="1" s="1"/>
  <c r="BO20" i="1"/>
  <c r="BQ20" i="1" s="1"/>
  <c r="BO13" i="1"/>
  <c r="BQ13" i="1" s="1"/>
  <c r="BO17" i="1"/>
  <c r="BQ17" i="1" s="1"/>
  <c r="AO36" i="1"/>
  <c r="J52" i="1" s="1"/>
  <c r="AM19" i="1"/>
  <c r="AO19" i="1" s="1"/>
  <c r="AM21" i="1"/>
  <c r="AO21" i="1" s="1"/>
  <c r="AM12" i="1"/>
  <c r="AO12" i="1" s="1"/>
  <c r="AO31" i="1" s="1"/>
  <c r="J47" i="1" s="1"/>
  <c r="AM14" i="1"/>
  <c r="AO14" i="1" s="1"/>
  <c r="AM16" i="1"/>
  <c r="AO16" i="1" s="1"/>
  <c r="K18" i="1"/>
  <c r="M18" i="1" s="1"/>
  <c r="K13" i="1"/>
  <c r="M13" i="1" s="1"/>
  <c r="N33" i="1"/>
  <c r="F62" i="1" s="1"/>
  <c r="K12" i="1"/>
  <c r="M12" i="1" s="1"/>
  <c r="K19" i="1"/>
  <c r="AA33" i="1"/>
  <c r="H49" i="1" s="1"/>
  <c r="AO32" i="1"/>
  <c r="J48" i="1" s="1"/>
  <c r="BQ41" i="1"/>
  <c r="N57" i="1" s="1"/>
  <c r="CE41" i="1"/>
  <c r="P57" i="1" s="1"/>
  <c r="CE37" i="1"/>
  <c r="P53" i="1" s="1"/>
  <c r="CE33" i="1"/>
  <c r="P49" i="1" s="1"/>
  <c r="AA21" i="1"/>
  <c r="AH38" i="1"/>
  <c r="I54" i="1" s="1"/>
  <c r="AH34" i="1"/>
  <c r="I50" i="1" s="1"/>
  <c r="AA40" i="1"/>
  <c r="H56" i="1" s="1"/>
  <c r="AA36" i="1"/>
  <c r="H52" i="1" s="1"/>
  <c r="AA32" i="1"/>
  <c r="H48" i="1" s="1"/>
  <c r="AO39" i="1"/>
  <c r="J55" i="1" s="1"/>
  <c r="BQ40" i="1"/>
  <c r="N56" i="1" s="1"/>
  <c r="BQ36" i="1"/>
  <c r="N52" i="1" s="1"/>
  <c r="BQ32" i="1"/>
  <c r="N48" i="1" s="1"/>
  <c r="CE40" i="1"/>
  <c r="P56" i="1" s="1"/>
  <c r="CE36" i="1"/>
  <c r="P52" i="1" s="1"/>
  <c r="CE32" i="1"/>
  <c r="P48" i="1" s="1"/>
  <c r="AA41" i="1"/>
  <c r="H57" i="1" s="1"/>
  <c r="AO40" i="1"/>
  <c r="J56" i="1" s="1"/>
  <c r="BQ33" i="1"/>
  <c r="N49" i="1" s="1"/>
  <c r="AH41" i="1"/>
  <c r="I57" i="1" s="1"/>
  <c r="AH37" i="1"/>
  <c r="I53" i="1" s="1"/>
  <c r="AA39" i="1"/>
  <c r="H55" i="1" s="1"/>
  <c r="AO38" i="1"/>
  <c r="J54" i="1" s="1"/>
  <c r="AO34" i="1"/>
  <c r="J50" i="1" s="1"/>
  <c r="BQ39" i="1"/>
  <c r="N55" i="1" s="1"/>
  <c r="CE39" i="1"/>
  <c r="P55" i="1" s="1"/>
  <c r="AA37" i="1"/>
  <c r="H53" i="1" s="1"/>
  <c r="K17" i="1"/>
  <c r="M17" i="1" s="1"/>
  <c r="AH40" i="1"/>
  <c r="I56" i="1" s="1"/>
  <c r="AH36" i="1"/>
  <c r="I52" i="1" s="1"/>
  <c r="AH32" i="1"/>
  <c r="I48" i="1" s="1"/>
  <c r="AA38" i="1"/>
  <c r="H54" i="1" s="1"/>
  <c r="AA34" i="1"/>
  <c r="H50" i="1" s="1"/>
  <c r="AO41" i="1"/>
  <c r="J57" i="1" s="1"/>
  <c r="AO37" i="1"/>
  <c r="J53" i="1" s="1"/>
  <c r="AO33" i="1"/>
  <c r="J49" i="1" s="1"/>
  <c r="BQ38" i="1"/>
  <c r="N54" i="1" s="1"/>
  <c r="CE31" i="1"/>
  <c r="P47" i="1" s="1"/>
  <c r="CE38" i="1"/>
  <c r="P54" i="1" s="1"/>
  <c r="CE34" i="1"/>
  <c r="P50" i="1" s="1"/>
  <c r="D15" i="1"/>
  <c r="F15" i="1" s="1"/>
  <c r="N35" i="1"/>
  <c r="F64" i="1" s="1"/>
  <c r="G35" i="1"/>
  <c r="E64" i="1" s="1"/>
  <c r="D12" i="1"/>
  <c r="D18" i="1"/>
  <c r="F18" i="1" s="1"/>
  <c r="S26" i="1" l="1"/>
  <c r="BJ34" i="1"/>
  <c r="M50" i="1" s="1"/>
  <c r="BX32" i="1"/>
  <c r="O48" i="1" s="1"/>
  <c r="BX39" i="1"/>
  <c r="O55" i="1" s="1"/>
  <c r="BX38" i="1"/>
  <c r="O54" i="1" s="1"/>
  <c r="BX17" i="1"/>
  <c r="BX35" i="1" s="1"/>
  <c r="O51" i="1" s="1"/>
  <c r="AL26" i="1"/>
  <c r="M36" i="1"/>
  <c r="F52" i="1" s="1"/>
  <c r="D17" i="1"/>
  <c r="F17" i="1" s="1"/>
  <c r="T19" i="1"/>
  <c r="BG26" i="1"/>
  <c r="CI26" i="1"/>
  <c r="CB28" i="1"/>
  <c r="BN27" i="1"/>
  <c r="Q25" i="1"/>
  <c r="S25" i="1" s="1"/>
  <c r="CB26" i="1"/>
  <c r="AE23" i="1"/>
  <c r="AE25" i="1"/>
  <c r="D14" i="1"/>
  <c r="F14" i="1" s="1"/>
  <c r="X28" i="1"/>
  <c r="Z28" i="1" s="1"/>
  <c r="CI28" i="1"/>
  <c r="AZ23" i="1"/>
  <c r="Q27" i="1"/>
  <c r="S27" i="1" s="1"/>
  <c r="AZ25" i="1"/>
  <c r="AE26" i="1"/>
  <c r="BN23" i="1"/>
  <c r="BG24" i="1"/>
  <c r="AS27" i="1"/>
  <c r="BN24" i="1"/>
  <c r="AE28" i="1"/>
  <c r="BN26" i="1"/>
  <c r="J26" i="1"/>
  <c r="L26" i="1" s="1"/>
  <c r="J25" i="1"/>
  <c r="L25" i="1" s="1"/>
  <c r="BG25" i="1"/>
  <c r="BU27" i="1"/>
  <c r="AZ26" i="1"/>
  <c r="BU23" i="1"/>
  <c r="CB27" i="1"/>
  <c r="CB25" i="1"/>
  <c r="M32" i="1"/>
  <c r="F48" i="1" s="1"/>
  <c r="AZ24" i="1"/>
  <c r="AL25" i="1"/>
  <c r="F41" i="1"/>
  <c r="E57" i="1" s="1"/>
  <c r="D16" i="1"/>
  <c r="F16" i="1" s="1"/>
  <c r="F32" i="1" s="1"/>
  <c r="E48" i="1" s="1"/>
  <c r="T38" i="1"/>
  <c r="G54" i="1" s="1"/>
  <c r="D13" i="1"/>
  <c r="F13" i="1" s="1"/>
  <c r="Q28" i="1"/>
  <c r="S28" i="1" s="1"/>
  <c r="AZ27" i="1"/>
  <c r="CI27" i="1"/>
  <c r="AS25" i="1"/>
  <c r="BG27" i="1"/>
  <c r="X26" i="1"/>
  <c r="Z26" i="1" s="1"/>
  <c r="AL28" i="1"/>
  <c r="CI24" i="1"/>
  <c r="X27" i="1"/>
  <c r="Z27" i="1" s="1"/>
  <c r="AS28" i="1"/>
  <c r="Q24" i="1"/>
  <c r="S24" i="1" s="1"/>
  <c r="AS24" i="1"/>
  <c r="CB23" i="1"/>
  <c r="AZ28" i="1"/>
  <c r="BN25" i="1"/>
  <c r="AL27" i="1"/>
  <c r="BN28" i="1"/>
  <c r="AL23" i="1"/>
  <c r="J28" i="1"/>
  <c r="L28" i="1" s="1"/>
  <c r="X24" i="1"/>
  <c r="Z24" i="1" s="1"/>
  <c r="BU28" i="1"/>
  <c r="J24" i="1"/>
  <c r="L24" i="1" s="1"/>
  <c r="AE24" i="1"/>
  <c r="CI25" i="1"/>
  <c r="Q23" i="1"/>
  <c r="S23" i="1" s="1"/>
  <c r="CB24" i="1"/>
  <c r="BU26" i="1"/>
  <c r="CI23" i="1"/>
  <c r="X23" i="1"/>
  <c r="Z23" i="1"/>
  <c r="AE27" i="1"/>
  <c r="BG28" i="1"/>
  <c r="X25" i="1"/>
  <c r="Z25" i="1" s="1"/>
  <c r="AS26" i="1"/>
  <c r="AS23" i="1"/>
  <c r="BU25" i="1"/>
  <c r="M31" i="1"/>
  <c r="F47" i="1" s="1"/>
  <c r="M39" i="1"/>
  <c r="F55" i="1" s="1"/>
  <c r="M41" i="1"/>
  <c r="F57" i="1" s="1"/>
  <c r="M40" i="1"/>
  <c r="F56" i="1" s="1"/>
  <c r="M34" i="1"/>
  <c r="F50" i="1" s="1"/>
  <c r="M19" i="1"/>
  <c r="M35" i="1" s="1"/>
  <c r="F51" i="1" s="1"/>
  <c r="CL24" i="1"/>
  <c r="CL25" i="1"/>
  <c r="CL23" i="1"/>
  <c r="CL26" i="1"/>
  <c r="CL27" i="1"/>
  <c r="CL28" i="1"/>
  <c r="BC38" i="1"/>
  <c r="L54" i="1" s="1"/>
  <c r="BC36" i="1"/>
  <c r="L52" i="1" s="1"/>
  <c r="M33" i="1"/>
  <c r="F49" i="1" s="1"/>
  <c r="BC32" i="1"/>
  <c r="L48" i="1" s="1"/>
  <c r="L23" i="1"/>
  <c r="F40" i="1"/>
  <c r="E56" i="1" s="1"/>
  <c r="F19" i="1"/>
  <c r="BX37" i="1"/>
  <c r="O53" i="1" s="1"/>
  <c r="F12" i="1"/>
  <c r="F31" i="1" s="1"/>
  <c r="E47" i="1" s="1"/>
  <c r="BX41" i="1"/>
  <c r="O57" i="1" s="1"/>
  <c r="F38" i="1"/>
  <c r="E54" i="1" s="1"/>
  <c r="BX36" i="1"/>
  <c r="O52" i="1" s="1"/>
  <c r="BX31" i="1"/>
  <c r="O47" i="1" s="1"/>
  <c r="F39" i="1"/>
  <c r="E55" i="1" s="1"/>
  <c r="F36" i="1"/>
  <c r="E52" i="1" s="1"/>
  <c r="BC17" i="1"/>
  <c r="BC35" i="1" s="1"/>
  <c r="L51" i="1" s="1"/>
  <c r="BC40" i="1"/>
  <c r="L56" i="1" s="1"/>
  <c r="BC33" i="1"/>
  <c r="L49" i="1" s="1"/>
  <c r="BC31" i="1"/>
  <c r="L47" i="1" s="1"/>
  <c r="F34" i="1"/>
  <c r="E50" i="1" s="1"/>
  <c r="AV34" i="1"/>
  <c r="K50" i="1" s="1"/>
  <c r="BJ16" i="1"/>
  <c r="T41" i="1"/>
  <c r="G57" i="1" s="1"/>
  <c r="T39" i="1"/>
  <c r="G55" i="1" s="1"/>
  <c r="AV31" i="1"/>
  <c r="K47" i="1" s="1"/>
  <c r="BX40" i="1"/>
  <c r="O56" i="1" s="1"/>
  <c r="BX33" i="1"/>
  <c r="O49" i="1" s="1"/>
  <c r="AA35" i="1"/>
  <c r="H51" i="1" s="1"/>
  <c r="AV20" i="1"/>
  <c r="AV38" i="1"/>
  <c r="K54" i="1" s="1"/>
  <c r="BJ17" i="1"/>
  <c r="AV37" i="1"/>
  <c r="K53" i="1" s="1"/>
  <c r="AV36" i="1"/>
  <c r="K52" i="1" s="1"/>
  <c r="AV41" i="1"/>
  <c r="K57" i="1" s="1"/>
  <c r="T17" i="1"/>
  <c r="T35" i="1" s="1"/>
  <c r="G51" i="1" s="1"/>
  <c r="AV17" i="1"/>
  <c r="BD32" i="1"/>
  <c r="L61" i="1" s="1"/>
  <c r="BJ33" i="1"/>
  <c r="M49" i="1" s="1"/>
  <c r="AV40" i="1"/>
  <c r="K56" i="1" s="1"/>
  <c r="BJ38" i="1"/>
  <c r="M54" i="1" s="1"/>
  <c r="BJ36" i="1"/>
  <c r="M52" i="1" s="1"/>
  <c r="BC41" i="1"/>
  <c r="L57" i="1" s="1"/>
  <c r="BJ31" i="1"/>
  <c r="M47" i="1" s="1"/>
  <c r="AV33" i="1"/>
  <c r="K49" i="1" s="1"/>
  <c r="T36" i="1"/>
  <c r="G52" i="1" s="1"/>
  <c r="T32" i="1"/>
  <c r="G48" i="1" s="1"/>
  <c r="BJ39" i="1"/>
  <c r="M55" i="1" s="1"/>
  <c r="BJ37" i="1"/>
  <c r="M53" i="1" s="1"/>
  <c r="BJ40" i="1"/>
  <c r="M56" i="1" s="1"/>
  <c r="AV39" i="1"/>
  <c r="K55" i="1" s="1"/>
  <c r="BJ41" i="1"/>
  <c r="M57" i="1" s="1"/>
  <c r="AV32" i="1"/>
  <c r="K48" i="1" s="1"/>
  <c r="BC39" i="1"/>
  <c r="L55" i="1" s="1"/>
  <c r="BC34" i="1"/>
  <c r="L50" i="1" s="1"/>
  <c r="T34" i="1"/>
  <c r="G50" i="1" s="1"/>
  <c r="T31" i="1"/>
  <c r="G47" i="1" s="1"/>
  <c r="T40" i="1"/>
  <c r="G56" i="1" s="1"/>
  <c r="BJ32" i="1"/>
  <c r="M48" i="1" s="1"/>
  <c r="CE35" i="1"/>
  <c r="P51" i="1" s="1"/>
  <c r="BR32" i="1"/>
  <c r="N61" i="1" s="1"/>
  <c r="AW38" i="1"/>
  <c r="K67" i="1" s="1"/>
  <c r="Q67" i="1" s="1"/>
  <c r="S67" i="1" s="1"/>
  <c r="Y68" i="1" s="1"/>
  <c r="G24" i="5" s="1"/>
  <c r="AW32" i="1"/>
  <c r="K61" i="1" s="1"/>
  <c r="AP31" i="1"/>
  <c r="J60" i="1" s="1"/>
  <c r="AP32" i="1"/>
  <c r="J61" i="1" s="1"/>
  <c r="Q64" i="1"/>
  <c r="S64" i="1" s="1"/>
  <c r="Y65" i="1" s="1"/>
  <c r="G21" i="5" s="1"/>
  <c r="Q63" i="1"/>
  <c r="S63" i="1" s="1"/>
  <c r="Y64" i="1" s="1"/>
  <c r="G20" i="5" s="1"/>
  <c r="Q65" i="1"/>
  <c r="S65" i="1" s="1"/>
  <c r="Y66" i="1" s="1"/>
  <c r="G22" i="5" s="1"/>
  <c r="Q66" i="1"/>
  <c r="S66" i="1" s="1"/>
  <c r="Y67" i="1" s="1"/>
  <c r="G23" i="5" s="1"/>
  <c r="Q62" i="1"/>
  <c r="S62" i="1" s="1"/>
  <c r="Y63" i="1" s="1"/>
  <c r="G19" i="5" s="1"/>
  <c r="Q69" i="1"/>
  <c r="S69" i="1" s="1"/>
  <c r="Y70" i="1" s="1"/>
  <c r="G26" i="5" s="1"/>
  <c r="BR41" i="1"/>
  <c r="N70" i="1" s="1"/>
  <c r="Q70" i="1" s="1"/>
  <c r="S70" i="1" s="1"/>
  <c r="Y71" i="1" s="1"/>
  <c r="G27" i="5" s="1"/>
  <c r="Q68" i="1"/>
  <c r="S68" i="1" s="1"/>
  <c r="Y69" i="1" s="1"/>
  <c r="G25" i="5" s="1"/>
  <c r="G31" i="1"/>
  <c r="E60" i="1" s="1"/>
  <c r="CF31" i="1"/>
  <c r="P60" i="1" s="1"/>
  <c r="CF32" i="1"/>
  <c r="P61" i="1" s="1"/>
  <c r="BQ35" i="1"/>
  <c r="N51" i="1" s="1"/>
  <c r="AO35" i="1"/>
  <c r="J51" i="1" s="1"/>
  <c r="N32" i="1"/>
  <c r="F61" i="1" s="1"/>
  <c r="AH35" i="1"/>
  <c r="I51" i="1" s="1"/>
  <c r="CM27" i="1" l="1"/>
  <c r="F33" i="1"/>
  <c r="E49" i="1" s="1"/>
  <c r="CM25" i="1"/>
  <c r="CM24" i="1"/>
  <c r="CM28" i="1"/>
  <c r="CM23" i="1"/>
  <c r="M37" i="1"/>
  <c r="F53" i="1" s="1"/>
  <c r="CM26" i="1"/>
  <c r="R49" i="1" s="1"/>
  <c r="T37" i="1"/>
  <c r="G53" i="1" s="1"/>
  <c r="F37" i="1"/>
  <c r="E53" i="1" s="1"/>
  <c r="R50" i="1"/>
  <c r="R52" i="1"/>
  <c r="R54" i="1"/>
  <c r="R55" i="1"/>
  <c r="R56" i="1"/>
  <c r="R57" i="1"/>
  <c r="R47" i="1"/>
  <c r="R48" i="1"/>
  <c r="AV35" i="1"/>
  <c r="K51" i="1" s="1"/>
  <c r="T33" i="1"/>
  <c r="G49" i="1" s="1"/>
  <c r="F35" i="1"/>
  <c r="E51" i="1" s="1"/>
  <c r="Q52" i="1"/>
  <c r="Q50" i="1"/>
  <c r="Q57" i="1"/>
  <c r="BJ35" i="1"/>
  <c r="M51" i="1" s="1"/>
  <c r="Q48" i="1"/>
  <c r="Q47" i="1"/>
  <c r="Q56" i="1"/>
  <c r="Q55" i="1"/>
  <c r="Q54" i="1"/>
  <c r="Q61" i="1"/>
  <c r="S61" i="1" s="1"/>
  <c r="Y62" i="1" s="1"/>
  <c r="G18" i="5" s="1"/>
  <c r="Q60" i="1"/>
  <c r="S60" i="1" s="1"/>
  <c r="Y61" i="1" s="1"/>
  <c r="G17" i="5" s="1"/>
  <c r="R53" i="1" l="1"/>
  <c r="Q49" i="1"/>
  <c r="S49" i="1" s="1"/>
  <c r="W63" i="1" s="1"/>
  <c r="E19" i="5" s="1"/>
  <c r="I19" i="5" s="1"/>
  <c r="R51" i="1"/>
  <c r="Q53" i="1"/>
  <c r="S55" i="1"/>
  <c r="W69" i="1" s="1"/>
  <c r="E25" i="5" s="1"/>
  <c r="I25" i="5" s="1"/>
  <c r="S54" i="1"/>
  <c r="W68" i="1" s="1"/>
  <c r="E24" i="5" s="1"/>
  <c r="I24" i="5" s="1"/>
  <c r="S48" i="1"/>
  <c r="W62" i="1" s="1"/>
  <c r="E18" i="5" s="1"/>
  <c r="I18" i="5" s="1"/>
  <c r="S57" i="1"/>
  <c r="W71" i="1" s="1"/>
  <c r="E27" i="5" s="1"/>
  <c r="I27" i="5" s="1"/>
  <c r="S56" i="1"/>
  <c r="W70" i="1" s="1"/>
  <c r="E26" i="5" s="1"/>
  <c r="I26" i="5" s="1"/>
  <c r="S47" i="1"/>
  <c r="W61" i="1" s="1"/>
  <c r="E17" i="5" s="1"/>
  <c r="I17" i="5" s="1"/>
  <c r="S50" i="1"/>
  <c r="W64" i="1" s="1"/>
  <c r="E20" i="5" s="1"/>
  <c r="I20" i="5" s="1"/>
  <c r="S52" i="1"/>
  <c r="W66" i="1" s="1"/>
  <c r="E22" i="5" s="1"/>
  <c r="I22" i="5" s="1"/>
  <c r="Q51" i="1"/>
  <c r="S53" i="1" l="1"/>
  <c r="W67" i="1" s="1"/>
  <c r="E23" i="5" s="1"/>
  <c r="I23" i="5" s="1"/>
  <c r="S51" i="1"/>
  <c r="W65" i="1" s="1"/>
  <c r="E21" i="5" s="1"/>
  <c r="I21" i="5" s="1"/>
  <c r="I28" i="5" l="1"/>
</calcChain>
</file>

<file path=xl/sharedStrings.xml><?xml version="1.0" encoding="utf-8"?>
<sst xmlns="http://schemas.openxmlformats.org/spreadsheetml/2006/main" count="523" uniqueCount="59">
  <si>
    <t>n=</t>
  </si>
  <si>
    <t>kg</t>
  </si>
  <si>
    <t>cc=</t>
  </si>
  <si>
    <t>Top ST=</t>
  </si>
  <si>
    <t>Btm ST=</t>
  </si>
  <si>
    <t>Top L EXT=</t>
  </si>
  <si>
    <t>Top R EXT=</t>
  </si>
  <si>
    <t>Btm EXT=</t>
  </si>
  <si>
    <t>fy=</t>
  </si>
  <si>
    <t>f'c=</t>
  </si>
  <si>
    <t>MPa</t>
  </si>
  <si>
    <t>Bar Dia</t>
  </si>
  <si>
    <t>Long Bar</t>
  </si>
  <si>
    <t>Trns Bar</t>
  </si>
  <si>
    <t>B=</t>
  </si>
  <si>
    <t>H=</t>
  </si>
  <si>
    <t>Db=</t>
  </si>
  <si>
    <t>L=</t>
  </si>
  <si>
    <t>Nos of Link=</t>
  </si>
  <si>
    <t>TOTAL</t>
  </si>
  <si>
    <t>Span Nos=</t>
  </si>
  <si>
    <t>Dia</t>
  </si>
  <si>
    <t>Main Bar</t>
  </si>
  <si>
    <t>Link Bar</t>
  </si>
  <si>
    <t>Total</t>
  </si>
  <si>
    <t>cft</t>
  </si>
  <si>
    <t>Mix Ratio</t>
  </si>
  <si>
    <t>Vd=</t>
  </si>
  <si>
    <t>TOTAL CONCRETE VOLUME</t>
  </si>
  <si>
    <t>CFT</t>
  </si>
  <si>
    <t>Cmnt=</t>
  </si>
  <si>
    <t>sand=</t>
  </si>
  <si>
    <t>stone=</t>
  </si>
  <si>
    <t>Concrete</t>
  </si>
  <si>
    <t>Cement=</t>
  </si>
  <si>
    <t>Sand=</t>
  </si>
  <si>
    <t>Stone/Khoa=</t>
  </si>
  <si>
    <t>Bags</t>
  </si>
  <si>
    <t>Total=</t>
  </si>
  <si>
    <t/>
  </si>
  <si>
    <t>x</t>
  </si>
  <si>
    <t>qLearnify is an educational platform dedicated to the professional development of engineers and architects.</t>
  </si>
  <si>
    <t>Website:</t>
  </si>
  <si>
    <t>https://qlearnify.com/</t>
  </si>
  <si>
    <t>Facebook:</t>
  </si>
  <si>
    <t>https://www.facebook.com/qlearnify</t>
  </si>
  <si>
    <t>Youtube (Bangla):</t>
  </si>
  <si>
    <t>https://www.youtube.com/@qlearnify-bn</t>
  </si>
  <si>
    <t>Youtube (English):</t>
  </si>
  <si>
    <t>https://www.youtube.com/@qlearnify-en</t>
  </si>
  <si>
    <t>WhatsApp:</t>
  </si>
  <si>
    <t>https://wa.me/8801511250108</t>
  </si>
  <si>
    <t>LinkedIn:</t>
  </si>
  <si>
    <t>https://www.linkedin.com/company/qlearnify/</t>
  </si>
  <si>
    <t>Note: This Excel sheet has been created for educational purposes; please validate it according to your own standards before using it for professional work.</t>
  </si>
  <si>
    <t>Bangla:</t>
  </si>
  <si>
    <t>https://youtube.com/playlist?list=PLxle8F-wJI7P43K0GljphED4I5TRXu6Zx&amp;si=el-Lrxm5mB1Vmgcf</t>
  </si>
  <si>
    <t>English:</t>
  </si>
  <si>
    <t>https://youtube.com/playlist?list=PLTscI_CLWNfB_1x6_7zylwLZWo7mKypCq&amp;si=QzFh_rJa61GU0YNW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</si>
</sst>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&quot;L1=&quot;\ 0.00&quot;'&quot;"/>
    <numFmt numFmtId="165" formatCode="0.00&quot;''&quot;"/>
    <numFmt numFmtId="166" formatCode="0\ &quot;Nos @&quot;"/>
    <numFmt numFmtId="167" formatCode="0\ &quot;mm EXT&quot;"/>
    <numFmt numFmtId="168" formatCode="0\ &quot;mm ST&quot;"/>
    <numFmt numFmtId="169" formatCode="0.000"/>
    <numFmt numFmtId="170" formatCode="&quot;ft&quot;\ 0\ &quot;mm&quot;"/>
    <numFmt numFmtId="171" formatCode="0.000\ &quot;Kg&quot;"/>
    <numFmt numFmtId="172" formatCode="0.000\ &quot;kg&quot;"/>
    <numFmt numFmtId="173" formatCode="&quot;L=&quot;\ 0.00\ &quot;ft&quot;"/>
    <numFmt numFmtId="174" formatCode="0.00\ &quot;in c/c&quot;"/>
    <numFmt numFmtId="175" formatCode="&quot;h=&quot;0.00&quot;''&quot;"/>
    <numFmt numFmtId="176" formatCode="0.00\ \f\t"/>
    <numFmt numFmtId="177" formatCode="0.00\ &quot;kg&quot;"/>
    <numFmt numFmtId="178" formatCode="0.0\ &quot;kg&quot;"/>
    <numFmt numFmtId="179" formatCode="0\ &quot;mm&quot;"/>
    <numFmt numFmtId="180" formatCode="0.00\ &quot;Kg&quot;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6" xfId="0" applyBorder="1"/>
    <xf numFmtId="0" fontId="0" fillId="0" borderId="10" xfId="0" applyBorder="1"/>
    <xf numFmtId="0" fontId="0" fillId="0" borderId="13" xfId="0" applyBorder="1"/>
    <xf numFmtId="0" fontId="0" fillId="0" borderId="14" xfId="0" applyBorder="1"/>
    <xf numFmtId="165" fontId="0" fillId="0" borderId="2" xfId="0" applyNumberFormat="1" applyBorder="1" applyAlignment="1">
      <alignment horizontal="center" vertical="center"/>
    </xf>
    <xf numFmtId="166" fontId="1" fillId="4" borderId="6" xfId="0" applyNumberFormat="1" applyFont="1" applyFill="1" applyBorder="1" applyAlignment="1">
      <alignment horizontal="right" vertical="center"/>
    </xf>
    <xf numFmtId="167" fontId="1" fillId="4" borderId="7" xfId="0" applyNumberFormat="1" applyFont="1" applyFill="1" applyBorder="1" applyAlignment="1">
      <alignment horizontal="left" vertical="center"/>
    </xf>
    <xf numFmtId="166" fontId="1" fillId="4" borderId="7" xfId="0" applyNumberFormat="1" applyFont="1" applyFill="1" applyBorder="1" applyAlignment="1">
      <alignment horizontal="right" vertical="center"/>
    </xf>
    <xf numFmtId="166" fontId="1" fillId="4" borderId="5" xfId="0" applyNumberFormat="1" applyFont="1" applyFill="1" applyBorder="1" applyAlignment="1">
      <alignment horizontal="right" vertical="center"/>
    </xf>
    <xf numFmtId="167" fontId="1" fillId="4" borderId="12" xfId="0" applyNumberFormat="1" applyFont="1" applyFill="1" applyBorder="1" applyAlignment="1">
      <alignment horizontal="left" vertical="center"/>
    </xf>
    <xf numFmtId="166" fontId="1" fillId="5" borderId="7" xfId="0" applyNumberFormat="1" applyFont="1" applyFill="1" applyBorder="1" applyAlignment="1">
      <alignment horizontal="right" vertical="center"/>
    </xf>
    <xf numFmtId="168" fontId="1" fillId="5" borderId="7" xfId="0" applyNumberFormat="1" applyFont="1" applyFill="1" applyBorder="1" applyAlignment="1">
      <alignment horizontal="left" vertical="center"/>
    </xf>
    <xf numFmtId="166" fontId="1" fillId="5" borderId="11" xfId="0" applyNumberFormat="1" applyFont="1" applyFill="1" applyBorder="1" applyAlignment="1">
      <alignment horizontal="right" vertical="center"/>
    </xf>
    <xf numFmtId="168" fontId="1" fillId="5" borderId="5" xfId="0" applyNumberFormat="1" applyFont="1" applyFill="1" applyBorder="1" applyAlignment="1">
      <alignment horizontal="left" vertical="center"/>
    </xf>
    <xf numFmtId="169" fontId="0" fillId="0" borderId="0" xfId="0" applyNumberFormat="1"/>
    <xf numFmtId="166" fontId="1" fillId="4" borderId="0" xfId="0" applyNumberFormat="1" applyFont="1" applyFill="1" applyAlignment="1">
      <alignment horizontal="right" vertical="center"/>
    </xf>
    <xf numFmtId="167" fontId="1" fillId="4" borderId="0" xfId="0" applyNumberFormat="1" applyFont="1" applyFill="1" applyAlignment="1">
      <alignment horizontal="left" vertical="center"/>
    </xf>
    <xf numFmtId="166" fontId="1" fillId="5" borderId="0" xfId="0" applyNumberFormat="1" applyFont="1" applyFill="1" applyAlignment="1">
      <alignment horizontal="right" vertical="center"/>
    </xf>
    <xf numFmtId="168" fontId="1" fillId="5" borderId="0" xfId="0" applyNumberFormat="1" applyFont="1" applyFill="1" applyAlignment="1">
      <alignment horizontal="left" vertical="center"/>
    </xf>
    <xf numFmtId="167" fontId="1" fillId="4" borderId="8" xfId="0" applyNumberFormat="1" applyFont="1" applyFill="1" applyBorder="1" applyAlignment="1">
      <alignment horizontal="left" vertical="center"/>
    </xf>
    <xf numFmtId="170" fontId="0" fillId="0" borderId="0" xfId="0" applyNumberFormat="1" applyAlignment="1">
      <alignment horizontal="left"/>
    </xf>
    <xf numFmtId="171" fontId="1" fillId="0" borderId="0" xfId="0" applyNumberFormat="1" applyFont="1" applyAlignment="1">
      <alignment horizontal="center" vertical="center"/>
    </xf>
    <xf numFmtId="172" fontId="1" fillId="0" borderId="0" xfId="0" applyNumberFormat="1" applyFont="1"/>
    <xf numFmtId="171" fontId="1" fillId="0" borderId="0" xfId="0" applyNumberFormat="1" applyFont="1"/>
    <xf numFmtId="0" fontId="1" fillId="0" borderId="0" xfId="0" applyFont="1" applyAlignment="1">
      <alignment horizontal="right" vertical="center"/>
    </xf>
    <xf numFmtId="0" fontId="2" fillId="0" borderId="0" xfId="0" applyFont="1"/>
    <xf numFmtId="2" fontId="1" fillId="0" borderId="0" xfId="0" applyNumberFormat="1" applyFont="1" applyAlignment="1">
      <alignment horizontal="right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2" borderId="9" xfId="0" applyFill="1" applyBorder="1"/>
    <xf numFmtId="0" fontId="1" fillId="2" borderId="0" xfId="0" applyFont="1" applyFill="1" applyAlignment="1">
      <alignment horizontal="right" vertical="center"/>
    </xf>
    <xf numFmtId="0" fontId="1" fillId="2" borderId="9" xfId="0" applyFont="1" applyFill="1" applyBorder="1" applyAlignment="1">
      <alignment horizontal="right" vertical="center"/>
    </xf>
    <xf numFmtId="0" fontId="4" fillId="0" borderId="0" xfId="0" applyFont="1"/>
    <xf numFmtId="0" fontId="0" fillId="2" borderId="9" xfId="0" applyFill="1" applyBorder="1" applyAlignment="1">
      <alignment horizontal="center"/>
    </xf>
    <xf numFmtId="169" fontId="3" fillId="9" borderId="9" xfId="0" applyNumberFormat="1" applyFont="1" applyFill="1" applyBorder="1" applyAlignment="1">
      <alignment horizontal="center" vertical="center"/>
    </xf>
    <xf numFmtId="179" fontId="3" fillId="0" borderId="9" xfId="0" applyNumberFormat="1" applyFont="1" applyBorder="1" applyAlignment="1">
      <alignment horizontal="center" vertical="center"/>
    </xf>
    <xf numFmtId="169" fontId="1" fillId="8" borderId="9" xfId="0" applyNumberFormat="1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left"/>
    </xf>
    <xf numFmtId="2" fontId="1" fillId="8" borderId="9" xfId="0" applyNumberFormat="1" applyFont="1" applyFill="1" applyBorder="1" applyAlignment="1">
      <alignment horizontal="center" vertical="center"/>
    </xf>
    <xf numFmtId="0" fontId="0" fillId="0" borderId="0" xfId="0" applyProtection="1">
      <protection hidden="1"/>
    </xf>
    <xf numFmtId="166" fontId="1" fillId="4" borderId="0" xfId="0" applyNumberFormat="1" applyFont="1" applyFill="1" applyAlignment="1" applyProtection="1">
      <alignment horizontal="right" vertical="center"/>
      <protection hidden="1"/>
    </xf>
    <xf numFmtId="167" fontId="1" fillId="4" borderId="0" xfId="0" applyNumberFormat="1" applyFont="1" applyFill="1" applyAlignment="1" applyProtection="1">
      <alignment horizontal="left" vertical="center"/>
      <protection hidden="1"/>
    </xf>
    <xf numFmtId="166" fontId="1" fillId="5" borderId="7" xfId="0" applyNumberFormat="1" applyFont="1" applyFill="1" applyBorder="1" applyAlignment="1" applyProtection="1">
      <alignment horizontal="right" vertical="center"/>
      <protection hidden="1"/>
    </xf>
    <xf numFmtId="168" fontId="1" fillId="5" borderId="0" xfId="0" applyNumberFormat="1" applyFont="1" applyFill="1" applyAlignment="1" applyProtection="1">
      <alignment horizontal="left" vertical="center"/>
      <protection hidden="1"/>
    </xf>
    <xf numFmtId="167" fontId="1" fillId="4" borderId="8" xfId="0" applyNumberFormat="1" applyFont="1" applyFill="1" applyBorder="1" applyAlignment="1" applyProtection="1">
      <alignment horizontal="left" vertical="center"/>
      <protection hidden="1"/>
    </xf>
    <xf numFmtId="166" fontId="1" fillId="5" borderId="0" xfId="0" applyNumberFormat="1" applyFont="1" applyFill="1" applyAlignment="1" applyProtection="1">
      <alignment horizontal="right" vertical="center"/>
      <protection hidden="1"/>
    </xf>
    <xf numFmtId="0" fontId="0" fillId="0" borderId="2" xfId="0" applyBorder="1" applyProtection="1">
      <protection hidden="1"/>
    </xf>
    <xf numFmtId="166" fontId="1" fillId="4" borderId="6" xfId="0" applyNumberFormat="1" applyFont="1" applyFill="1" applyBorder="1" applyAlignment="1" applyProtection="1">
      <alignment horizontal="right" vertical="center"/>
      <protection hidden="1"/>
    </xf>
    <xf numFmtId="167" fontId="1" fillId="4" borderId="7" xfId="0" applyNumberFormat="1" applyFont="1" applyFill="1" applyBorder="1" applyAlignment="1" applyProtection="1">
      <alignment horizontal="left" vertical="center"/>
      <protection hidden="1"/>
    </xf>
    <xf numFmtId="168" fontId="1" fillId="5" borderId="7" xfId="0" applyNumberFormat="1" applyFont="1" applyFill="1" applyBorder="1" applyAlignment="1" applyProtection="1">
      <alignment horizontal="left" vertical="center"/>
      <protection hidden="1"/>
    </xf>
    <xf numFmtId="167" fontId="1" fillId="4" borderId="8" xfId="0" applyNumberFormat="1" applyFont="1" applyFill="1" applyBorder="1" applyAlignment="1" applyProtection="1">
      <alignment horizontal="right" vertical="center"/>
      <protection hidden="1"/>
    </xf>
    <xf numFmtId="166" fontId="1" fillId="4" borderId="7" xfId="0" applyNumberFormat="1" applyFont="1" applyFill="1" applyBorder="1" applyAlignment="1" applyProtection="1">
      <alignment horizontal="right" vertical="center"/>
      <protection hidden="1"/>
    </xf>
    <xf numFmtId="0" fontId="0" fillId="0" borderId="3" xfId="0" applyBorder="1" applyProtection="1">
      <protection hidden="1"/>
    </xf>
    <xf numFmtId="0" fontId="0" fillId="0" borderId="1" xfId="0" applyBorder="1" applyProtection="1">
      <protection hidden="1"/>
    </xf>
    <xf numFmtId="0" fontId="0" fillId="0" borderId="4" xfId="0" applyBorder="1" applyProtection="1">
      <protection hidden="1"/>
    </xf>
    <xf numFmtId="165" fontId="0" fillId="0" borderId="2" xfId="0" applyNumberFormat="1" applyBorder="1" applyAlignment="1" applyProtection="1">
      <alignment horizontal="center" vertical="center"/>
      <protection hidden="1"/>
    </xf>
    <xf numFmtId="166" fontId="1" fillId="5" borderId="11" xfId="0" applyNumberFormat="1" applyFont="1" applyFill="1" applyBorder="1" applyAlignment="1" applyProtection="1">
      <alignment horizontal="right" vertical="center"/>
      <protection hidden="1"/>
    </xf>
    <xf numFmtId="168" fontId="1" fillId="5" borderId="5" xfId="0" applyNumberFormat="1" applyFont="1" applyFill="1" applyBorder="1" applyAlignment="1" applyProtection="1">
      <alignment horizontal="left" vertical="center"/>
      <protection hidden="1"/>
    </xf>
    <xf numFmtId="166" fontId="1" fillId="4" borderId="5" xfId="0" applyNumberFormat="1" applyFont="1" applyFill="1" applyBorder="1" applyAlignment="1" applyProtection="1">
      <alignment horizontal="right" vertical="center"/>
      <protection hidden="1"/>
    </xf>
    <xf numFmtId="167" fontId="1" fillId="4" borderId="12" xfId="0" applyNumberFormat="1" applyFont="1" applyFill="1" applyBorder="1" applyAlignment="1" applyProtection="1">
      <alignment horizontal="left" vertical="center"/>
      <protection hidden="1"/>
    </xf>
    <xf numFmtId="0" fontId="0" fillId="0" borderId="0" xfId="0" applyAlignment="1" applyProtection="1">
      <alignment horizontal="center"/>
      <protection hidden="1"/>
    </xf>
    <xf numFmtId="169" fontId="0" fillId="0" borderId="0" xfId="0" applyNumberFormat="1" applyProtection="1">
      <protection hidden="1"/>
    </xf>
    <xf numFmtId="170" fontId="0" fillId="0" borderId="0" xfId="0" applyNumberFormat="1" applyAlignment="1" applyProtection="1">
      <alignment horizontal="left"/>
      <protection hidden="1"/>
    </xf>
    <xf numFmtId="171" fontId="1" fillId="0" borderId="0" xfId="0" applyNumberFormat="1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right" vertical="center"/>
      <protection hidden="1"/>
    </xf>
    <xf numFmtId="0" fontId="2" fillId="0" borderId="0" xfId="0" applyFont="1" applyProtection="1">
      <protection hidden="1"/>
    </xf>
    <xf numFmtId="2" fontId="1" fillId="0" borderId="0" xfId="0" applyNumberFormat="1" applyFont="1" applyAlignment="1" applyProtection="1">
      <alignment horizontal="right" vertical="center"/>
      <protection hidden="1"/>
    </xf>
    <xf numFmtId="171" fontId="0" fillId="2" borderId="0" xfId="0" applyNumberFormat="1" applyFill="1" applyProtection="1">
      <protection hidden="1"/>
    </xf>
    <xf numFmtId="171" fontId="1" fillId="0" borderId="0" xfId="0" applyNumberFormat="1" applyFont="1" applyProtection="1">
      <protection hidden="1"/>
    </xf>
    <xf numFmtId="172" fontId="1" fillId="0" borderId="0" xfId="0" applyNumberFormat="1" applyFont="1" applyProtection="1">
      <protection hidden="1"/>
    </xf>
    <xf numFmtId="177" fontId="1" fillId="0" borderId="0" xfId="0" applyNumberFormat="1" applyFont="1" applyProtection="1">
      <protection hidden="1"/>
    </xf>
    <xf numFmtId="172" fontId="0" fillId="0" borderId="0" xfId="0" applyNumberFormat="1" applyProtection="1">
      <protection hidden="1"/>
    </xf>
    <xf numFmtId="178" fontId="0" fillId="0" borderId="0" xfId="0" applyNumberFormat="1" applyProtection="1">
      <protection hidden="1"/>
    </xf>
    <xf numFmtId="169" fontId="0" fillId="0" borderId="0" xfId="0" applyNumberFormat="1" applyAlignment="1" applyProtection="1">
      <alignment horizontal="center" vertical="center"/>
      <protection hidden="1"/>
    </xf>
    <xf numFmtId="179" fontId="0" fillId="0" borderId="0" xfId="0" applyNumberFormat="1" applyAlignment="1" applyProtection="1">
      <alignment horizontal="center" vertical="center"/>
      <protection hidden="1"/>
    </xf>
    <xf numFmtId="180" fontId="0" fillId="0" borderId="1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169" fontId="3" fillId="0" borderId="9" xfId="0" applyNumberFormat="1" applyFont="1" applyBorder="1" applyAlignment="1">
      <alignment horizontal="center"/>
    </xf>
    <xf numFmtId="169" fontId="3" fillId="9" borderId="19" xfId="0" applyNumberFormat="1" applyFont="1" applyFill="1" applyBorder="1" applyAlignment="1">
      <alignment horizontal="center"/>
    </xf>
    <xf numFmtId="169" fontId="3" fillId="9" borderId="20" xfId="0" applyNumberFormat="1" applyFont="1" applyFill="1" applyBorder="1" applyAlignment="1">
      <alignment horizontal="center"/>
    </xf>
    <xf numFmtId="169" fontId="3" fillId="9" borderId="21" xfId="0" applyNumberFormat="1" applyFont="1" applyFill="1" applyBorder="1" applyAlignment="1">
      <alignment horizontal="center"/>
    </xf>
    <xf numFmtId="180" fontId="0" fillId="8" borderId="9" xfId="0" applyNumberFormat="1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180" fontId="0" fillId="0" borderId="9" xfId="0" applyNumberFormat="1" applyBorder="1" applyAlignment="1">
      <alignment horizontal="center"/>
    </xf>
    <xf numFmtId="0" fontId="5" fillId="9" borderId="9" xfId="0" applyFont="1" applyFill="1" applyBorder="1" applyAlignment="1">
      <alignment horizontal="center"/>
    </xf>
    <xf numFmtId="0" fontId="3" fillId="9" borderId="9" xfId="0" applyFont="1" applyFill="1" applyBorder="1" applyAlignment="1">
      <alignment horizontal="center"/>
    </xf>
    <xf numFmtId="170" fontId="3" fillId="9" borderId="9" xfId="0" applyNumberFormat="1" applyFont="1" applyFill="1" applyBorder="1" applyAlignment="1">
      <alignment horizontal="center"/>
    </xf>
    <xf numFmtId="164" fontId="0" fillId="0" borderId="5" xfId="0" applyNumberFormat="1" applyBorder="1" applyAlignment="1">
      <alignment horizontal="center" vertical="center"/>
    </xf>
    <xf numFmtId="0" fontId="0" fillId="0" borderId="0" xfId="0" applyAlignment="1" applyProtection="1">
      <alignment horizontal="center"/>
      <protection hidden="1"/>
    </xf>
    <xf numFmtId="180" fontId="0" fillId="0" borderId="0" xfId="0" applyNumberForma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170" fontId="0" fillId="0" borderId="0" xfId="0" applyNumberFormat="1" applyAlignment="1" applyProtection="1">
      <alignment horizontal="center"/>
      <protection hidden="1"/>
    </xf>
    <xf numFmtId="164" fontId="0" fillId="0" borderId="5" xfId="0" applyNumberFormat="1" applyBorder="1" applyAlignment="1" applyProtection="1">
      <alignment horizontal="center" vertical="center"/>
      <protection hidden="1"/>
    </xf>
    <xf numFmtId="176" fontId="0" fillId="0" borderId="0" xfId="0" applyNumberFormat="1" applyAlignment="1">
      <alignment horizontal="center"/>
    </xf>
    <xf numFmtId="174" fontId="3" fillId="3" borderId="15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left"/>
    </xf>
    <xf numFmtId="173" fontId="3" fillId="3" borderId="0" xfId="0" applyNumberFormat="1" applyFont="1" applyFill="1" applyAlignment="1">
      <alignment horizontal="center"/>
    </xf>
    <xf numFmtId="175" fontId="0" fillId="7" borderId="0" xfId="0" applyNumberFormat="1" applyFill="1" applyAlignment="1">
      <alignment horizontal="center"/>
    </xf>
    <xf numFmtId="0" fontId="7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right"/>
      <protection hidden="1"/>
    </xf>
    <xf numFmtId="0" fontId="6" fillId="0" borderId="0" xfId="1" applyAlignment="1" applyProtection="1">
      <alignment horizontal="left"/>
      <protection hidden="1"/>
    </xf>
    <xf numFmtId="0" fontId="8" fillId="0" borderId="0" xfId="0" applyFont="1" applyAlignment="1" applyProtection="1">
      <alignment horizontal="center" vertical="center" wrapText="1"/>
      <protection hidden="1"/>
    </xf>
    <xf numFmtId="0" fontId="9" fillId="0" borderId="0" xfId="0" applyFont="1" applyProtection="1">
      <protection hidden="1"/>
    </xf>
  </cellXfs>
  <cellStyles count="2">
    <cellStyle name="Hyperlink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190501</xdr:colOff>
      <xdr:row>0</xdr:row>
      <xdr:rowOff>19050</xdr:rowOff>
    </xdr:from>
    <xdr:to>
      <xdr:col>7</xdr:col>
      <xdr:colOff>400051</xdr:colOff>
      <xdr:row>12</xdr:row>
      <xdr:rowOff>157824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D190E9-4F7E-48A1-AAE5-AC382DDE2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1" y="19050"/>
          <a:ext cx="2647950" cy="2424774"/>
        </a:xfrm>
        <a:prstGeom prst="rect">
          <a:avLst/>
        </a:prstGeom>
      </xdr:spPr>
    </xdr:pic>
    <xdr:clientData/>
  </xdr:twoCellAnchor>
  <xdr:twoCellAnchor>
    <xdr:from>
      <xdr:col>3</xdr:col>
      <xdr:colOff>200025</xdr:colOff>
      <xdr:row>29</xdr:row>
      <xdr:rowOff>85725</xdr:rowOff>
    </xdr:from>
    <xdr:to>
      <xdr:col>6</xdr:col>
      <xdr:colOff>495300</xdr:colOff>
      <xdr:row>31</xdr:row>
      <xdr:rowOff>171450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A75B85B3-8151-4F57-8355-11B42C39C3C6}"/>
            </a:ext>
          </a:extLst>
        </xdr:cNvPr>
        <xdr:cNvSpPr/>
      </xdr:nvSpPr>
      <xdr:spPr>
        <a:xfrm>
          <a:off x="2028825" y="5610225"/>
          <a:ext cx="2124075" cy="466725"/>
        </a:xfrm>
        <a:prstGeom prst="flowChartAlternateProcess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 kern="1200"/>
            <a:t>Video</a:t>
          </a:r>
          <a:r>
            <a:rPr lang="en-US" sz="2400" b="1" kern="1200" baseline="0"/>
            <a:t> Tutorial</a:t>
          </a:r>
          <a:endParaRPr lang="en-US" sz="2400" b="1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80596</xdr:colOff>
      <xdr:row>5</xdr:row>
      <xdr:rowOff>95250</xdr:rowOff>
    </xdr:from>
    <xdr:to>
      <xdr:col>86</xdr:col>
      <xdr:colOff>508000</xdr:colOff>
      <xdr:row>5</xdr:row>
      <xdr:rowOff>95250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299796" y="1152525"/>
          <a:ext cx="51433779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497416</xdr:colOff>
      <xdr:row>5</xdr:row>
      <xdr:rowOff>84667</xdr:rowOff>
    </xdr:from>
    <xdr:to>
      <xdr:col>86</xdr:col>
      <xdr:colOff>508000</xdr:colOff>
      <xdr:row>5</xdr:row>
      <xdr:rowOff>412750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52722991" y="1141942"/>
          <a:ext cx="10584" cy="328083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79375</xdr:colOff>
      <xdr:row>5</xdr:row>
      <xdr:rowOff>95250</xdr:rowOff>
    </xdr:from>
    <xdr:to>
      <xdr:col>2</xdr:col>
      <xdr:colOff>84667</xdr:colOff>
      <xdr:row>5</xdr:row>
      <xdr:rowOff>373063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>
          <a:off x="1298575" y="1152525"/>
          <a:ext cx="5292" cy="277813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119063</xdr:colOff>
      <xdr:row>5</xdr:row>
      <xdr:rowOff>471488</xdr:rowOff>
    </xdr:from>
    <xdr:to>
      <xdr:col>86</xdr:col>
      <xdr:colOff>446484</xdr:colOff>
      <xdr:row>5</xdr:row>
      <xdr:rowOff>476250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1338263" y="1528763"/>
          <a:ext cx="51333796" cy="476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121440</xdr:colOff>
      <xdr:row>5</xdr:row>
      <xdr:rowOff>184547</xdr:rowOff>
    </xdr:from>
    <xdr:to>
      <xdr:col>2</xdr:col>
      <xdr:colOff>121440</xdr:colOff>
      <xdr:row>5</xdr:row>
      <xdr:rowOff>470297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V="1">
          <a:off x="1340640" y="1241822"/>
          <a:ext cx="0" cy="28575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431270</xdr:colOff>
      <xdr:row>5</xdr:row>
      <xdr:rowOff>156104</xdr:rowOff>
    </xdr:from>
    <xdr:to>
      <xdr:col>86</xdr:col>
      <xdr:colOff>441854</xdr:colOff>
      <xdr:row>5</xdr:row>
      <xdr:rowOff>484187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52656845" y="1213379"/>
          <a:ext cx="10584" cy="328083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166688</xdr:colOff>
      <xdr:row>5</xdr:row>
      <xdr:rowOff>147638</xdr:rowOff>
    </xdr:from>
    <xdr:to>
      <xdr:col>2</xdr:col>
      <xdr:colOff>171450</xdr:colOff>
      <xdr:row>5</xdr:row>
      <xdr:rowOff>338138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 flipV="1">
          <a:off x="1385888" y="1204913"/>
          <a:ext cx="4762" cy="190500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166688</xdr:colOff>
      <xdr:row>5</xdr:row>
      <xdr:rowOff>142875</xdr:rowOff>
    </xdr:from>
    <xdr:to>
      <xdr:col>4</xdr:col>
      <xdr:colOff>514350</xdr:colOff>
      <xdr:row>5</xdr:row>
      <xdr:rowOff>147638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385888" y="1200150"/>
          <a:ext cx="1462087" cy="4763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509588</xdr:colOff>
      <xdr:row>5</xdr:row>
      <xdr:rowOff>147638</xdr:rowOff>
    </xdr:from>
    <xdr:to>
      <xdr:col>5</xdr:col>
      <xdr:colOff>61913</xdr:colOff>
      <xdr:row>5</xdr:row>
      <xdr:rowOff>223838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2843213" y="1204913"/>
          <a:ext cx="171450" cy="76200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123825</xdr:colOff>
      <xdr:row>5</xdr:row>
      <xdr:rowOff>166688</xdr:rowOff>
    </xdr:from>
    <xdr:to>
      <xdr:col>86</xdr:col>
      <xdr:colOff>366712</xdr:colOff>
      <xdr:row>5</xdr:row>
      <xdr:rowOff>171451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V="1">
          <a:off x="51130200" y="1223963"/>
          <a:ext cx="1462087" cy="4763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361949</xdr:colOff>
      <xdr:row>5</xdr:row>
      <xdr:rowOff>157162</xdr:rowOff>
    </xdr:from>
    <xdr:to>
      <xdr:col>86</xdr:col>
      <xdr:colOff>366712</xdr:colOff>
      <xdr:row>5</xdr:row>
      <xdr:rowOff>395287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52587524" y="1214437"/>
          <a:ext cx="4763" cy="238125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571502</xdr:colOff>
      <xdr:row>5</xdr:row>
      <xdr:rowOff>171450</xdr:rowOff>
    </xdr:from>
    <xdr:to>
      <xdr:col>84</xdr:col>
      <xdr:colOff>128589</xdr:colOff>
      <xdr:row>5</xdr:row>
      <xdr:rowOff>233362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H="1">
          <a:off x="50968277" y="1228725"/>
          <a:ext cx="166687" cy="61912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79375</xdr:colOff>
      <xdr:row>5</xdr:row>
      <xdr:rowOff>164042</xdr:rowOff>
    </xdr:from>
    <xdr:to>
      <xdr:col>81</xdr:col>
      <xdr:colOff>513291</xdr:colOff>
      <xdr:row>5</xdr:row>
      <xdr:rowOff>169333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>
          <a:off x="46818550" y="1221317"/>
          <a:ext cx="2872316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512885</xdr:colOff>
      <xdr:row>5</xdr:row>
      <xdr:rowOff>171369</xdr:rowOff>
    </xdr:from>
    <xdr:to>
      <xdr:col>77</xdr:col>
      <xdr:colOff>86702</xdr:colOff>
      <xdr:row>5</xdr:row>
      <xdr:rowOff>249115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>
          <a:off x="46642460" y="1228644"/>
          <a:ext cx="183417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508000</xdr:colOff>
      <xdr:row>5</xdr:row>
      <xdr:rowOff>164042</xdr:rowOff>
    </xdr:from>
    <xdr:to>
      <xdr:col>82</xdr:col>
      <xdr:colOff>84667</xdr:colOff>
      <xdr:row>5</xdr:row>
      <xdr:rowOff>238125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49685575" y="1221317"/>
          <a:ext cx="186267" cy="74083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63255</xdr:colOff>
      <xdr:row>5</xdr:row>
      <xdr:rowOff>162576</xdr:rowOff>
    </xdr:from>
    <xdr:to>
      <xdr:col>74</xdr:col>
      <xdr:colOff>497171</xdr:colOff>
      <xdr:row>5</xdr:row>
      <xdr:rowOff>167867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H="1">
          <a:off x="42535230" y="1219851"/>
          <a:ext cx="2872316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496765</xdr:colOff>
      <xdr:row>5</xdr:row>
      <xdr:rowOff>169903</xdr:rowOff>
    </xdr:from>
    <xdr:to>
      <xdr:col>70</xdr:col>
      <xdr:colOff>70582</xdr:colOff>
      <xdr:row>5</xdr:row>
      <xdr:rowOff>247649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 flipH="1">
          <a:off x="42359140" y="1227178"/>
          <a:ext cx="183417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491880</xdr:colOff>
      <xdr:row>5</xdr:row>
      <xdr:rowOff>162576</xdr:rowOff>
    </xdr:from>
    <xdr:to>
      <xdr:col>75</xdr:col>
      <xdr:colOff>68547</xdr:colOff>
      <xdr:row>5</xdr:row>
      <xdr:rowOff>236659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45402255" y="1219851"/>
          <a:ext cx="186267" cy="74083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79375</xdr:colOff>
      <xdr:row>5</xdr:row>
      <xdr:rowOff>168520</xdr:rowOff>
    </xdr:from>
    <xdr:to>
      <xdr:col>67</xdr:col>
      <xdr:colOff>513290</xdr:colOff>
      <xdr:row>5</xdr:row>
      <xdr:rowOff>173811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>
          <a:off x="38284150" y="1225795"/>
          <a:ext cx="2872315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512884</xdr:colOff>
      <xdr:row>5</xdr:row>
      <xdr:rowOff>175847</xdr:rowOff>
    </xdr:from>
    <xdr:to>
      <xdr:col>63</xdr:col>
      <xdr:colOff>86702</xdr:colOff>
      <xdr:row>5</xdr:row>
      <xdr:rowOff>253593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H="1">
          <a:off x="38108059" y="1233122"/>
          <a:ext cx="183418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507999</xdr:colOff>
      <xdr:row>5</xdr:row>
      <xdr:rowOff>168520</xdr:rowOff>
    </xdr:from>
    <xdr:to>
      <xdr:col>68</xdr:col>
      <xdr:colOff>84667</xdr:colOff>
      <xdr:row>5</xdr:row>
      <xdr:rowOff>242603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41151174" y="1225795"/>
          <a:ext cx="186268" cy="74083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86701</xdr:colOff>
      <xdr:row>5</xdr:row>
      <xdr:rowOff>175847</xdr:rowOff>
    </xdr:from>
    <xdr:to>
      <xdr:col>60</xdr:col>
      <xdr:colOff>520617</xdr:colOff>
      <xdr:row>5</xdr:row>
      <xdr:rowOff>181138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H="1">
          <a:off x="34024276" y="1233122"/>
          <a:ext cx="2872316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520211</xdr:colOff>
      <xdr:row>5</xdr:row>
      <xdr:rowOff>183174</xdr:rowOff>
    </xdr:from>
    <xdr:to>
      <xdr:col>56</xdr:col>
      <xdr:colOff>94028</xdr:colOff>
      <xdr:row>5</xdr:row>
      <xdr:rowOff>260920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H="1">
          <a:off x="33848186" y="1240449"/>
          <a:ext cx="183417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515326</xdr:colOff>
      <xdr:row>5</xdr:row>
      <xdr:rowOff>175847</xdr:rowOff>
    </xdr:from>
    <xdr:to>
      <xdr:col>61</xdr:col>
      <xdr:colOff>91993</xdr:colOff>
      <xdr:row>5</xdr:row>
      <xdr:rowOff>249930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>
          <a:off x="36891301" y="1233122"/>
          <a:ext cx="186267" cy="74083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108683</xdr:colOff>
      <xdr:row>5</xdr:row>
      <xdr:rowOff>161192</xdr:rowOff>
    </xdr:from>
    <xdr:to>
      <xdr:col>53</xdr:col>
      <xdr:colOff>542599</xdr:colOff>
      <xdr:row>5</xdr:row>
      <xdr:rowOff>166483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 flipH="1">
          <a:off x="29779058" y="1218467"/>
          <a:ext cx="2872316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542193</xdr:colOff>
      <xdr:row>5</xdr:row>
      <xdr:rowOff>168519</xdr:rowOff>
    </xdr:from>
    <xdr:to>
      <xdr:col>49</xdr:col>
      <xdr:colOff>116010</xdr:colOff>
      <xdr:row>5</xdr:row>
      <xdr:rowOff>246265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H="1">
          <a:off x="29602968" y="1225794"/>
          <a:ext cx="183417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537308</xdr:colOff>
      <xdr:row>5</xdr:row>
      <xdr:rowOff>161192</xdr:rowOff>
    </xdr:from>
    <xdr:to>
      <xdr:col>54</xdr:col>
      <xdr:colOff>113975</xdr:colOff>
      <xdr:row>5</xdr:row>
      <xdr:rowOff>235275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32646083" y="1218467"/>
          <a:ext cx="186267" cy="74083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86701</xdr:colOff>
      <xdr:row>5</xdr:row>
      <xdr:rowOff>168519</xdr:rowOff>
    </xdr:from>
    <xdr:to>
      <xdr:col>46</xdr:col>
      <xdr:colOff>520616</xdr:colOff>
      <xdr:row>5</xdr:row>
      <xdr:rowOff>173810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H="1">
          <a:off x="25489876" y="1225794"/>
          <a:ext cx="2872315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520210</xdr:colOff>
      <xdr:row>5</xdr:row>
      <xdr:rowOff>175846</xdr:rowOff>
    </xdr:from>
    <xdr:to>
      <xdr:col>42</xdr:col>
      <xdr:colOff>94028</xdr:colOff>
      <xdr:row>5</xdr:row>
      <xdr:rowOff>253592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 flipH="1">
          <a:off x="25313785" y="1233121"/>
          <a:ext cx="183418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515325</xdr:colOff>
      <xdr:row>5</xdr:row>
      <xdr:rowOff>168519</xdr:rowOff>
    </xdr:from>
    <xdr:to>
      <xdr:col>47</xdr:col>
      <xdr:colOff>91993</xdr:colOff>
      <xdr:row>5</xdr:row>
      <xdr:rowOff>242602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>
          <a:off x="28356900" y="1225794"/>
          <a:ext cx="186268" cy="74083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72048</xdr:colOff>
      <xdr:row>5</xdr:row>
      <xdr:rowOff>168519</xdr:rowOff>
    </xdr:from>
    <xdr:to>
      <xdr:col>39</xdr:col>
      <xdr:colOff>505963</xdr:colOff>
      <xdr:row>5</xdr:row>
      <xdr:rowOff>173810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 flipH="1">
          <a:off x="21208023" y="1225794"/>
          <a:ext cx="2872315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505558</xdr:colOff>
      <xdr:row>5</xdr:row>
      <xdr:rowOff>175846</xdr:rowOff>
    </xdr:from>
    <xdr:to>
      <xdr:col>35</xdr:col>
      <xdr:colOff>79375</xdr:colOff>
      <xdr:row>5</xdr:row>
      <xdr:rowOff>253592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H="1">
          <a:off x="21031933" y="1233121"/>
          <a:ext cx="183417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500672</xdr:colOff>
      <xdr:row>5</xdr:row>
      <xdr:rowOff>168519</xdr:rowOff>
    </xdr:from>
    <xdr:to>
      <xdr:col>40</xdr:col>
      <xdr:colOff>77340</xdr:colOff>
      <xdr:row>5</xdr:row>
      <xdr:rowOff>242602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>
          <a:off x="24075047" y="1225794"/>
          <a:ext cx="186268" cy="74083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101355</xdr:colOff>
      <xdr:row>5</xdr:row>
      <xdr:rowOff>161192</xdr:rowOff>
    </xdr:from>
    <xdr:to>
      <xdr:col>32</xdr:col>
      <xdr:colOff>535271</xdr:colOff>
      <xdr:row>5</xdr:row>
      <xdr:rowOff>166483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/>
      </xdr:nvCxnSpPr>
      <xdr:spPr>
        <a:xfrm flipH="1">
          <a:off x="16970130" y="1218467"/>
          <a:ext cx="2872316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534865</xdr:colOff>
      <xdr:row>5</xdr:row>
      <xdr:rowOff>168519</xdr:rowOff>
    </xdr:from>
    <xdr:to>
      <xdr:col>28</xdr:col>
      <xdr:colOff>108682</xdr:colOff>
      <xdr:row>5</xdr:row>
      <xdr:rowOff>246265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 flipH="1">
          <a:off x="16794040" y="1225794"/>
          <a:ext cx="183417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529980</xdr:colOff>
      <xdr:row>5</xdr:row>
      <xdr:rowOff>161192</xdr:rowOff>
    </xdr:from>
    <xdr:to>
      <xdr:col>33</xdr:col>
      <xdr:colOff>106647</xdr:colOff>
      <xdr:row>5</xdr:row>
      <xdr:rowOff>235275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19837155" y="1218467"/>
          <a:ext cx="186267" cy="74083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42740</xdr:colOff>
      <xdr:row>5</xdr:row>
      <xdr:rowOff>161193</xdr:rowOff>
    </xdr:from>
    <xdr:to>
      <xdr:col>25</xdr:col>
      <xdr:colOff>476655</xdr:colOff>
      <xdr:row>5</xdr:row>
      <xdr:rowOff>166484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 flipH="1">
          <a:off x="12644315" y="1218468"/>
          <a:ext cx="2872315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476249</xdr:colOff>
      <xdr:row>5</xdr:row>
      <xdr:rowOff>168520</xdr:rowOff>
    </xdr:from>
    <xdr:to>
      <xdr:col>21</xdr:col>
      <xdr:colOff>50067</xdr:colOff>
      <xdr:row>5</xdr:row>
      <xdr:rowOff>246266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/>
      </xdr:nvCxnSpPr>
      <xdr:spPr>
        <a:xfrm flipH="1">
          <a:off x="12468224" y="1225795"/>
          <a:ext cx="183418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471364</xdr:colOff>
      <xdr:row>5</xdr:row>
      <xdr:rowOff>161193</xdr:rowOff>
    </xdr:from>
    <xdr:to>
      <xdr:col>26</xdr:col>
      <xdr:colOff>48031</xdr:colOff>
      <xdr:row>5</xdr:row>
      <xdr:rowOff>235276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/>
      </xdr:nvCxnSpPr>
      <xdr:spPr>
        <a:xfrm>
          <a:off x="15511339" y="1218468"/>
          <a:ext cx="186267" cy="74083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123337</xdr:colOff>
      <xdr:row>5</xdr:row>
      <xdr:rowOff>146539</xdr:rowOff>
    </xdr:from>
    <xdr:to>
      <xdr:col>18</xdr:col>
      <xdr:colOff>557252</xdr:colOff>
      <xdr:row>5</xdr:row>
      <xdr:rowOff>151830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H="1">
          <a:off x="8457712" y="1203814"/>
          <a:ext cx="2872315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556846</xdr:colOff>
      <xdr:row>5</xdr:row>
      <xdr:rowOff>153866</xdr:rowOff>
    </xdr:from>
    <xdr:to>
      <xdr:col>14</xdr:col>
      <xdr:colOff>130664</xdr:colOff>
      <xdr:row>5</xdr:row>
      <xdr:rowOff>231612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flipH="1">
          <a:off x="8281621" y="1211141"/>
          <a:ext cx="183418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551961</xdr:colOff>
      <xdr:row>5</xdr:row>
      <xdr:rowOff>146539</xdr:rowOff>
    </xdr:from>
    <xdr:to>
      <xdr:col>19</xdr:col>
      <xdr:colOff>128629</xdr:colOff>
      <xdr:row>5</xdr:row>
      <xdr:rowOff>220622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>
          <a:off x="11324736" y="1203814"/>
          <a:ext cx="186268" cy="74083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57393</xdr:colOff>
      <xdr:row>5</xdr:row>
      <xdr:rowOff>175846</xdr:rowOff>
    </xdr:from>
    <xdr:to>
      <xdr:col>11</xdr:col>
      <xdr:colOff>593886</xdr:colOff>
      <xdr:row>5</xdr:row>
      <xdr:rowOff>181137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 flipH="1">
          <a:off x="4229343" y="1233121"/>
          <a:ext cx="2870118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490903</xdr:colOff>
      <xdr:row>5</xdr:row>
      <xdr:rowOff>183173</xdr:rowOff>
    </xdr:from>
    <xdr:to>
      <xdr:col>7</xdr:col>
      <xdr:colOff>64720</xdr:colOff>
      <xdr:row>5</xdr:row>
      <xdr:rowOff>260919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/>
      </xdr:nvCxnSpPr>
      <xdr:spPr>
        <a:xfrm flipH="1">
          <a:off x="4053253" y="1240448"/>
          <a:ext cx="183417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588595</xdr:colOff>
      <xdr:row>5</xdr:row>
      <xdr:rowOff>175846</xdr:rowOff>
    </xdr:from>
    <xdr:to>
      <xdr:col>12</xdr:col>
      <xdr:colOff>165262</xdr:colOff>
      <xdr:row>5</xdr:row>
      <xdr:rowOff>249929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>
        <a:xfrm>
          <a:off x="7094170" y="1233121"/>
          <a:ext cx="186267" cy="74083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422275</xdr:colOff>
      <xdr:row>5</xdr:row>
      <xdr:rowOff>401516</xdr:rowOff>
    </xdr:from>
    <xdr:to>
      <xdr:col>8</xdr:col>
      <xdr:colOff>248056</xdr:colOff>
      <xdr:row>5</xdr:row>
      <xdr:rowOff>406807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/>
      </xdr:nvCxnSpPr>
      <xdr:spPr>
        <a:xfrm flipH="1">
          <a:off x="2146300" y="1458791"/>
          <a:ext cx="2883306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511786</xdr:colOff>
      <xdr:row>5</xdr:row>
      <xdr:rowOff>147638</xdr:rowOff>
    </xdr:from>
    <xdr:to>
      <xdr:col>5</xdr:col>
      <xdr:colOff>64111</xdr:colOff>
      <xdr:row>5</xdr:row>
      <xdr:rowOff>223838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>
          <a:off x="2845411" y="1204913"/>
          <a:ext cx="171450" cy="76200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271097</xdr:colOff>
      <xdr:row>5</xdr:row>
      <xdr:rowOff>329712</xdr:rowOff>
    </xdr:from>
    <xdr:to>
      <xdr:col>3</xdr:col>
      <xdr:colOff>431557</xdr:colOff>
      <xdr:row>5</xdr:row>
      <xdr:rowOff>405912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/>
      </xdr:nvCxnSpPr>
      <xdr:spPr>
        <a:xfrm>
          <a:off x="1995122" y="1386987"/>
          <a:ext cx="160460" cy="76200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232996</xdr:colOff>
      <xdr:row>5</xdr:row>
      <xdr:rowOff>328246</xdr:rowOff>
    </xdr:from>
    <xdr:to>
      <xdr:col>8</xdr:col>
      <xdr:colOff>414948</xdr:colOff>
      <xdr:row>5</xdr:row>
      <xdr:rowOff>405992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/>
      </xdr:nvCxnSpPr>
      <xdr:spPr>
        <a:xfrm flipH="1">
          <a:off x="5014546" y="1385521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435462</xdr:colOff>
      <xdr:row>5</xdr:row>
      <xdr:rowOff>414705</xdr:rowOff>
    </xdr:from>
    <xdr:to>
      <xdr:col>15</xdr:col>
      <xdr:colOff>261243</xdr:colOff>
      <xdr:row>5</xdr:row>
      <xdr:rowOff>419996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/>
      </xdr:nvCxnSpPr>
      <xdr:spPr>
        <a:xfrm flipH="1">
          <a:off x="6331437" y="1471980"/>
          <a:ext cx="2873781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284284</xdr:colOff>
      <xdr:row>5</xdr:row>
      <xdr:rowOff>342901</xdr:rowOff>
    </xdr:from>
    <xdr:to>
      <xdr:col>10</xdr:col>
      <xdr:colOff>444744</xdr:colOff>
      <xdr:row>5</xdr:row>
      <xdr:rowOff>419101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/>
      </xdr:nvCxnSpPr>
      <xdr:spPr>
        <a:xfrm>
          <a:off x="6180259" y="1400176"/>
          <a:ext cx="160460" cy="76200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246183</xdr:colOff>
      <xdr:row>5</xdr:row>
      <xdr:rowOff>341435</xdr:rowOff>
    </xdr:from>
    <xdr:to>
      <xdr:col>15</xdr:col>
      <xdr:colOff>428135</xdr:colOff>
      <xdr:row>5</xdr:row>
      <xdr:rowOff>419181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/>
      </xdr:nvCxnSpPr>
      <xdr:spPr>
        <a:xfrm flipH="1">
          <a:off x="9190158" y="1398710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451582</xdr:colOff>
      <xdr:row>5</xdr:row>
      <xdr:rowOff>417636</xdr:rowOff>
    </xdr:from>
    <xdr:to>
      <xdr:col>22</xdr:col>
      <xdr:colOff>277363</xdr:colOff>
      <xdr:row>5</xdr:row>
      <xdr:rowOff>422927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flipH="1">
          <a:off x="10614757" y="1474911"/>
          <a:ext cx="2873781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300404</xdr:colOff>
      <xdr:row>5</xdr:row>
      <xdr:rowOff>345832</xdr:rowOff>
    </xdr:from>
    <xdr:to>
      <xdr:col>17</xdr:col>
      <xdr:colOff>460864</xdr:colOff>
      <xdr:row>5</xdr:row>
      <xdr:rowOff>422032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/>
      </xdr:nvCxnSpPr>
      <xdr:spPr>
        <a:xfrm>
          <a:off x="10463579" y="1403107"/>
          <a:ext cx="160460" cy="76200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262303</xdr:colOff>
      <xdr:row>5</xdr:row>
      <xdr:rowOff>344366</xdr:rowOff>
    </xdr:from>
    <xdr:to>
      <xdr:col>22</xdr:col>
      <xdr:colOff>444255</xdr:colOff>
      <xdr:row>5</xdr:row>
      <xdr:rowOff>422112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CxnSpPr/>
      </xdr:nvCxnSpPr>
      <xdr:spPr>
        <a:xfrm flipH="1">
          <a:off x="13473478" y="1401641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458910</xdr:colOff>
      <xdr:row>5</xdr:row>
      <xdr:rowOff>410309</xdr:rowOff>
    </xdr:from>
    <xdr:to>
      <xdr:col>29</xdr:col>
      <xdr:colOff>284691</xdr:colOff>
      <xdr:row>5</xdr:row>
      <xdr:rowOff>415600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 flipH="1">
          <a:off x="14889285" y="1467584"/>
          <a:ext cx="2873781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307732</xdr:colOff>
      <xdr:row>5</xdr:row>
      <xdr:rowOff>338505</xdr:rowOff>
    </xdr:from>
    <xdr:to>
      <xdr:col>24</xdr:col>
      <xdr:colOff>468192</xdr:colOff>
      <xdr:row>5</xdr:row>
      <xdr:rowOff>414705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/>
      </xdr:nvCxnSpPr>
      <xdr:spPr>
        <a:xfrm>
          <a:off x="14738107" y="1395780"/>
          <a:ext cx="160460" cy="76200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269631</xdr:colOff>
      <xdr:row>5</xdr:row>
      <xdr:rowOff>337039</xdr:rowOff>
    </xdr:from>
    <xdr:to>
      <xdr:col>29</xdr:col>
      <xdr:colOff>451583</xdr:colOff>
      <xdr:row>5</xdr:row>
      <xdr:rowOff>414785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/>
      </xdr:nvCxnSpPr>
      <xdr:spPr>
        <a:xfrm flipH="1">
          <a:off x="17748006" y="1394314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392966</xdr:colOff>
      <xdr:row>5</xdr:row>
      <xdr:rowOff>395655</xdr:rowOff>
    </xdr:from>
    <xdr:to>
      <xdr:col>36</xdr:col>
      <xdr:colOff>218747</xdr:colOff>
      <xdr:row>5</xdr:row>
      <xdr:rowOff>400946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/>
      </xdr:nvCxnSpPr>
      <xdr:spPr>
        <a:xfrm flipH="1">
          <a:off x="19090541" y="1452930"/>
          <a:ext cx="2873781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241788</xdr:colOff>
      <xdr:row>5</xdr:row>
      <xdr:rowOff>323851</xdr:rowOff>
    </xdr:from>
    <xdr:to>
      <xdr:col>31</xdr:col>
      <xdr:colOff>402248</xdr:colOff>
      <xdr:row>5</xdr:row>
      <xdr:rowOff>400051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/>
      </xdr:nvCxnSpPr>
      <xdr:spPr>
        <a:xfrm>
          <a:off x="18939363" y="1381126"/>
          <a:ext cx="160460" cy="76200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203687</xdr:colOff>
      <xdr:row>5</xdr:row>
      <xdr:rowOff>322385</xdr:rowOff>
    </xdr:from>
    <xdr:to>
      <xdr:col>36</xdr:col>
      <xdr:colOff>385639</xdr:colOff>
      <xdr:row>5</xdr:row>
      <xdr:rowOff>400131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CxnSpPr/>
      </xdr:nvCxnSpPr>
      <xdr:spPr>
        <a:xfrm flipH="1">
          <a:off x="21949262" y="1379660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414948</xdr:colOff>
      <xdr:row>5</xdr:row>
      <xdr:rowOff>410309</xdr:rowOff>
    </xdr:from>
    <xdr:to>
      <xdr:col>43</xdr:col>
      <xdr:colOff>240729</xdr:colOff>
      <xdr:row>5</xdr:row>
      <xdr:rowOff>415600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/>
      </xdr:nvCxnSpPr>
      <xdr:spPr>
        <a:xfrm flipH="1">
          <a:off x="23379723" y="1467584"/>
          <a:ext cx="2873781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263770</xdr:colOff>
      <xdr:row>5</xdr:row>
      <xdr:rowOff>338505</xdr:rowOff>
    </xdr:from>
    <xdr:to>
      <xdr:col>38</xdr:col>
      <xdr:colOff>424230</xdr:colOff>
      <xdr:row>5</xdr:row>
      <xdr:rowOff>414705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/>
      </xdr:nvCxnSpPr>
      <xdr:spPr>
        <a:xfrm>
          <a:off x="23228545" y="1395780"/>
          <a:ext cx="160460" cy="76200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225669</xdr:colOff>
      <xdr:row>5</xdr:row>
      <xdr:rowOff>337039</xdr:rowOff>
    </xdr:from>
    <xdr:to>
      <xdr:col>43</xdr:col>
      <xdr:colOff>407621</xdr:colOff>
      <xdr:row>5</xdr:row>
      <xdr:rowOff>414785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CxnSpPr/>
      </xdr:nvCxnSpPr>
      <xdr:spPr>
        <a:xfrm flipH="1">
          <a:off x="26238444" y="1394314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451582</xdr:colOff>
      <xdr:row>5</xdr:row>
      <xdr:rowOff>402982</xdr:rowOff>
    </xdr:from>
    <xdr:to>
      <xdr:col>50</xdr:col>
      <xdr:colOff>277363</xdr:colOff>
      <xdr:row>5</xdr:row>
      <xdr:rowOff>408273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flipH="1">
          <a:off x="27683557" y="1460257"/>
          <a:ext cx="2873781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300404</xdr:colOff>
      <xdr:row>5</xdr:row>
      <xdr:rowOff>331178</xdr:rowOff>
    </xdr:from>
    <xdr:to>
      <xdr:col>45</xdr:col>
      <xdr:colOff>460864</xdr:colOff>
      <xdr:row>5</xdr:row>
      <xdr:rowOff>407378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>
          <a:off x="27532379" y="1388453"/>
          <a:ext cx="160460" cy="76200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262303</xdr:colOff>
      <xdr:row>5</xdr:row>
      <xdr:rowOff>329712</xdr:rowOff>
    </xdr:from>
    <xdr:to>
      <xdr:col>50</xdr:col>
      <xdr:colOff>444255</xdr:colOff>
      <xdr:row>5</xdr:row>
      <xdr:rowOff>407458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flipH="1">
          <a:off x="30542278" y="1386987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451581</xdr:colOff>
      <xdr:row>5</xdr:row>
      <xdr:rowOff>410309</xdr:rowOff>
    </xdr:from>
    <xdr:to>
      <xdr:col>57</xdr:col>
      <xdr:colOff>277362</xdr:colOff>
      <xdr:row>5</xdr:row>
      <xdr:rowOff>415600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/>
      </xdr:nvCxnSpPr>
      <xdr:spPr>
        <a:xfrm flipH="1">
          <a:off x="31950756" y="1467584"/>
          <a:ext cx="2873781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300403</xdr:colOff>
      <xdr:row>5</xdr:row>
      <xdr:rowOff>338505</xdr:rowOff>
    </xdr:from>
    <xdr:to>
      <xdr:col>52</xdr:col>
      <xdr:colOff>460863</xdr:colOff>
      <xdr:row>5</xdr:row>
      <xdr:rowOff>414705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/>
      </xdr:nvCxnSpPr>
      <xdr:spPr>
        <a:xfrm>
          <a:off x="31799578" y="1395780"/>
          <a:ext cx="160460" cy="76200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262302</xdr:colOff>
      <xdr:row>5</xdr:row>
      <xdr:rowOff>337039</xdr:rowOff>
    </xdr:from>
    <xdr:to>
      <xdr:col>57</xdr:col>
      <xdr:colOff>444254</xdr:colOff>
      <xdr:row>5</xdr:row>
      <xdr:rowOff>414785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CxnSpPr/>
      </xdr:nvCxnSpPr>
      <xdr:spPr>
        <a:xfrm flipH="1">
          <a:off x="34809477" y="1394314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422273</xdr:colOff>
      <xdr:row>5</xdr:row>
      <xdr:rowOff>417635</xdr:rowOff>
    </xdr:from>
    <xdr:to>
      <xdr:col>64</xdr:col>
      <xdr:colOff>248054</xdr:colOff>
      <xdr:row>5</xdr:row>
      <xdr:rowOff>422926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CxnSpPr/>
      </xdr:nvCxnSpPr>
      <xdr:spPr>
        <a:xfrm flipH="1">
          <a:off x="36188648" y="1474910"/>
          <a:ext cx="2873781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271095</xdr:colOff>
      <xdr:row>5</xdr:row>
      <xdr:rowOff>345831</xdr:rowOff>
    </xdr:from>
    <xdr:to>
      <xdr:col>59</xdr:col>
      <xdr:colOff>431555</xdr:colOff>
      <xdr:row>5</xdr:row>
      <xdr:rowOff>422031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CxnSpPr/>
      </xdr:nvCxnSpPr>
      <xdr:spPr>
        <a:xfrm>
          <a:off x="36037470" y="1403106"/>
          <a:ext cx="160460" cy="76200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232994</xdr:colOff>
      <xdr:row>5</xdr:row>
      <xdr:rowOff>344365</xdr:rowOff>
    </xdr:from>
    <xdr:to>
      <xdr:col>64</xdr:col>
      <xdr:colOff>414946</xdr:colOff>
      <xdr:row>5</xdr:row>
      <xdr:rowOff>422111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/>
      </xdr:nvCxnSpPr>
      <xdr:spPr>
        <a:xfrm flipH="1">
          <a:off x="39047369" y="1401640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407621</xdr:colOff>
      <xdr:row>5</xdr:row>
      <xdr:rowOff>395655</xdr:rowOff>
    </xdr:from>
    <xdr:to>
      <xdr:col>71</xdr:col>
      <xdr:colOff>233402</xdr:colOff>
      <xdr:row>5</xdr:row>
      <xdr:rowOff>400946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CxnSpPr/>
      </xdr:nvCxnSpPr>
      <xdr:spPr>
        <a:xfrm flipH="1">
          <a:off x="40441196" y="1452930"/>
          <a:ext cx="2873781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256443</xdr:colOff>
      <xdr:row>5</xdr:row>
      <xdr:rowOff>323851</xdr:rowOff>
    </xdr:from>
    <xdr:to>
      <xdr:col>66</xdr:col>
      <xdr:colOff>416903</xdr:colOff>
      <xdr:row>5</xdr:row>
      <xdr:rowOff>400051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CxnSpPr/>
      </xdr:nvCxnSpPr>
      <xdr:spPr>
        <a:xfrm>
          <a:off x="40290018" y="1381126"/>
          <a:ext cx="160460" cy="76200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218342</xdr:colOff>
      <xdr:row>5</xdr:row>
      <xdr:rowOff>322385</xdr:rowOff>
    </xdr:from>
    <xdr:to>
      <xdr:col>71</xdr:col>
      <xdr:colOff>400294</xdr:colOff>
      <xdr:row>5</xdr:row>
      <xdr:rowOff>400131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CxnSpPr/>
      </xdr:nvCxnSpPr>
      <xdr:spPr>
        <a:xfrm flipH="1">
          <a:off x="43299917" y="1379660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429601</xdr:colOff>
      <xdr:row>5</xdr:row>
      <xdr:rowOff>410309</xdr:rowOff>
    </xdr:from>
    <xdr:to>
      <xdr:col>78</xdr:col>
      <xdr:colOff>255381</xdr:colOff>
      <xdr:row>5</xdr:row>
      <xdr:rowOff>415600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CxnSpPr/>
      </xdr:nvCxnSpPr>
      <xdr:spPr>
        <a:xfrm flipH="1">
          <a:off x="44730376" y="1467584"/>
          <a:ext cx="2873780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278423</xdr:colOff>
      <xdr:row>5</xdr:row>
      <xdr:rowOff>338505</xdr:rowOff>
    </xdr:from>
    <xdr:to>
      <xdr:col>73</xdr:col>
      <xdr:colOff>438883</xdr:colOff>
      <xdr:row>5</xdr:row>
      <xdr:rowOff>414705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CxnSpPr/>
      </xdr:nvCxnSpPr>
      <xdr:spPr>
        <a:xfrm>
          <a:off x="44579198" y="1395780"/>
          <a:ext cx="160460" cy="76200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240321</xdr:colOff>
      <xdr:row>5</xdr:row>
      <xdr:rowOff>337039</xdr:rowOff>
    </xdr:from>
    <xdr:to>
      <xdr:col>78</xdr:col>
      <xdr:colOff>422273</xdr:colOff>
      <xdr:row>5</xdr:row>
      <xdr:rowOff>414785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CxnSpPr/>
      </xdr:nvCxnSpPr>
      <xdr:spPr>
        <a:xfrm flipH="1">
          <a:off x="47589096" y="1394314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319697</xdr:colOff>
      <xdr:row>5</xdr:row>
      <xdr:rowOff>402982</xdr:rowOff>
    </xdr:from>
    <xdr:to>
      <xdr:col>85</xdr:col>
      <xdr:colOff>145478</xdr:colOff>
      <xdr:row>5</xdr:row>
      <xdr:rowOff>408273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CxnSpPr/>
      </xdr:nvCxnSpPr>
      <xdr:spPr>
        <a:xfrm flipH="1">
          <a:off x="48887672" y="1460257"/>
          <a:ext cx="2873781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168519</xdr:colOff>
      <xdr:row>5</xdr:row>
      <xdr:rowOff>331178</xdr:rowOff>
    </xdr:from>
    <xdr:to>
      <xdr:col>80</xdr:col>
      <xdr:colOff>328979</xdr:colOff>
      <xdr:row>5</xdr:row>
      <xdr:rowOff>407378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/>
      </xdr:nvCxnSpPr>
      <xdr:spPr>
        <a:xfrm>
          <a:off x="48736494" y="1388453"/>
          <a:ext cx="160460" cy="76200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130418</xdr:colOff>
      <xdr:row>5</xdr:row>
      <xdr:rowOff>329712</xdr:rowOff>
    </xdr:from>
    <xdr:to>
      <xdr:col>85</xdr:col>
      <xdr:colOff>312370</xdr:colOff>
      <xdr:row>5</xdr:row>
      <xdr:rowOff>407458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CxnSpPr/>
      </xdr:nvCxnSpPr>
      <xdr:spPr>
        <a:xfrm flipH="1">
          <a:off x="51746393" y="1386987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80596</xdr:colOff>
      <xdr:row>5</xdr:row>
      <xdr:rowOff>95250</xdr:rowOff>
    </xdr:from>
    <xdr:to>
      <xdr:col>86</xdr:col>
      <xdr:colOff>508000</xdr:colOff>
      <xdr:row>5</xdr:row>
      <xdr:rowOff>95250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694429" y="857250"/>
          <a:ext cx="51576654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497416</xdr:colOff>
      <xdr:row>5</xdr:row>
      <xdr:rowOff>84667</xdr:rowOff>
    </xdr:from>
    <xdr:to>
      <xdr:col>86</xdr:col>
      <xdr:colOff>508000</xdr:colOff>
      <xdr:row>5</xdr:row>
      <xdr:rowOff>412750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>
          <a:off x="52461583" y="846667"/>
          <a:ext cx="10584" cy="328083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79375</xdr:colOff>
      <xdr:row>5</xdr:row>
      <xdr:rowOff>95250</xdr:rowOff>
    </xdr:from>
    <xdr:to>
      <xdr:col>2</xdr:col>
      <xdr:colOff>84667</xdr:colOff>
      <xdr:row>5</xdr:row>
      <xdr:rowOff>373063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 flipH="1">
          <a:off x="690563" y="857250"/>
          <a:ext cx="5292" cy="277813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119063</xdr:colOff>
      <xdr:row>5</xdr:row>
      <xdr:rowOff>471488</xdr:rowOff>
    </xdr:from>
    <xdr:to>
      <xdr:col>86</xdr:col>
      <xdr:colOff>446484</xdr:colOff>
      <xdr:row>5</xdr:row>
      <xdr:rowOff>476250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/>
      </xdr:nvCxnSpPr>
      <xdr:spPr>
        <a:xfrm>
          <a:off x="728663" y="1233488"/>
          <a:ext cx="51324271" cy="476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121440</xdr:colOff>
      <xdr:row>5</xdr:row>
      <xdr:rowOff>184547</xdr:rowOff>
    </xdr:from>
    <xdr:to>
      <xdr:col>2</xdr:col>
      <xdr:colOff>121440</xdr:colOff>
      <xdr:row>5</xdr:row>
      <xdr:rowOff>470297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/>
      </xdr:nvCxnSpPr>
      <xdr:spPr>
        <a:xfrm flipV="1">
          <a:off x="731040" y="946547"/>
          <a:ext cx="0" cy="28575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431270</xdr:colOff>
      <xdr:row>5</xdr:row>
      <xdr:rowOff>156104</xdr:rowOff>
    </xdr:from>
    <xdr:to>
      <xdr:col>86</xdr:col>
      <xdr:colOff>441854</xdr:colOff>
      <xdr:row>5</xdr:row>
      <xdr:rowOff>484187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CxnSpPr/>
      </xdr:nvCxnSpPr>
      <xdr:spPr>
        <a:xfrm>
          <a:off x="51842458" y="918104"/>
          <a:ext cx="10584" cy="328083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166688</xdr:colOff>
      <xdr:row>5</xdr:row>
      <xdr:rowOff>147638</xdr:rowOff>
    </xdr:from>
    <xdr:to>
      <xdr:col>2</xdr:col>
      <xdr:colOff>171450</xdr:colOff>
      <xdr:row>5</xdr:row>
      <xdr:rowOff>338138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CxnSpPr/>
      </xdr:nvCxnSpPr>
      <xdr:spPr>
        <a:xfrm flipH="1" flipV="1">
          <a:off x="776288" y="909638"/>
          <a:ext cx="4762" cy="190500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166688</xdr:colOff>
      <xdr:row>5</xdr:row>
      <xdr:rowOff>142875</xdr:rowOff>
    </xdr:from>
    <xdr:to>
      <xdr:col>4</xdr:col>
      <xdr:colOff>514350</xdr:colOff>
      <xdr:row>5</xdr:row>
      <xdr:rowOff>147638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CxnSpPr/>
      </xdr:nvCxnSpPr>
      <xdr:spPr>
        <a:xfrm flipV="1">
          <a:off x="776288" y="904875"/>
          <a:ext cx="1462087" cy="4763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509588</xdr:colOff>
      <xdr:row>5</xdr:row>
      <xdr:rowOff>147638</xdr:rowOff>
    </xdr:from>
    <xdr:to>
      <xdr:col>5</xdr:col>
      <xdr:colOff>61913</xdr:colOff>
      <xdr:row>5</xdr:row>
      <xdr:rowOff>223838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CxnSpPr/>
      </xdr:nvCxnSpPr>
      <xdr:spPr>
        <a:xfrm>
          <a:off x="2233613" y="909638"/>
          <a:ext cx="161925" cy="76200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123825</xdr:colOff>
      <xdr:row>5</xdr:row>
      <xdr:rowOff>166688</xdr:rowOff>
    </xdr:from>
    <xdr:to>
      <xdr:col>86</xdr:col>
      <xdr:colOff>366712</xdr:colOff>
      <xdr:row>5</xdr:row>
      <xdr:rowOff>171451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CxnSpPr/>
      </xdr:nvCxnSpPr>
      <xdr:spPr>
        <a:xfrm flipV="1">
          <a:off x="50511075" y="928688"/>
          <a:ext cx="1462087" cy="4763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361949</xdr:colOff>
      <xdr:row>5</xdr:row>
      <xdr:rowOff>157162</xdr:rowOff>
    </xdr:from>
    <xdr:to>
      <xdr:col>86</xdr:col>
      <xdr:colOff>366712</xdr:colOff>
      <xdr:row>5</xdr:row>
      <xdr:rowOff>395287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CxnSpPr/>
      </xdr:nvCxnSpPr>
      <xdr:spPr>
        <a:xfrm>
          <a:off x="51968399" y="919162"/>
          <a:ext cx="4763" cy="238125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571502</xdr:colOff>
      <xdr:row>5</xdr:row>
      <xdr:rowOff>171450</xdr:rowOff>
    </xdr:from>
    <xdr:to>
      <xdr:col>84</xdr:col>
      <xdr:colOff>128589</xdr:colOff>
      <xdr:row>5</xdr:row>
      <xdr:rowOff>233362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 flipH="1">
          <a:off x="50349152" y="933450"/>
          <a:ext cx="166687" cy="61912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79375</xdr:colOff>
      <xdr:row>5</xdr:row>
      <xdr:rowOff>164042</xdr:rowOff>
    </xdr:from>
    <xdr:to>
      <xdr:col>81</xdr:col>
      <xdr:colOff>513291</xdr:colOff>
      <xdr:row>5</xdr:row>
      <xdr:rowOff>169333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46116875" y="926042"/>
          <a:ext cx="2868083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512885</xdr:colOff>
      <xdr:row>5</xdr:row>
      <xdr:rowOff>171369</xdr:rowOff>
    </xdr:from>
    <xdr:to>
      <xdr:col>77</xdr:col>
      <xdr:colOff>86702</xdr:colOff>
      <xdr:row>5</xdr:row>
      <xdr:rowOff>249115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 flipH="1">
          <a:off x="45917827" y="933369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508000</xdr:colOff>
      <xdr:row>5</xdr:row>
      <xdr:rowOff>164042</xdr:rowOff>
    </xdr:from>
    <xdr:to>
      <xdr:col>82</xdr:col>
      <xdr:colOff>84667</xdr:colOff>
      <xdr:row>5</xdr:row>
      <xdr:rowOff>238125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CxnSpPr/>
      </xdr:nvCxnSpPr>
      <xdr:spPr>
        <a:xfrm>
          <a:off x="48979667" y="926042"/>
          <a:ext cx="185208" cy="74083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63255</xdr:colOff>
      <xdr:row>5</xdr:row>
      <xdr:rowOff>162576</xdr:rowOff>
    </xdr:from>
    <xdr:to>
      <xdr:col>74</xdr:col>
      <xdr:colOff>497171</xdr:colOff>
      <xdr:row>5</xdr:row>
      <xdr:rowOff>167867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CxnSpPr/>
      </xdr:nvCxnSpPr>
      <xdr:spPr>
        <a:xfrm flipH="1">
          <a:off x="41819390" y="924576"/>
          <a:ext cx="2866454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496765</xdr:colOff>
      <xdr:row>5</xdr:row>
      <xdr:rowOff>169903</xdr:rowOff>
    </xdr:from>
    <xdr:to>
      <xdr:col>70</xdr:col>
      <xdr:colOff>70582</xdr:colOff>
      <xdr:row>5</xdr:row>
      <xdr:rowOff>247649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CxnSpPr/>
      </xdr:nvCxnSpPr>
      <xdr:spPr>
        <a:xfrm flipH="1">
          <a:off x="41644765" y="931903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491880</xdr:colOff>
      <xdr:row>5</xdr:row>
      <xdr:rowOff>162576</xdr:rowOff>
    </xdr:from>
    <xdr:to>
      <xdr:col>75</xdr:col>
      <xdr:colOff>68547</xdr:colOff>
      <xdr:row>5</xdr:row>
      <xdr:rowOff>236659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CxnSpPr/>
      </xdr:nvCxnSpPr>
      <xdr:spPr>
        <a:xfrm>
          <a:off x="44680553" y="924576"/>
          <a:ext cx="184802" cy="74083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79375</xdr:colOff>
      <xdr:row>5</xdr:row>
      <xdr:rowOff>168520</xdr:rowOff>
    </xdr:from>
    <xdr:to>
      <xdr:col>67</xdr:col>
      <xdr:colOff>513290</xdr:colOff>
      <xdr:row>5</xdr:row>
      <xdr:rowOff>173811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CxnSpPr/>
      </xdr:nvCxnSpPr>
      <xdr:spPr>
        <a:xfrm flipH="1">
          <a:off x="37578567" y="930520"/>
          <a:ext cx="2866454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512884</xdr:colOff>
      <xdr:row>5</xdr:row>
      <xdr:rowOff>175847</xdr:rowOff>
    </xdr:from>
    <xdr:to>
      <xdr:col>63</xdr:col>
      <xdr:colOff>86702</xdr:colOff>
      <xdr:row>5</xdr:row>
      <xdr:rowOff>253593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CxnSpPr/>
      </xdr:nvCxnSpPr>
      <xdr:spPr>
        <a:xfrm flipH="1">
          <a:off x="37403942" y="937847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507999</xdr:colOff>
      <xdr:row>5</xdr:row>
      <xdr:rowOff>168520</xdr:rowOff>
    </xdr:from>
    <xdr:to>
      <xdr:col>68</xdr:col>
      <xdr:colOff>84667</xdr:colOff>
      <xdr:row>5</xdr:row>
      <xdr:rowOff>242603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CxnSpPr/>
      </xdr:nvCxnSpPr>
      <xdr:spPr>
        <a:xfrm>
          <a:off x="40439730" y="930520"/>
          <a:ext cx="184802" cy="74083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86701</xdr:colOff>
      <xdr:row>5</xdr:row>
      <xdr:rowOff>175847</xdr:rowOff>
    </xdr:from>
    <xdr:to>
      <xdr:col>60</xdr:col>
      <xdr:colOff>520617</xdr:colOff>
      <xdr:row>5</xdr:row>
      <xdr:rowOff>181138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CxnSpPr/>
      </xdr:nvCxnSpPr>
      <xdr:spPr>
        <a:xfrm flipH="1">
          <a:off x="33328951" y="937847"/>
          <a:ext cx="2866454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520211</xdr:colOff>
      <xdr:row>5</xdr:row>
      <xdr:rowOff>183174</xdr:rowOff>
    </xdr:from>
    <xdr:to>
      <xdr:col>56</xdr:col>
      <xdr:colOff>94028</xdr:colOff>
      <xdr:row>5</xdr:row>
      <xdr:rowOff>260920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CxnSpPr/>
      </xdr:nvCxnSpPr>
      <xdr:spPr>
        <a:xfrm flipH="1">
          <a:off x="33154326" y="945174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515326</xdr:colOff>
      <xdr:row>5</xdr:row>
      <xdr:rowOff>175847</xdr:rowOff>
    </xdr:from>
    <xdr:to>
      <xdr:col>61</xdr:col>
      <xdr:colOff>91993</xdr:colOff>
      <xdr:row>5</xdr:row>
      <xdr:rowOff>249930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/>
      </xdr:nvCxnSpPr>
      <xdr:spPr>
        <a:xfrm>
          <a:off x="36190114" y="937847"/>
          <a:ext cx="184802" cy="74083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108683</xdr:colOff>
      <xdr:row>5</xdr:row>
      <xdr:rowOff>161192</xdr:rowOff>
    </xdr:from>
    <xdr:to>
      <xdr:col>53</xdr:col>
      <xdr:colOff>542599</xdr:colOff>
      <xdr:row>5</xdr:row>
      <xdr:rowOff>166483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CxnSpPr/>
      </xdr:nvCxnSpPr>
      <xdr:spPr>
        <a:xfrm flipH="1">
          <a:off x="29093991" y="923192"/>
          <a:ext cx="2866454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542193</xdr:colOff>
      <xdr:row>5</xdr:row>
      <xdr:rowOff>168519</xdr:rowOff>
    </xdr:from>
    <xdr:to>
      <xdr:col>49</xdr:col>
      <xdr:colOff>116010</xdr:colOff>
      <xdr:row>5</xdr:row>
      <xdr:rowOff>246265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/>
      </xdr:nvCxnSpPr>
      <xdr:spPr>
        <a:xfrm flipH="1">
          <a:off x="28919366" y="930519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537308</xdr:colOff>
      <xdr:row>5</xdr:row>
      <xdr:rowOff>161192</xdr:rowOff>
    </xdr:from>
    <xdr:to>
      <xdr:col>54</xdr:col>
      <xdr:colOff>113975</xdr:colOff>
      <xdr:row>5</xdr:row>
      <xdr:rowOff>235275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/>
      </xdr:nvCxnSpPr>
      <xdr:spPr>
        <a:xfrm>
          <a:off x="31955154" y="923192"/>
          <a:ext cx="184802" cy="74083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86701</xdr:colOff>
      <xdr:row>5</xdr:row>
      <xdr:rowOff>168519</xdr:rowOff>
    </xdr:from>
    <xdr:to>
      <xdr:col>46</xdr:col>
      <xdr:colOff>520616</xdr:colOff>
      <xdr:row>5</xdr:row>
      <xdr:rowOff>173810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CxnSpPr/>
      </xdr:nvCxnSpPr>
      <xdr:spPr>
        <a:xfrm flipH="1">
          <a:off x="24815066" y="930519"/>
          <a:ext cx="2866454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520210</xdr:colOff>
      <xdr:row>5</xdr:row>
      <xdr:rowOff>175846</xdr:rowOff>
    </xdr:from>
    <xdr:to>
      <xdr:col>42</xdr:col>
      <xdr:colOff>94028</xdr:colOff>
      <xdr:row>5</xdr:row>
      <xdr:rowOff>253592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CxnSpPr/>
      </xdr:nvCxnSpPr>
      <xdr:spPr>
        <a:xfrm flipH="1">
          <a:off x="24640441" y="937846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515325</xdr:colOff>
      <xdr:row>5</xdr:row>
      <xdr:rowOff>168519</xdr:rowOff>
    </xdr:from>
    <xdr:to>
      <xdr:col>47</xdr:col>
      <xdr:colOff>91993</xdr:colOff>
      <xdr:row>5</xdr:row>
      <xdr:rowOff>242602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CxnSpPr/>
      </xdr:nvCxnSpPr>
      <xdr:spPr>
        <a:xfrm>
          <a:off x="27676229" y="930519"/>
          <a:ext cx="184802" cy="74083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72048</xdr:colOff>
      <xdr:row>5</xdr:row>
      <xdr:rowOff>168519</xdr:rowOff>
    </xdr:from>
    <xdr:to>
      <xdr:col>39</xdr:col>
      <xdr:colOff>505963</xdr:colOff>
      <xdr:row>5</xdr:row>
      <xdr:rowOff>173810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CxnSpPr/>
      </xdr:nvCxnSpPr>
      <xdr:spPr>
        <a:xfrm flipH="1">
          <a:off x="20543471" y="930519"/>
          <a:ext cx="2866454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505558</xdr:colOff>
      <xdr:row>5</xdr:row>
      <xdr:rowOff>175846</xdr:rowOff>
    </xdr:from>
    <xdr:to>
      <xdr:col>35</xdr:col>
      <xdr:colOff>79375</xdr:colOff>
      <xdr:row>5</xdr:row>
      <xdr:rowOff>253592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CxnSpPr/>
      </xdr:nvCxnSpPr>
      <xdr:spPr>
        <a:xfrm flipH="1">
          <a:off x="20368846" y="937846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500672</xdr:colOff>
      <xdr:row>5</xdr:row>
      <xdr:rowOff>168519</xdr:rowOff>
    </xdr:from>
    <xdr:to>
      <xdr:col>40</xdr:col>
      <xdr:colOff>77340</xdr:colOff>
      <xdr:row>5</xdr:row>
      <xdr:rowOff>242602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CxnSpPr/>
      </xdr:nvCxnSpPr>
      <xdr:spPr>
        <a:xfrm>
          <a:off x="23404634" y="930519"/>
          <a:ext cx="184802" cy="74083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101355</xdr:colOff>
      <xdr:row>5</xdr:row>
      <xdr:rowOff>161192</xdr:rowOff>
    </xdr:from>
    <xdr:to>
      <xdr:col>32</xdr:col>
      <xdr:colOff>535271</xdr:colOff>
      <xdr:row>5</xdr:row>
      <xdr:rowOff>166483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CxnSpPr/>
      </xdr:nvCxnSpPr>
      <xdr:spPr>
        <a:xfrm flipH="1">
          <a:off x="16315836" y="923192"/>
          <a:ext cx="2866454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534865</xdr:colOff>
      <xdr:row>5</xdr:row>
      <xdr:rowOff>168519</xdr:rowOff>
    </xdr:from>
    <xdr:to>
      <xdr:col>28</xdr:col>
      <xdr:colOff>108682</xdr:colOff>
      <xdr:row>5</xdr:row>
      <xdr:rowOff>246265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CxnSpPr/>
      </xdr:nvCxnSpPr>
      <xdr:spPr>
        <a:xfrm flipH="1">
          <a:off x="16141211" y="930519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529980</xdr:colOff>
      <xdr:row>5</xdr:row>
      <xdr:rowOff>161192</xdr:rowOff>
    </xdr:from>
    <xdr:to>
      <xdr:col>33</xdr:col>
      <xdr:colOff>106647</xdr:colOff>
      <xdr:row>5</xdr:row>
      <xdr:rowOff>235275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CxnSpPr/>
      </xdr:nvCxnSpPr>
      <xdr:spPr>
        <a:xfrm>
          <a:off x="19176999" y="923192"/>
          <a:ext cx="184802" cy="74083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42740</xdr:colOff>
      <xdr:row>5</xdr:row>
      <xdr:rowOff>161193</xdr:rowOff>
    </xdr:from>
    <xdr:to>
      <xdr:col>25</xdr:col>
      <xdr:colOff>476655</xdr:colOff>
      <xdr:row>5</xdr:row>
      <xdr:rowOff>166484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CxnSpPr/>
      </xdr:nvCxnSpPr>
      <xdr:spPr>
        <a:xfrm flipH="1">
          <a:off x="12000278" y="923193"/>
          <a:ext cx="2866454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476249</xdr:colOff>
      <xdr:row>5</xdr:row>
      <xdr:rowOff>168520</xdr:rowOff>
    </xdr:from>
    <xdr:to>
      <xdr:col>21</xdr:col>
      <xdr:colOff>50067</xdr:colOff>
      <xdr:row>5</xdr:row>
      <xdr:rowOff>246266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CxnSpPr/>
      </xdr:nvCxnSpPr>
      <xdr:spPr>
        <a:xfrm flipH="1">
          <a:off x="11825653" y="930520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471364</xdr:colOff>
      <xdr:row>5</xdr:row>
      <xdr:rowOff>161193</xdr:rowOff>
    </xdr:from>
    <xdr:to>
      <xdr:col>26</xdr:col>
      <xdr:colOff>48031</xdr:colOff>
      <xdr:row>5</xdr:row>
      <xdr:rowOff>235276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CxnSpPr/>
      </xdr:nvCxnSpPr>
      <xdr:spPr>
        <a:xfrm>
          <a:off x="14861441" y="923193"/>
          <a:ext cx="184802" cy="74083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123337</xdr:colOff>
      <xdr:row>5</xdr:row>
      <xdr:rowOff>146539</xdr:rowOff>
    </xdr:from>
    <xdr:to>
      <xdr:col>18</xdr:col>
      <xdr:colOff>557252</xdr:colOff>
      <xdr:row>5</xdr:row>
      <xdr:rowOff>151830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CxnSpPr/>
      </xdr:nvCxnSpPr>
      <xdr:spPr>
        <a:xfrm flipH="1">
          <a:off x="7823933" y="908539"/>
          <a:ext cx="2866454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556846</xdr:colOff>
      <xdr:row>5</xdr:row>
      <xdr:rowOff>153866</xdr:rowOff>
    </xdr:from>
    <xdr:to>
      <xdr:col>14</xdr:col>
      <xdr:colOff>130664</xdr:colOff>
      <xdr:row>5</xdr:row>
      <xdr:rowOff>231612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CxnSpPr/>
      </xdr:nvCxnSpPr>
      <xdr:spPr>
        <a:xfrm flipH="1">
          <a:off x="7649308" y="915866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551961</xdr:colOff>
      <xdr:row>5</xdr:row>
      <xdr:rowOff>146539</xdr:rowOff>
    </xdr:from>
    <xdr:to>
      <xdr:col>19</xdr:col>
      <xdr:colOff>128629</xdr:colOff>
      <xdr:row>5</xdr:row>
      <xdr:rowOff>220622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CxnSpPr/>
      </xdr:nvCxnSpPr>
      <xdr:spPr>
        <a:xfrm>
          <a:off x="10685096" y="908539"/>
          <a:ext cx="184802" cy="74083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57393</xdr:colOff>
      <xdr:row>5</xdr:row>
      <xdr:rowOff>175846</xdr:rowOff>
    </xdr:from>
    <xdr:to>
      <xdr:col>11</xdr:col>
      <xdr:colOff>593886</xdr:colOff>
      <xdr:row>5</xdr:row>
      <xdr:rowOff>181137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CxnSpPr/>
      </xdr:nvCxnSpPr>
      <xdr:spPr>
        <a:xfrm flipH="1">
          <a:off x="3603624" y="937846"/>
          <a:ext cx="2866454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490903</xdr:colOff>
      <xdr:row>5</xdr:row>
      <xdr:rowOff>183173</xdr:rowOff>
    </xdr:from>
    <xdr:to>
      <xdr:col>7</xdr:col>
      <xdr:colOff>64720</xdr:colOff>
      <xdr:row>5</xdr:row>
      <xdr:rowOff>260919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CxnSpPr/>
      </xdr:nvCxnSpPr>
      <xdr:spPr>
        <a:xfrm flipH="1">
          <a:off x="3428999" y="945173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588595</xdr:colOff>
      <xdr:row>5</xdr:row>
      <xdr:rowOff>175846</xdr:rowOff>
    </xdr:from>
    <xdr:to>
      <xdr:col>12</xdr:col>
      <xdr:colOff>165262</xdr:colOff>
      <xdr:row>5</xdr:row>
      <xdr:rowOff>249929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CxnSpPr/>
      </xdr:nvCxnSpPr>
      <xdr:spPr>
        <a:xfrm>
          <a:off x="6464787" y="937846"/>
          <a:ext cx="184802" cy="74083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422275</xdr:colOff>
      <xdr:row>5</xdr:row>
      <xdr:rowOff>401516</xdr:rowOff>
    </xdr:from>
    <xdr:to>
      <xdr:col>8</xdr:col>
      <xdr:colOff>248056</xdr:colOff>
      <xdr:row>5</xdr:row>
      <xdr:rowOff>406807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CxnSpPr/>
      </xdr:nvCxnSpPr>
      <xdr:spPr>
        <a:xfrm flipH="1">
          <a:off x="1535967" y="1163516"/>
          <a:ext cx="2866454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511786</xdr:colOff>
      <xdr:row>5</xdr:row>
      <xdr:rowOff>147638</xdr:rowOff>
    </xdr:from>
    <xdr:to>
      <xdr:col>5</xdr:col>
      <xdr:colOff>64111</xdr:colOff>
      <xdr:row>5</xdr:row>
      <xdr:rowOff>223838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CxnSpPr/>
      </xdr:nvCxnSpPr>
      <xdr:spPr>
        <a:xfrm>
          <a:off x="2233613" y="909638"/>
          <a:ext cx="160460" cy="76200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271097</xdr:colOff>
      <xdr:row>5</xdr:row>
      <xdr:rowOff>329712</xdr:rowOff>
    </xdr:from>
    <xdr:to>
      <xdr:col>3</xdr:col>
      <xdr:colOff>431557</xdr:colOff>
      <xdr:row>5</xdr:row>
      <xdr:rowOff>405912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CxnSpPr/>
      </xdr:nvCxnSpPr>
      <xdr:spPr>
        <a:xfrm>
          <a:off x="1384789" y="1091712"/>
          <a:ext cx="160460" cy="76200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232996</xdr:colOff>
      <xdr:row>5</xdr:row>
      <xdr:rowOff>328246</xdr:rowOff>
    </xdr:from>
    <xdr:to>
      <xdr:col>8</xdr:col>
      <xdr:colOff>414948</xdr:colOff>
      <xdr:row>5</xdr:row>
      <xdr:rowOff>405992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/>
      </xdr:nvCxnSpPr>
      <xdr:spPr>
        <a:xfrm flipH="1">
          <a:off x="4387361" y="1090246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435462</xdr:colOff>
      <xdr:row>5</xdr:row>
      <xdr:rowOff>414705</xdr:rowOff>
    </xdr:from>
    <xdr:to>
      <xdr:col>15</xdr:col>
      <xdr:colOff>261243</xdr:colOff>
      <xdr:row>5</xdr:row>
      <xdr:rowOff>419996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CxnSpPr/>
      </xdr:nvCxnSpPr>
      <xdr:spPr>
        <a:xfrm flipH="1">
          <a:off x="5703520" y="1176705"/>
          <a:ext cx="2866454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284284</xdr:colOff>
      <xdr:row>5</xdr:row>
      <xdr:rowOff>342901</xdr:rowOff>
    </xdr:from>
    <xdr:to>
      <xdr:col>10</xdr:col>
      <xdr:colOff>444744</xdr:colOff>
      <xdr:row>5</xdr:row>
      <xdr:rowOff>419101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CxnSpPr/>
      </xdr:nvCxnSpPr>
      <xdr:spPr>
        <a:xfrm>
          <a:off x="5552342" y="1104901"/>
          <a:ext cx="160460" cy="76200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246183</xdr:colOff>
      <xdr:row>5</xdr:row>
      <xdr:rowOff>341435</xdr:rowOff>
    </xdr:from>
    <xdr:to>
      <xdr:col>15</xdr:col>
      <xdr:colOff>428135</xdr:colOff>
      <xdr:row>5</xdr:row>
      <xdr:rowOff>419181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CxnSpPr/>
      </xdr:nvCxnSpPr>
      <xdr:spPr>
        <a:xfrm flipH="1">
          <a:off x="8554914" y="1103435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451582</xdr:colOff>
      <xdr:row>5</xdr:row>
      <xdr:rowOff>417636</xdr:rowOff>
    </xdr:from>
    <xdr:to>
      <xdr:col>22</xdr:col>
      <xdr:colOff>277363</xdr:colOff>
      <xdr:row>5</xdr:row>
      <xdr:rowOff>422927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CxnSpPr/>
      </xdr:nvCxnSpPr>
      <xdr:spPr>
        <a:xfrm flipH="1">
          <a:off x="9976582" y="1179636"/>
          <a:ext cx="2866454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300404</xdr:colOff>
      <xdr:row>5</xdr:row>
      <xdr:rowOff>345832</xdr:rowOff>
    </xdr:from>
    <xdr:to>
      <xdr:col>17</xdr:col>
      <xdr:colOff>460864</xdr:colOff>
      <xdr:row>5</xdr:row>
      <xdr:rowOff>422032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CxnSpPr/>
      </xdr:nvCxnSpPr>
      <xdr:spPr>
        <a:xfrm>
          <a:off x="9825404" y="1107832"/>
          <a:ext cx="160460" cy="76200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262303</xdr:colOff>
      <xdr:row>5</xdr:row>
      <xdr:rowOff>344366</xdr:rowOff>
    </xdr:from>
    <xdr:to>
      <xdr:col>22</xdr:col>
      <xdr:colOff>444255</xdr:colOff>
      <xdr:row>5</xdr:row>
      <xdr:rowOff>422112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CxnSpPr/>
      </xdr:nvCxnSpPr>
      <xdr:spPr>
        <a:xfrm flipH="1">
          <a:off x="12827976" y="1106366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458910</xdr:colOff>
      <xdr:row>5</xdr:row>
      <xdr:rowOff>410309</xdr:rowOff>
    </xdr:from>
    <xdr:to>
      <xdr:col>29</xdr:col>
      <xdr:colOff>284691</xdr:colOff>
      <xdr:row>5</xdr:row>
      <xdr:rowOff>415600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CxnSpPr/>
      </xdr:nvCxnSpPr>
      <xdr:spPr>
        <a:xfrm flipH="1">
          <a:off x="14240852" y="1172309"/>
          <a:ext cx="2866454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307732</xdr:colOff>
      <xdr:row>5</xdr:row>
      <xdr:rowOff>338505</xdr:rowOff>
    </xdr:from>
    <xdr:to>
      <xdr:col>24</xdr:col>
      <xdr:colOff>468192</xdr:colOff>
      <xdr:row>5</xdr:row>
      <xdr:rowOff>414705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CxnSpPr/>
      </xdr:nvCxnSpPr>
      <xdr:spPr>
        <a:xfrm>
          <a:off x="14089674" y="1100505"/>
          <a:ext cx="160460" cy="76200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269631</xdr:colOff>
      <xdr:row>5</xdr:row>
      <xdr:rowOff>337039</xdr:rowOff>
    </xdr:from>
    <xdr:to>
      <xdr:col>29</xdr:col>
      <xdr:colOff>451583</xdr:colOff>
      <xdr:row>5</xdr:row>
      <xdr:rowOff>414785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CxnSpPr/>
      </xdr:nvCxnSpPr>
      <xdr:spPr>
        <a:xfrm flipH="1">
          <a:off x="17092246" y="1099039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392966</xdr:colOff>
      <xdr:row>5</xdr:row>
      <xdr:rowOff>395655</xdr:rowOff>
    </xdr:from>
    <xdr:to>
      <xdr:col>36</xdr:col>
      <xdr:colOff>218747</xdr:colOff>
      <xdr:row>5</xdr:row>
      <xdr:rowOff>400946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CxnSpPr/>
      </xdr:nvCxnSpPr>
      <xdr:spPr>
        <a:xfrm flipH="1">
          <a:off x="18431851" y="1157655"/>
          <a:ext cx="2866454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241788</xdr:colOff>
      <xdr:row>5</xdr:row>
      <xdr:rowOff>323851</xdr:rowOff>
    </xdr:from>
    <xdr:to>
      <xdr:col>31</xdr:col>
      <xdr:colOff>402248</xdr:colOff>
      <xdr:row>5</xdr:row>
      <xdr:rowOff>400051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CxnSpPr/>
      </xdr:nvCxnSpPr>
      <xdr:spPr>
        <a:xfrm>
          <a:off x="18280673" y="1085851"/>
          <a:ext cx="160460" cy="76200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203687</xdr:colOff>
      <xdr:row>5</xdr:row>
      <xdr:rowOff>322385</xdr:rowOff>
    </xdr:from>
    <xdr:to>
      <xdr:col>36</xdr:col>
      <xdr:colOff>385639</xdr:colOff>
      <xdr:row>5</xdr:row>
      <xdr:rowOff>400131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CxnSpPr/>
      </xdr:nvCxnSpPr>
      <xdr:spPr>
        <a:xfrm flipH="1">
          <a:off x="21283245" y="1084385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414948</xdr:colOff>
      <xdr:row>5</xdr:row>
      <xdr:rowOff>410309</xdr:rowOff>
    </xdr:from>
    <xdr:to>
      <xdr:col>43</xdr:col>
      <xdr:colOff>240729</xdr:colOff>
      <xdr:row>5</xdr:row>
      <xdr:rowOff>415600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CxnSpPr/>
      </xdr:nvCxnSpPr>
      <xdr:spPr>
        <a:xfrm flipH="1">
          <a:off x="22710775" y="1172309"/>
          <a:ext cx="2866454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263770</xdr:colOff>
      <xdr:row>5</xdr:row>
      <xdr:rowOff>338505</xdr:rowOff>
    </xdr:from>
    <xdr:to>
      <xdr:col>38</xdr:col>
      <xdr:colOff>424230</xdr:colOff>
      <xdr:row>5</xdr:row>
      <xdr:rowOff>414705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CxnSpPr/>
      </xdr:nvCxnSpPr>
      <xdr:spPr>
        <a:xfrm>
          <a:off x="22559597" y="1100505"/>
          <a:ext cx="160460" cy="76200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225669</xdr:colOff>
      <xdr:row>5</xdr:row>
      <xdr:rowOff>337039</xdr:rowOff>
    </xdr:from>
    <xdr:to>
      <xdr:col>43</xdr:col>
      <xdr:colOff>407621</xdr:colOff>
      <xdr:row>5</xdr:row>
      <xdr:rowOff>414785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CxnSpPr/>
      </xdr:nvCxnSpPr>
      <xdr:spPr>
        <a:xfrm flipH="1">
          <a:off x="25562169" y="1099039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451582</xdr:colOff>
      <xdr:row>5</xdr:row>
      <xdr:rowOff>402982</xdr:rowOff>
    </xdr:from>
    <xdr:to>
      <xdr:col>50</xdr:col>
      <xdr:colOff>277363</xdr:colOff>
      <xdr:row>5</xdr:row>
      <xdr:rowOff>408273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CxnSpPr/>
      </xdr:nvCxnSpPr>
      <xdr:spPr>
        <a:xfrm flipH="1">
          <a:off x="27004351" y="1164982"/>
          <a:ext cx="2866454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300404</xdr:colOff>
      <xdr:row>5</xdr:row>
      <xdr:rowOff>331178</xdr:rowOff>
    </xdr:from>
    <xdr:to>
      <xdr:col>45</xdr:col>
      <xdr:colOff>460864</xdr:colOff>
      <xdr:row>5</xdr:row>
      <xdr:rowOff>407378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CxnSpPr/>
      </xdr:nvCxnSpPr>
      <xdr:spPr>
        <a:xfrm>
          <a:off x="26853173" y="1093178"/>
          <a:ext cx="160460" cy="76200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262303</xdr:colOff>
      <xdr:row>5</xdr:row>
      <xdr:rowOff>329712</xdr:rowOff>
    </xdr:from>
    <xdr:to>
      <xdr:col>50</xdr:col>
      <xdr:colOff>444255</xdr:colOff>
      <xdr:row>5</xdr:row>
      <xdr:rowOff>407458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CxnSpPr/>
      </xdr:nvCxnSpPr>
      <xdr:spPr>
        <a:xfrm flipH="1">
          <a:off x="29855745" y="1091712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451581</xdr:colOff>
      <xdr:row>5</xdr:row>
      <xdr:rowOff>410309</xdr:rowOff>
    </xdr:from>
    <xdr:to>
      <xdr:col>57</xdr:col>
      <xdr:colOff>277362</xdr:colOff>
      <xdr:row>5</xdr:row>
      <xdr:rowOff>415600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CxnSpPr/>
      </xdr:nvCxnSpPr>
      <xdr:spPr>
        <a:xfrm flipH="1">
          <a:off x="31261293" y="1172309"/>
          <a:ext cx="2866454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300403</xdr:colOff>
      <xdr:row>5</xdr:row>
      <xdr:rowOff>338505</xdr:rowOff>
    </xdr:from>
    <xdr:to>
      <xdr:col>52</xdr:col>
      <xdr:colOff>460863</xdr:colOff>
      <xdr:row>5</xdr:row>
      <xdr:rowOff>414705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CxnSpPr/>
      </xdr:nvCxnSpPr>
      <xdr:spPr>
        <a:xfrm>
          <a:off x="31110115" y="1100505"/>
          <a:ext cx="160460" cy="76200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262302</xdr:colOff>
      <xdr:row>5</xdr:row>
      <xdr:rowOff>337039</xdr:rowOff>
    </xdr:from>
    <xdr:to>
      <xdr:col>57</xdr:col>
      <xdr:colOff>444254</xdr:colOff>
      <xdr:row>5</xdr:row>
      <xdr:rowOff>414785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CxnSpPr/>
      </xdr:nvCxnSpPr>
      <xdr:spPr>
        <a:xfrm flipH="1">
          <a:off x="34112687" y="1099039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422273</xdr:colOff>
      <xdr:row>5</xdr:row>
      <xdr:rowOff>417635</xdr:rowOff>
    </xdr:from>
    <xdr:to>
      <xdr:col>64</xdr:col>
      <xdr:colOff>248054</xdr:colOff>
      <xdr:row>5</xdr:row>
      <xdr:rowOff>422926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CxnSpPr/>
      </xdr:nvCxnSpPr>
      <xdr:spPr>
        <a:xfrm flipH="1">
          <a:off x="35488927" y="1179635"/>
          <a:ext cx="2866454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271095</xdr:colOff>
      <xdr:row>5</xdr:row>
      <xdr:rowOff>345831</xdr:rowOff>
    </xdr:from>
    <xdr:to>
      <xdr:col>59</xdr:col>
      <xdr:colOff>431555</xdr:colOff>
      <xdr:row>5</xdr:row>
      <xdr:rowOff>422031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CxnSpPr/>
      </xdr:nvCxnSpPr>
      <xdr:spPr>
        <a:xfrm>
          <a:off x="35337749" y="1107831"/>
          <a:ext cx="160460" cy="76200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232994</xdr:colOff>
      <xdr:row>5</xdr:row>
      <xdr:rowOff>344365</xdr:rowOff>
    </xdr:from>
    <xdr:to>
      <xdr:col>64</xdr:col>
      <xdr:colOff>414946</xdr:colOff>
      <xdr:row>5</xdr:row>
      <xdr:rowOff>422111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CxnSpPr/>
      </xdr:nvCxnSpPr>
      <xdr:spPr>
        <a:xfrm flipH="1">
          <a:off x="38340321" y="1106365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407621</xdr:colOff>
      <xdr:row>5</xdr:row>
      <xdr:rowOff>395655</xdr:rowOff>
    </xdr:from>
    <xdr:to>
      <xdr:col>71</xdr:col>
      <xdr:colOff>233402</xdr:colOff>
      <xdr:row>5</xdr:row>
      <xdr:rowOff>400946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CxnSpPr/>
      </xdr:nvCxnSpPr>
      <xdr:spPr>
        <a:xfrm flipH="1">
          <a:off x="39731217" y="1157655"/>
          <a:ext cx="2866454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256443</xdr:colOff>
      <xdr:row>5</xdr:row>
      <xdr:rowOff>323851</xdr:rowOff>
    </xdr:from>
    <xdr:to>
      <xdr:col>66</xdr:col>
      <xdr:colOff>416903</xdr:colOff>
      <xdr:row>5</xdr:row>
      <xdr:rowOff>400051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CxnSpPr/>
      </xdr:nvCxnSpPr>
      <xdr:spPr>
        <a:xfrm>
          <a:off x="39580039" y="1085851"/>
          <a:ext cx="160460" cy="76200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218342</xdr:colOff>
      <xdr:row>5</xdr:row>
      <xdr:rowOff>322385</xdr:rowOff>
    </xdr:from>
    <xdr:to>
      <xdr:col>71</xdr:col>
      <xdr:colOff>400294</xdr:colOff>
      <xdr:row>5</xdr:row>
      <xdr:rowOff>400131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CxnSpPr/>
      </xdr:nvCxnSpPr>
      <xdr:spPr>
        <a:xfrm flipH="1">
          <a:off x="42582611" y="1084385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429601</xdr:colOff>
      <xdr:row>5</xdr:row>
      <xdr:rowOff>410309</xdr:rowOff>
    </xdr:from>
    <xdr:to>
      <xdr:col>78</xdr:col>
      <xdr:colOff>255381</xdr:colOff>
      <xdr:row>5</xdr:row>
      <xdr:rowOff>415600</xdr:rowOff>
    </xdr:to>
    <xdr:cxnSp macro="">
      <xdr:nvCxnSpPr>
        <xdr:cNvPr id="106" name="Straight Connector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CxnSpPr/>
      </xdr:nvCxnSpPr>
      <xdr:spPr>
        <a:xfrm flipH="1">
          <a:off x="44010139" y="1172309"/>
          <a:ext cx="2866454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278423</xdr:colOff>
      <xdr:row>5</xdr:row>
      <xdr:rowOff>338505</xdr:rowOff>
    </xdr:from>
    <xdr:to>
      <xdr:col>73</xdr:col>
      <xdr:colOff>438883</xdr:colOff>
      <xdr:row>5</xdr:row>
      <xdr:rowOff>414705</xdr:rowOff>
    </xdr:to>
    <xdr:cxnSp macro="">
      <xdr:nvCxnSpPr>
        <xdr:cNvPr id="107" name="Straight Connector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CxnSpPr/>
      </xdr:nvCxnSpPr>
      <xdr:spPr>
        <a:xfrm>
          <a:off x="43858961" y="1100505"/>
          <a:ext cx="160460" cy="76200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240321</xdr:colOff>
      <xdr:row>5</xdr:row>
      <xdr:rowOff>337039</xdr:rowOff>
    </xdr:from>
    <xdr:to>
      <xdr:col>78</xdr:col>
      <xdr:colOff>422273</xdr:colOff>
      <xdr:row>5</xdr:row>
      <xdr:rowOff>414785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CxnSpPr/>
      </xdr:nvCxnSpPr>
      <xdr:spPr>
        <a:xfrm flipH="1">
          <a:off x="46861533" y="1099039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319697</xdr:colOff>
      <xdr:row>5</xdr:row>
      <xdr:rowOff>402982</xdr:rowOff>
    </xdr:from>
    <xdr:to>
      <xdr:col>85</xdr:col>
      <xdr:colOff>145478</xdr:colOff>
      <xdr:row>5</xdr:row>
      <xdr:rowOff>408273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CxnSpPr/>
      </xdr:nvCxnSpPr>
      <xdr:spPr>
        <a:xfrm flipH="1">
          <a:off x="48157178" y="1164982"/>
          <a:ext cx="2866454" cy="5291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168519</xdr:colOff>
      <xdr:row>5</xdr:row>
      <xdr:rowOff>331178</xdr:rowOff>
    </xdr:from>
    <xdr:to>
      <xdr:col>80</xdr:col>
      <xdr:colOff>328979</xdr:colOff>
      <xdr:row>5</xdr:row>
      <xdr:rowOff>407378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CxnSpPr/>
      </xdr:nvCxnSpPr>
      <xdr:spPr>
        <a:xfrm>
          <a:off x="48006000" y="1093178"/>
          <a:ext cx="160460" cy="76200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130418</xdr:colOff>
      <xdr:row>5</xdr:row>
      <xdr:rowOff>329712</xdr:rowOff>
    </xdr:from>
    <xdr:to>
      <xdr:col>85</xdr:col>
      <xdr:colOff>312370</xdr:colOff>
      <xdr:row>5</xdr:row>
      <xdr:rowOff>407458</xdr:rowOff>
    </xdr:to>
    <xdr:cxnSp macro="">
      <xdr:nvCxnSpPr>
        <xdr:cNvPr id="111" name="Straight Connector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CxnSpPr/>
      </xdr:nvCxnSpPr>
      <xdr:spPr>
        <a:xfrm flipH="1">
          <a:off x="51008572" y="1091712"/>
          <a:ext cx="181952" cy="77746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7327</xdr:colOff>
      <xdr:row>6</xdr:row>
      <xdr:rowOff>271095</xdr:rowOff>
    </xdr:from>
    <xdr:to>
      <xdr:col>16</xdr:col>
      <xdr:colOff>80596</xdr:colOff>
      <xdr:row>6</xdr:row>
      <xdr:rowOff>271095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2373923" y="1348153"/>
          <a:ext cx="2989385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608134</xdr:colOff>
      <xdr:row>7</xdr:row>
      <xdr:rowOff>0</xdr:rowOff>
    </xdr:from>
    <xdr:to>
      <xdr:col>43</xdr:col>
      <xdr:colOff>21981</xdr:colOff>
      <xdr:row>7</xdr:row>
      <xdr:rowOff>7327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>
        <a:xfrm>
          <a:off x="7195038" y="1362808"/>
          <a:ext cx="6242539" cy="7327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608134</xdr:colOff>
      <xdr:row>9</xdr:row>
      <xdr:rowOff>0</xdr:rowOff>
    </xdr:from>
    <xdr:to>
      <xdr:col>26</xdr:col>
      <xdr:colOff>29308</xdr:colOff>
      <xdr:row>9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CxnSpPr/>
      </xdr:nvCxnSpPr>
      <xdr:spPr>
        <a:xfrm>
          <a:off x="7195038" y="1743808"/>
          <a:ext cx="1509347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109904</xdr:colOff>
      <xdr:row>9</xdr:row>
      <xdr:rowOff>0</xdr:rowOff>
    </xdr:from>
    <xdr:to>
      <xdr:col>43</xdr:col>
      <xdr:colOff>14655</xdr:colOff>
      <xdr:row>9</xdr:row>
      <xdr:rowOff>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CxnSpPr/>
      </xdr:nvCxnSpPr>
      <xdr:spPr>
        <a:xfrm>
          <a:off x="11532577" y="1743808"/>
          <a:ext cx="1509347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9</xdr:row>
      <xdr:rowOff>0</xdr:rowOff>
    </xdr:from>
    <xdr:to>
      <xdr:col>36</xdr:col>
      <xdr:colOff>117231</xdr:colOff>
      <xdr:row>9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CxnSpPr/>
      </xdr:nvCxnSpPr>
      <xdr:spPr>
        <a:xfrm>
          <a:off x="8675077" y="1743808"/>
          <a:ext cx="2864827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QLearnify\All%20Excel%20file\A.%20Wind%20and%20Earthquake%20load\A1%20Earth%20Quake%20Analysis%20Excel%20As%20per%20BNBC-2020,%20ASCE%207-05.xlsx" TargetMode="External"/><Relationship Id="rId1" Type="http://schemas.openxmlformats.org/officeDocument/2006/relationships/externalLinkPath" Target="/QLearnify/All%20Excel%20file/A.%20Wind%20and%20Earthquake%20load/A1%20Earth%20Quake%20Analysis%20Excel%20As%20per%20BNBC-2020,%20ASCE%207-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deo &amp; Instruction "/>
      <sheetName val="EQ Analysis"/>
      <sheetName val="Sheet2"/>
      <sheetName val="Sheet3"/>
    </sheetNames>
    <sheetDataSet>
      <sheetData sheetId="0"/>
      <sheetData sheetId="1"/>
      <sheetData sheetId="2"/>
      <sheetData sheetId="3">
        <row r="39">
          <cell r="B39" t="str">
            <v>BEARING_WALL_SYSTEMS_no_frame</v>
          </cell>
        </row>
        <row r="40">
          <cell r="B40" t="str">
            <v>BUILDING_FRAME_SYSTEMS_with_bracing_or_shear_wall</v>
          </cell>
        </row>
        <row r="41">
          <cell r="B41" t="str">
            <v>MOMENT_RESISTING_FRAME_SYSTEMS_no_shear_wall</v>
          </cell>
        </row>
        <row r="42">
          <cell r="B42" t="str">
            <v>DUAL_SYSTEMS_SPECIAL_MOMENT_FRAMES</v>
          </cell>
        </row>
        <row r="43">
          <cell r="B43" t="str">
            <v>DUAL_SYSTEMS_INTERMEDIATE_MOMENT_FRAMES</v>
          </cell>
        </row>
        <row r="44">
          <cell r="B44" t="str">
            <v>DUAL_SHEAR_WALL_FRAME_SYSTEM</v>
          </cell>
        </row>
        <row r="45">
          <cell r="B45" t="str">
            <v xml:space="preserve">STEEL_SYSTEMS_NOT_SPECIFICALLY_DETAILED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youtube.com/@qlearnify-bn" TargetMode="External"/><Relationship Id="rId7" Type="http://schemas.openxmlformats.org/officeDocument/2006/relationships/hyperlink" Target="https://youtube.com/playlist?list=PLxle8F-wJI7P43K0GljphED4I5TRXu6Zx&amp;si=el-Lrxm5mB1Vmgcf" TargetMode="External"/><Relationship Id="rId2" Type="http://schemas.openxmlformats.org/officeDocument/2006/relationships/hyperlink" Target="https://www.facebook.com/qlearnify" TargetMode="External"/><Relationship Id="rId1" Type="http://schemas.openxmlformats.org/officeDocument/2006/relationships/hyperlink" Target="https://qlearnify.com/" TargetMode="External"/><Relationship Id="rId6" Type="http://schemas.openxmlformats.org/officeDocument/2006/relationships/hyperlink" Target="https://youtube.com/playlist?list=PLTscI_CLWNfB_1x6_7zylwLZWo7mKypCq&amp;si=QzFh_rJa61GU0YNW" TargetMode="External"/><Relationship Id="rId5" Type="http://schemas.openxmlformats.org/officeDocument/2006/relationships/hyperlink" Target="https://www.linkedin.com/company/qlearnify/" TargetMode="External"/><Relationship Id="rId4" Type="http://schemas.openxmlformats.org/officeDocument/2006/relationships/hyperlink" Target="https://wa.me/8801511250108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33A03-E7FE-4E64-8AD2-A2F8ECAB0385}">
  <dimension ref="A14:M36"/>
  <sheetViews>
    <sheetView showGridLines="0" tabSelected="1" workbookViewId="0">
      <selection activeCell="M8" sqref="M8"/>
    </sheetView>
  </sheetViews>
  <sheetFormatPr defaultRowHeight="15" x14ac:dyDescent="0.25"/>
  <cols>
    <col min="1" max="1" width="9.140625" style="49" customWidth="1"/>
    <col min="2" max="16384" width="9.140625" style="49"/>
  </cols>
  <sheetData>
    <row r="14" spans="2:10" ht="15" customHeight="1" x14ac:dyDescent="0.25">
      <c r="B14" s="110" t="s">
        <v>41</v>
      </c>
      <c r="C14" s="110"/>
      <c r="D14" s="110"/>
      <c r="E14" s="110"/>
      <c r="F14" s="110"/>
      <c r="G14" s="110"/>
      <c r="H14" s="110"/>
      <c r="I14" s="110"/>
      <c r="J14" s="110"/>
    </row>
    <row r="15" spans="2:10" ht="15" customHeight="1" x14ac:dyDescent="0.25">
      <c r="B15" s="110"/>
      <c r="C15" s="110"/>
      <c r="D15" s="110"/>
      <c r="E15" s="110"/>
      <c r="F15" s="110"/>
      <c r="G15" s="110"/>
      <c r="H15" s="110"/>
      <c r="I15" s="110"/>
      <c r="J15" s="110"/>
    </row>
    <row r="16" spans="2:10" x14ac:dyDescent="0.25">
      <c r="B16" s="110"/>
      <c r="C16" s="110"/>
      <c r="D16" s="110"/>
      <c r="E16" s="110"/>
      <c r="F16" s="110"/>
      <c r="G16" s="110"/>
      <c r="H16" s="110"/>
      <c r="I16" s="110"/>
      <c r="J16" s="110"/>
    </row>
    <row r="17" spans="2:10" x14ac:dyDescent="0.25">
      <c r="C17" s="111" t="s">
        <v>42</v>
      </c>
      <c r="D17" s="111"/>
      <c r="E17" s="112" t="s">
        <v>43</v>
      </c>
      <c r="F17" s="112"/>
      <c r="G17" s="112"/>
      <c r="H17" s="112"/>
      <c r="I17" s="112"/>
      <c r="J17" s="112"/>
    </row>
    <row r="18" spans="2:10" x14ac:dyDescent="0.25">
      <c r="C18" s="111" t="s">
        <v>44</v>
      </c>
      <c r="D18" s="111"/>
      <c r="E18" s="112" t="s">
        <v>45</v>
      </c>
      <c r="F18" s="112"/>
      <c r="G18" s="112"/>
      <c r="H18" s="112"/>
      <c r="I18" s="112"/>
      <c r="J18" s="112"/>
    </row>
    <row r="19" spans="2:10" x14ac:dyDescent="0.25">
      <c r="C19" s="111" t="s">
        <v>46</v>
      </c>
      <c r="D19" s="111"/>
      <c r="E19" s="112" t="s">
        <v>47</v>
      </c>
      <c r="F19" s="112"/>
      <c r="G19" s="112"/>
      <c r="H19" s="112"/>
      <c r="I19" s="112"/>
      <c r="J19" s="112"/>
    </row>
    <row r="20" spans="2:10" x14ac:dyDescent="0.25">
      <c r="C20" s="111" t="s">
        <v>48</v>
      </c>
      <c r="D20" s="111"/>
      <c r="E20" s="112" t="s">
        <v>49</v>
      </c>
      <c r="F20" s="112"/>
      <c r="G20" s="112"/>
      <c r="H20" s="112"/>
      <c r="I20" s="112"/>
      <c r="J20" s="112"/>
    </row>
    <row r="21" spans="2:10" x14ac:dyDescent="0.25">
      <c r="C21" s="111" t="s">
        <v>50</v>
      </c>
      <c r="D21" s="111"/>
      <c r="E21" s="112" t="s">
        <v>51</v>
      </c>
      <c r="F21" s="112"/>
      <c r="G21" s="112"/>
      <c r="H21" s="112"/>
      <c r="I21" s="112"/>
      <c r="J21" s="112"/>
    </row>
    <row r="22" spans="2:10" x14ac:dyDescent="0.25">
      <c r="C22" s="111" t="s">
        <v>52</v>
      </c>
      <c r="D22" s="111"/>
      <c r="E22" s="112" t="s">
        <v>53</v>
      </c>
      <c r="F22" s="112"/>
      <c r="G22" s="112"/>
      <c r="H22" s="112"/>
      <c r="I22" s="112"/>
      <c r="J22" s="112"/>
    </row>
    <row r="24" spans="2:10" ht="15" customHeight="1" x14ac:dyDescent="0.25">
      <c r="B24" s="113" t="s">
        <v>54</v>
      </c>
      <c r="C24" s="113"/>
      <c r="D24" s="113"/>
      <c r="E24" s="113"/>
      <c r="F24" s="113"/>
      <c r="G24" s="113"/>
      <c r="H24" s="113"/>
      <c r="I24" s="113"/>
      <c r="J24" s="113"/>
    </row>
    <row r="25" spans="2:10" ht="15" customHeight="1" x14ac:dyDescent="0.25">
      <c r="B25" s="113"/>
      <c r="C25" s="113"/>
      <c r="D25" s="113"/>
      <c r="E25" s="113"/>
      <c r="F25" s="113"/>
      <c r="G25" s="113"/>
      <c r="H25" s="113"/>
      <c r="I25" s="113"/>
      <c r="J25" s="113"/>
    </row>
    <row r="26" spans="2:10" ht="15" customHeight="1" x14ac:dyDescent="0.25">
      <c r="B26" s="113"/>
      <c r="C26" s="113"/>
      <c r="D26" s="113"/>
      <c r="E26" s="113"/>
      <c r="F26" s="113"/>
      <c r="G26" s="113"/>
      <c r="H26" s="113"/>
      <c r="I26" s="113"/>
      <c r="J26" s="113"/>
    </row>
    <row r="27" spans="2:10" x14ac:dyDescent="0.25">
      <c r="B27" s="113"/>
      <c r="C27" s="113"/>
      <c r="D27" s="113"/>
      <c r="E27" s="113"/>
      <c r="F27" s="113"/>
      <c r="G27" s="113"/>
      <c r="H27" s="113"/>
      <c r="I27" s="113"/>
      <c r="J27" s="113"/>
    </row>
    <row r="34" spans="1:13" ht="15.75" x14ac:dyDescent="0.25">
      <c r="A34" s="114" t="s">
        <v>55</v>
      </c>
      <c r="B34" s="112" t="s">
        <v>56</v>
      </c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</row>
    <row r="35" spans="1:13" ht="15.75" x14ac:dyDescent="0.25">
      <c r="A35" s="114"/>
    </row>
    <row r="36" spans="1:13" ht="15.75" x14ac:dyDescent="0.25">
      <c r="A36" s="114" t="s">
        <v>57</v>
      </c>
      <c r="B36" s="112" t="s">
        <v>58</v>
      </c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</row>
  </sheetData>
  <sheetProtection algorithmName="SHA-512" hashValue="mNHzYPo3myyRtQ0hKyAUCtH3O8JA/5aSzrOCEvq79hjgO7Gw0D0RAPuqDa+nbmkoY+GsluGOCqvByLa5A+R8oA==" saltValue="eVx23pLryyNGOGnMNvyHQw==" spinCount="100000" sheet="1" objects="1" scenarios="1"/>
  <mergeCells count="16">
    <mergeCell ref="B24:J27"/>
    <mergeCell ref="B34:M34"/>
    <mergeCell ref="B36:M36"/>
    <mergeCell ref="C20:D20"/>
    <mergeCell ref="E20:J20"/>
    <mergeCell ref="C21:D21"/>
    <mergeCell ref="E21:J21"/>
    <mergeCell ref="C22:D22"/>
    <mergeCell ref="E22:J22"/>
    <mergeCell ref="B14:J16"/>
    <mergeCell ref="C17:D17"/>
    <mergeCell ref="E17:J17"/>
    <mergeCell ref="C18:D18"/>
    <mergeCell ref="E18:J18"/>
    <mergeCell ref="C19:D19"/>
    <mergeCell ref="E19:J19"/>
  </mergeCells>
  <hyperlinks>
    <hyperlink ref="E17" r:id="rId1" xr:uid="{1E2B1277-A075-4BFE-AC42-9AF1FAA10B72}"/>
    <hyperlink ref="E18" r:id="rId2" xr:uid="{FC7DA789-B887-4588-9540-315E588DA396}"/>
    <hyperlink ref="E19" r:id="rId3" xr:uid="{37F004C6-8D87-4999-87DF-A4D19C8A29F4}"/>
    <hyperlink ref="E21" r:id="rId4" xr:uid="{CA93EA88-684F-4F49-B2C6-4109957C36CF}"/>
    <hyperlink ref="E22" r:id="rId5" xr:uid="{49DCA3DF-1760-47FE-BF3D-6F9AC569D49B}"/>
    <hyperlink ref="B36" r:id="rId6" xr:uid="{1D0FC528-BF81-42D5-828C-A3C5C3BBAA11}"/>
    <hyperlink ref="B34" r:id="rId7" xr:uid="{B51812A5-752A-4B57-B732-A6AA97C77D11}"/>
  </hyperlinks>
  <pageMargins left="0.7" right="0.7" top="0.75" bottom="0.75" header="0.3" footer="0.3"/>
  <pageSetup orientation="portrait" horizontalDpi="1200" verticalDpi="1200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I32"/>
  <sheetViews>
    <sheetView zoomScale="90" zoomScaleNormal="90" workbookViewId="0">
      <selection activeCell="C4" sqref="C4"/>
    </sheetView>
  </sheetViews>
  <sheetFormatPr defaultRowHeight="15" x14ac:dyDescent="0.25"/>
  <cols>
    <col min="2" max="2" width="11" customWidth="1"/>
    <col min="3" max="3" width="7.5703125" customWidth="1"/>
    <col min="5" max="5" width="9.28515625" customWidth="1"/>
    <col min="10" max="10" width="7.5703125" customWidth="1"/>
  </cols>
  <sheetData>
    <row r="1" spans="2:87" x14ac:dyDescent="0.25">
      <c r="B1" t="s">
        <v>8</v>
      </c>
      <c r="C1" s="39">
        <v>500</v>
      </c>
      <c r="D1" t="s">
        <v>10</v>
      </c>
      <c r="F1" s="87" t="s">
        <v>26</v>
      </c>
      <c r="G1" s="87"/>
      <c r="H1" s="87"/>
    </row>
    <row r="2" spans="2:87" x14ac:dyDescent="0.25">
      <c r="B2" t="s">
        <v>9</v>
      </c>
      <c r="C2" s="39">
        <v>20</v>
      </c>
      <c r="D2" t="s">
        <v>10</v>
      </c>
      <c r="E2" s="42"/>
      <c r="F2" s="43">
        <v>1</v>
      </c>
      <c r="G2" s="43">
        <v>1</v>
      </c>
      <c r="H2" s="43">
        <v>1</v>
      </c>
    </row>
    <row r="3" spans="2:87" x14ac:dyDescent="0.25">
      <c r="B3" t="s">
        <v>20</v>
      </c>
      <c r="C3" s="39">
        <v>2</v>
      </c>
    </row>
    <row r="4" spans="2:87" ht="16.5" customHeight="1" x14ac:dyDescent="0.25">
      <c r="D4" s="23">
        <v>0</v>
      </c>
      <c r="E4" s="24">
        <v>10</v>
      </c>
      <c r="F4" s="25">
        <v>0</v>
      </c>
      <c r="G4" s="26">
        <v>16</v>
      </c>
      <c r="H4" s="23">
        <v>0</v>
      </c>
      <c r="I4" s="24">
        <v>10</v>
      </c>
      <c r="K4" s="23">
        <v>0</v>
      </c>
      <c r="L4" s="24">
        <v>16</v>
      </c>
      <c r="M4" s="25">
        <v>0</v>
      </c>
      <c r="N4" s="26">
        <v>16</v>
      </c>
      <c r="O4" s="23">
        <v>0</v>
      </c>
      <c r="P4" s="24">
        <v>16</v>
      </c>
      <c r="R4" s="23">
        <v>0</v>
      </c>
      <c r="S4" s="24">
        <v>16</v>
      </c>
      <c r="T4" s="25">
        <v>0</v>
      </c>
      <c r="U4" s="26">
        <v>16</v>
      </c>
      <c r="V4" s="23">
        <v>0</v>
      </c>
      <c r="W4" s="24">
        <v>16</v>
      </c>
      <c r="Y4" s="23">
        <v>0</v>
      </c>
      <c r="Z4" s="24">
        <v>16</v>
      </c>
      <c r="AA4" s="25">
        <v>1</v>
      </c>
      <c r="AB4" s="26">
        <v>16</v>
      </c>
      <c r="AC4" s="23">
        <v>0</v>
      </c>
      <c r="AD4" s="24">
        <v>16</v>
      </c>
      <c r="AF4" s="23">
        <v>1</v>
      </c>
      <c r="AG4" s="24">
        <v>16</v>
      </c>
      <c r="AH4" s="25">
        <v>1</v>
      </c>
      <c r="AI4" s="26">
        <v>16</v>
      </c>
      <c r="AJ4" s="23">
        <v>1</v>
      </c>
      <c r="AK4" s="24">
        <v>16</v>
      </c>
      <c r="AM4" s="23">
        <v>1</v>
      </c>
      <c r="AN4" s="24">
        <v>16</v>
      </c>
      <c r="AO4" s="25">
        <v>1</v>
      </c>
      <c r="AP4" s="26">
        <v>16</v>
      </c>
      <c r="AQ4" s="23">
        <v>1</v>
      </c>
      <c r="AR4" s="24">
        <v>16</v>
      </c>
      <c r="AT4" s="23">
        <v>1</v>
      </c>
      <c r="AU4" s="24">
        <v>16</v>
      </c>
      <c r="AV4" s="25">
        <v>1</v>
      </c>
      <c r="AW4" s="26">
        <v>16</v>
      </c>
      <c r="AX4" s="23">
        <v>1</v>
      </c>
      <c r="AY4" s="24">
        <v>16</v>
      </c>
      <c r="BA4" s="23">
        <v>1</v>
      </c>
      <c r="BB4" s="24">
        <v>16</v>
      </c>
      <c r="BC4" s="25">
        <v>1</v>
      </c>
      <c r="BD4" s="26">
        <v>16</v>
      </c>
      <c r="BE4" s="23">
        <v>1</v>
      </c>
      <c r="BF4" s="24">
        <v>16</v>
      </c>
      <c r="BH4" s="23">
        <v>1</v>
      </c>
      <c r="BI4" s="24">
        <v>16</v>
      </c>
      <c r="BJ4" s="25">
        <v>1</v>
      </c>
      <c r="BK4" s="26">
        <v>16</v>
      </c>
      <c r="BL4" s="23">
        <v>1</v>
      </c>
      <c r="BM4" s="24">
        <v>16</v>
      </c>
      <c r="BO4" s="23">
        <v>1</v>
      </c>
      <c r="BP4" s="24">
        <v>16</v>
      </c>
      <c r="BQ4" s="25">
        <v>1</v>
      </c>
      <c r="BR4" s="26">
        <v>16</v>
      </c>
      <c r="BS4" s="23">
        <v>1</v>
      </c>
      <c r="BT4" s="24">
        <v>16</v>
      </c>
      <c r="BV4" s="23">
        <v>1</v>
      </c>
      <c r="BW4" s="24">
        <v>16</v>
      </c>
      <c r="BX4" s="25">
        <v>1</v>
      </c>
      <c r="BY4" s="26">
        <v>16</v>
      </c>
      <c r="BZ4" s="23">
        <v>1</v>
      </c>
      <c r="CA4" s="24">
        <v>16</v>
      </c>
      <c r="CC4" s="23">
        <v>1</v>
      </c>
      <c r="CD4" s="24">
        <v>16</v>
      </c>
      <c r="CE4" s="25">
        <v>1</v>
      </c>
      <c r="CF4" s="26">
        <v>16</v>
      </c>
      <c r="CG4" s="23">
        <v>1</v>
      </c>
      <c r="CH4" s="24">
        <v>16</v>
      </c>
    </row>
    <row r="5" spans="2:87" ht="21.75" customHeight="1" thickBot="1" x14ac:dyDescent="0.3">
      <c r="C5" s="2"/>
      <c r="D5" s="13">
        <v>1</v>
      </c>
      <c r="E5" s="14">
        <v>16</v>
      </c>
      <c r="F5" s="18">
        <v>2</v>
      </c>
      <c r="G5" s="19">
        <v>16</v>
      </c>
      <c r="H5" s="15">
        <v>1</v>
      </c>
      <c r="I5" s="27">
        <v>16</v>
      </c>
      <c r="J5" s="2"/>
      <c r="K5" s="13">
        <v>1</v>
      </c>
      <c r="L5" s="14">
        <v>16</v>
      </c>
      <c r="M5" s="18">
        <v>2</v>
      </c>
      <c r="N5" s="19">
        <v>16</v>
      </c>
      <c r="O5" s="15">
        <v>1</v>
      </c>
      <c r="P5" s="14">
        <v>16</v>
      </c>
      <c r="Q5" s="2"/>
      <c r="R5" s="13">
        <v>1</v>
      </c>
      <c r="S5" s="14">
        <v>16</v>
      </c>
      <c r="T5" s="18">
        <v>2</v>
      </c>
      <c r="U5" s="19">
        <v>16</v>
      </c>
      <c r="V5" s="15">
        <v>1</v>
      </c>
      <c r="W5" s="14">
        <v>16</v>
      </c>
      <c r="X5" s="2"/>
      <c r="Y5" s="13">
        <v>0</v>
      </c>
      <c r="Z5" s="14">
        <v>16</v>
      </c>
      <c r="AA5" s="18">
        <v>2</v>
      </c>
      <c r="AB5" s="19">
        <v>16</v>
      </c>
      <c r="AC5" s="15">
        <v>2</v>
      </c>
      <c r="AD5" s="14">
        <v>16</v>
      </c>
      <c r="AE5" s="2"/>
      <c r="AF5" s="13">
        <v>2</v>
      </c>
      <c r="AG5" s="14">
        <v>16</v>
      </c>
      <c r="AH5" s="18">
        <v>2</v>
      </c>
      <c r="AI5" s="19">
        <v>16</v>
      </c>
      <c r="AJ5" s="15">
        <v>2</v>
      </c>
      <c r="AK5" s="14">
        <v>16</v>
      </c>
      <c r="AL5" s="2"/>
      <c r="AM5" s="13">
        <v>2</v>
      </c>
      <c r="AN5" s="14">
        <v>16</v>
      </c>
      <c r="AO5" s="18">
        <v>2</v>
      </c>
      <c r="AP5" s="19">
        <v>16</v>
      </c>
      <c r="AQ5" s="15">
        <v>2</v>
      </c>
      <c r="AR5" s="14">
        <v>16</v>
      </c>
      <c r="AS5" s="2"/>
      <c r="AT5" s="13">
        <v>2</v>
      </c>
      <c r="AU5" s="14">
        <v>16</v>
      </c>
      <c r="AV5" s="18">
        <v>2</v>
      </c>
      <c r="AW5" s="19">
        <v>16</v>
      </c>
      <c r="AX5" s="15">
        <v>2</v>
      </c>
      <c r="AY5" s="14">
        <v>16</v>
      </c>
      <c r="AZ5" s="2"/>
      <c r="BA5" s="13">
        <v>2</v>
      </c>
      <c r="BB5" s="14">
        <v>16</v>
      </c>
      <c r="BC5" s="18">
        <v>2</v>
      </c>
      <c r="BD5" s="19">
        <v>16</v>
      </c>
      <c r="BE5" s="15">
        <v>2</v>
      </c>
      <c r="BF5" s="14">
        <v>16</v>
      </c>
      <c r="BG5" s="2"/>
      <c r="BH5" s="13">
        <v>2</v>
      </c>
      <c r="BI5" s="14">
        <v>16</v>
      </c>
      <c r="BJ5" s="18">
        <v>2</v>
      </c>
      <c r="BK5" s="19">
        <v>16</v>
      </c>
      <c r="BL5" s="15">
        <v>2</v>
      </c>
      <c r="BM5" s="14">
        <v>16</v>
      </c>
      <c r="BN5" s="2"/>
      <c r="BO5" s="13">
        <v>2</v>
      </c>
      <c r="BP5" s="14">
        <v>16</v>
      </c>
      <c r="BQ5" s="18">
        <v>2</v>
      </c>
      <c r="BR5" s="19">
        <v>16</v>
      </c>
      <c r="BS5" s="15">
        <v>2</v>
      </c>
      <c r="BT5" s="14">
        <v>16</v>
      </c>
      <c r="BU5" s="2"/>
      <c r="BV5" s="13">
        <v>2</v>
      </c>
      <c r="BW5" s="14">
        <v>16</v>
      </c>
      <c r="BX5" s="18">
        <v>2</v>
      </c>
      <c r="BY5" s="19">
        <v>16</v>
      </c>
      <c r="BZ5" s="15">
        <v>2</v>
      </c>
      <c r="CA5" s="14">
        <v>16</v>
      </c>
      <c r="CB5" s="2"/>
      <c r="CC5" s="13">
        <v>2</v>
      </c>
      <c r="CD5" s="14">
        <v>16</v>
      </c>
      <c r="CE5" s="18">
        <v>2</v>
      </c>
      <c r="CF5" s="19">
        <v>16</v>
      </c>
      <c r="CG5" s="15">
        <v>2</v>
      </c>
      <c r="CH5" s="14">
        <v>16</v>
      </c>
      <c r="CI5" s="2"/>
    </row>
    <row r="6" spans="2:87" ht="42.75" customHeight="1" thickBot="1" x14ac:dyDescent="0.3">
      <c r="C6" s="3"/>
      <c r="D6" s="1"/>
      <c r="E6" s="1"/>
      <c r="F6" s="1"/>
      <c r="G6" s="1"/>
      <c r="H6" s="1"/>
      <c r="I6" s="1"/>
      <c r="K6" s="1"/>
      <c r="L6" s="1"/>
      <c r="M6" s="1"/>
      <c r="N6" s="1"/>
      <c r="O6" s="1"/>
      <c r="P6" s="1"/>
      <c r="R6" s="1"/>
      <c r="S6" s="1"/>
      <c r="T6" s="1"/>
      <c r="U6" s="1"/>
      <c r="V6" s="1"/>
      <c r="W6" s="1"/>
      <c r="Y6" s="1"/>
      <c r="Z6" s="1"/>
      <c r="AA6" s="1"/>
      <c r="AB6" s="1"/>
      <c r="AC6" s="1"/>
      <c r="AD6" s="1"/>
      <c r="AF6" s="1"/>
      <c r="AG6" s="1"/>
      <c r="AH6" s="1"/>
      <c r="AI6" s="1"/>
      <c r="AJ6" s="1"/>
      <c r="AK6" s="1"/>
      <c r="AM6" s="1"/>
      <c r="AN6" s="1"/>
      <c r="AO6" s="1"/>
      <c r="AP6" s="1"/>
      <c r="AQ6" s="1"/>
      <c r="AR6" s="1"/>
      <c r="AT6" s="1"/>
      <c r="AU6" s="1"/>
      <c r="AV6" s="1"/>
      <c r="AW6" s="1"/>
      <c r="AX6" s="1"/>
      <c r="AY6" s="1"/>
      <c r="BA6" s="1"/>
      <c r="BB6" s="1"/>
      <c r="BC6" s="1"/>
      <c r="BD6" s="1"/>
      <c r="BE6" s="1"/>
      <c r="BF6" s="1"/>
      <c r="BH6" s="1"/>
      <c r="BI6" s="1"/>
      <c r="BJ6" s="1"/>
      <c r="BK6" s="1"/>
      <c r="BL6" s="1"/>
      <c r="BM6" s="1"/>
      <c r="BO6" s="1"/>
      <c r="BP6" s="1"/>
      <c r="BQ6" s="1"/>
      <c r="BR6" s="1"/>
      <c r="BS6" s="1"/>
      <c r="BT6" s="1"/>
      <c r="BV6" s="1"/>
      <c r="BW6" s="1"/>
      <c r="BX6" s="1"/>
      <c r="BY6" s="1"/>
      <c r="BZ6" s="1"/>
      <c r="CA6" s="1"/>
      <c r="CC6" s="1"/>
      <c r="CD6" s="1"/>
      <c r="CE6" s="1"/>
      <c r="CF6" s="1"/>
      <c r="CG6" s="1"/>
      <c r="CH6" s="1"/>
      <c r="CI6" s="4"/>
    </row>
    <row r="7" spans="2:87" ht="21" customHeight="1" x14ac:dyDescent="0.25">
      <c r="C7" s="12">
        <v>12</v>
      </c>
      <c r="D7" s="20">
        <v>2</v>
      </c>
      <c r="E7" s="21">
        <v>16</v>
      </c>
      <c r="F7" s="98">
        <v>10</v>
      </c>
      <c r="G7" s="98"/>
      <c r="H7" s="16">
        <v>1</v>
      </c>
      <c r="I7" s="17">
        <v>16</v>
      </c>
      <c r="J7" s="12">
        <v>12</v>
      </c>
      <c r="K7" s="20">
        <v>2</v>
      </c>
      <c r="L7" s="21">
        <v>16</v>
      </c>
      <c r="M7" s="98">
        <v>10</v>
      </c>
      <c r="N7" s="98"/>
      <c r="O7" s="16">
        <v>1</v>
      </c>
      <c r="P7" s="17">
        <v>16</v>
      </c>
      <c r="Q7" s="12">
        <v>12</v>
      </c>
      <c r="R7" s="20">
        <v>2</v>
      </c>
      <c r="S7" s="21">
        <v>16</v>
      </c>
      <c r="T7" s="98">
        <v>10</v>
      </c>
      <c r="U7" s="98"/>
      <c r="V7" s="16">
        <v>1</v>
      </c>
      <c r="W7" s="17">
        <v>16</v>
      </c>
      <c r="X7" s="12">
        <v>12</v>
      </c>
      <c r="Y7" s="20">
        <v>0</v>
      </c>
      <c r="Z7" s="21">
        <v>16</v>
      </c>
      <c r="AA7" s="98">
        <v>10</v>
      </c>
      <c r="AB7" s="98"/>
      <c r="AC7" s="16">
        <v>2</v>
      </c>
      <c r="AD7" s="17">
        <v>16</v>
      </c>
      <c r="AE7" s="12">
        <v>12</v>
      </c>
      <c r="AF7" s="20">
        <v>2</v>
      </c>
      <c r="AG7" s="21">
        <v>16</v>
      </c>
      <c r="AH7" s="98">
        <v>10</v>
      </c>
      <c r="AI7" s="98"/>
      <c r="AJ7" s="16">
        <v>2</v>
      </c>
      <c r="AK7" s="17">
        <v>16</v>
      </c>
      <c r="AL7" s="12">
        <v>12</v>
      </c>
      <c r="AM7" s="20">
        <v>2</v>
      </c>
      <c r="AN7" s="21">
        <v>16</v>
      </c>
      <c r="AO7" s="98">
        <v>10</v>
      </c>
      <c r="AP7" s="98"/>
      <c r="AQ7" s="16">
        <v>2</v>
      </c>
      <c r="AR7" s="17">
        <v>16</v>
      </c>
      <c r="AS7" s="12">
        <v>12</v>
      </c>
      <c r="AT7" s="20">
        <v>2</v>
      </c>
      <c r="AU7" s="21">
        <v>16</v>
      </c>
      <c r="AV7" s="98">
        <v>10</v>
      </c>
      <c r="AW7" s="98"/>
      <c r="AX7" s="16">
        <v>2</v>
      </c>
      <c r="AY7" s="17">
        <v>16</v>
      </c>
      <c r="AZ7" s="12">
        <v>12</v>
      </c>
      <c r="BA7" s="20">
        <v>2</v>
      </c>
      <c r="BB7" s="21">
        <v>16</v>
      </c>
      <c r="BC7" s="98">
        <v>10</v>
      </c>
      <c r="BD7" s="98"/>
      <c r="BE7" s="16">
        <v>2</v>
      </c>
      <c r="BF7" s="17">
        <v>16</v>
      </c>
      <c r="BG7" s="12">
        <v>12</v>
      </c>
      <c r="BH7" s="20">
        <v>2</v>
      </c>
      <c r="BI7" s="21">
        <v>16</v>
      </c>
      <c r="BJ7" s="98">
        <v>10</v>
      </c>
      <c r="BK7" s="98"/>
      <c r="BL7" s="16">
        <v>2</v>
      </c>
      <c r="BM7" s="17">
        <v>16</v>
      </c>
      <c r="BN7" s="12">
        <v>12</v>
      </c>
      <c r="BO7" s="20">
        <v>2</v>
      </c>
      <c r="BP7" s="21">
        <v>16</v>
      </c>
      <c r="BQ7" s="98">
        <v>10</v>
      </c>
      <c r="BR7" s="98"/>
      <c r="BS7" s="16">
        <v>2</v>
      </c>
      <c r="BT7" s="17">
        <v>16</v>
      </c>
      <c r="BU7" s="12">
        <v>12</v>
      </c>
      <c r="BV7" s="20">
        <v>2</v>
      </c>
      <c r="BW7" s="21">
        <v>16</v>
      </c>
      <c r="BX7" s="98">
        <v>10</v>
      </c>
      <c r="BY7" s="98"/>
      <c r="BZ7" s="16">
        <v>2</v>
      </c>
      <c r="CA7" s="17">
        <v>16</v>
      </c>
      <c r="CB7" s="12">
        <v>12</v>
      </c>
      <c r="CC7" s="20">
        <v>2</v>
      </c>
      <c r="CD7" s="21">
        <v>16</v>
      </c>
      <c r="CE7" s="98">
        <v>10</v>
      </c>
      <c r="CF7" s="98"/>
      <c r="CG7" s="16">
        <v>2</v>
      </c>
      <c r="CH7" s="17">
        <v>16</v>
      </c>
      <c r="CI7" s="12">
        <v>12</v>
      </c>
    </row>
    <row r="8" spans="2:87" x14ac:dyDescent="0.25">
      <c r="D8" s="25">
        <v>2</v>
      </c>
      <c r="E8" s="26">
        <v>12</v>
      </c>
      <c r="H8" s="23">
        <v>0</v>
      </c>
      <c r="I8" s="24">
        <v>16</v>
      </c>
      <c r="K8" s="25">
        <v>2</v>
      </c>
      <c r="L8" s="26">
        <v>12</v>
      </c>
      <c r="O8" s="23">
        <v>0</v>
      </c>
      <c r="P8" s="24">
        <v>16</v>
      </c>
      <c r="R8" s="25">
        <v>2</v>
      </c>
      <c r="S8" s="26">
        <v>12</v>
      </c>
      <c r="V8" s="23">
        <v>0</v>
      </c>
      <c r="W8" s="24">
        <v>16</v>
      </c>
      <c r="Y8" s="25">
        <v>0</v>
      </c>
      <c r="Z8" s="26">
        <v>16</v>
      </c>
      <c r="AC8" s="23">
        <v>1</v>
      </c>
      <c r="AD8" s="24">
        <v>16</v>
      </c>
      <c r="AF8" s="25">
        <v>1</v>
      </c>
      <c r="AG8" s="26">
        <v>16</v>
      </c>
      <c r="AJ8" s="23">
        <v>1</v>
      </c>
      <c r="AK8" s="24">
        <v>16</v>
      </c>
      <c r="AM8" s="25">
        <v>1</v>
      </c>
      <c r="AN8" s="26">
        <v>16</v>
      </c>
      <c r="AQ8" s="23">
        <v>1</v>
      </c>
      <c r="AR8" s="24">
        <v>16</v>
      </c>
      <c r="AT8" s="25">
        <v>1</v>
      </c>
      <c r="AU8" s="26">
        <v>16</v>
      </c>
      <c r="AX8" s="23">
        <v>1</v>
      </c>
      <c r="AY8" s="24">
        <v>16</v>
      </c>
      <c r="BA8" s="25">
        <v>1</v>
      </c>
      <c r="BB8" s="26">
        <v>16</v>
      </c>
      <c r="BE8" s="23">
        <v>1</v>
      </c>
      <c r="BF8" s="24">
        <v>16</v>
      </c>
      <c r="BH8" s="25">
        <v>1</v>
      </c>
      <c r="BI8" s="26">
        <v>16</v>
      </c>
      <c r="BL8" s="23">
        <v>1</v>
      </c>
      <c r="BM8" s="24">
        <v>16</v>
      </c>
      <c r="BO8" s="25">
        <v>1</v>
      </c>
      <c r="BP8" s="26">
        <v>16</v>
      </c>
      <c r="BS8" s="23">
        <v>1</v>
      </c>
      <c r="BT8" s="24">
        <v>16</v>
      </c>
      <c r="BV8" s="25">
        <v>1</v>
      </c>
      <c r="BW8" s="26">
        <v>16</v>
      </c>
      <c r="BZ8" s="23">
        <v>1</v>
      </c>
      <c r="CA8" s="24">
        <v>16</v>
      </c>
      <c r="CC8" s="25">
        <v>1</v>
      </c>
      <c r="CD8" s="26">
        <v>16</v>
      </c>
      <c r="CG8" s="23">
        <v>1</v>
      </c>
      <c r="CH8" s="24">
        <v>16</v>
      </c>
    </row>
    <row r="10" spans="2:87" x14ac:dyDescent="0.25">
      <c r="B10" s="87"/>
      <c r="C10" s="87"/>
      <c r="D10" s="22"/>
      <c r="E10" s="28" t="s">
        <v>27</v>
      </c>
      <c r="F10" s="29">
        <f>((H10/12)*(H11/12)*(F7+(C7/12)+(IF(C3=1,(J7/12),0))))*1.5</f>
        <v>16.5</v>
      </c>
      <c r="G10" t="s">
        <v>14</v>
      </c>
      <c r="H10" s="41">
        <v>12</v>
      </c>
      <c r="I10" s="87"/>
      <c r="J10" s="87"/>
      <c r="L10" s="28" t="s">
        <v>27</v>
      </c>
      <c r="M10" s="29">
        <f>IF(C3&lt;2,0,((O10/12)*(O11/12)*(M7+(J7/12)+(IF(C3=2,(Q7/12),0))))*1.5)</f>
        <v>18</v>
      </c>
      <c r="N10" t="s">
        <v>14</v>
      </c>
      <c r="O10" s="41">
        <v>12</v>
      </c>
      <c r="P10" s="87"/>
      <c r="Q10" s="87"/>
      <c r="S10" s="28" t="s">
        <v>27</v>
      </c>
      <c r="T10" s="29">
        <f>IF(C3&lt;3,0,((V10/12)*(V11/12)*(T7+(Q7/12)+(IF(C3=3,(X7/12),0)))*1.5))</f>
        <v>0</v>
      </c>
      <c r="U10" t="s">
        <v>14</v>
      </c>
      <c r="V10" s="41">
        <v>12</v>
      </c>
      <c r="W10" s="87"/>
      <c r="X10" s="87"/>
      <c r="Z10" s="28" t="s">
        <v>27</v>
      </c>
      <c r="AA10" s="29">
        <f>IF(C3&lt;4,0,((AC10/12)*(AC11/12)*(AA7+(X7/12)+(IF(C3=4,(AE7/12),0))))*1.5)</f>
        <v>0</v>
      </c>
      <c r="AB10" t="s">
        <v>14</v>
      </c>
      <c r="AC10" s="41">
        <v>12</v>
      </c>
      <c r="AD10" s="87"/>
      <c r="AE10" s="87"/>
      <c r="AG10" s="28" t="s">
        <v>27</v>
      </c>
      <c r="AH10" s="29">
        <f>IF(C3&lt;5,0,((AJ10/12)*(AJ11/12)*(AH7+(AE7/12)+(IF(C3=5,(AL7/12),0)))*1.5))</f>
        <v>0</v>
      </c>
      <c r="AI10" t="s">
        <v>14</v>
      </c>
      <c r="AJ10" s="41">
        <v>12</v>
      </c>
      <c r="AK10" s="87"/>
      <c r="AL10" s="87"/>
      <c r="AN10" s="28" t="s">
        <v>27</v>
      </c>
      <c r="AO10" s="29">
        <f>IF(C3&lt;6,0,((AQ10/12)*(AQ11/12)*(AO7+(AL7/12)+(IF(C3=6,(AS7/12),0)))*1.5))</f>
        <v>0</v>
      </c>
      <c r="AP10" t="s">
        <v>14</v>
      </c>
      <c r="AQ10" s="41">
        <v>12</v>
      </c>
      <c r="AR10" s="87"/>
      <c r="AS10" s="87"/>
      <c r="AU10" s="28" t="s">
        <v>27</v>
      </c>
      <c r="AV10" s="29">
        <f>IF(C3&lt;7,0,((AX10/12)*(AX11/12)*(AV7+(AS7/12)+(IF(C3=7,(AZ7/12),0)))*1.5))</f>
        <v>0</v>
      </c>
      <c r="AW10" t="s">
        <v>14</v>
      </c>
      <c r="AX10" s="41">
        <v>12</v>
      </c>
      <c r="AY10" s="87"/>
      <c r="AZ10" s="87"/>
      <c r="BB10" s="28" t="s">
        <v>27</v>
      </c>
      <c r="BC10" s="29">
        <f>IF(C3&lt;8,0,((BE10/12)*(BE11/12)*(BC7+(AZ7/12)+(IF(C3=8,(BG7/12),0)))*1.5))</f>
        <v>0</v>
      </c>
      <c r="BD10" t="s">
        <v>14</v>
      </c>
      <c r="BE10" s="41">
        <v>12</v>
      </c>
      <c r="BF10" s="87"/>
      <c r="BG10" s="87"/>
      <c r="BI10" s="28" t="s">
        <v>27</v>
      </c>
      <c r="BJ10" s="29">
        <f>IF(C3&lt;9,0,((BL10/12)*(BL11/12)*(BJ7+(BG7/12)+(IF(C3=9,(BN7/12),0)))*1.5))</f>
        <v>0</v>
      </c>
      <c r="BK10" t="s">
        <v>14</v>
      </c>
      <c r="BL10" s="40">
        <v>12</v>
      </c>
      <c r="BM10" s="87"/>
      <c r="BN10" s="87"/>
      <c r="BP10" s="28" t="s">
        <v>27</v>
      </c>
      <c r="BQ10" s="29">
        <f>IF(C3&lt;10,0,((BS10/12)*(BS11/12)*(BQ7+(BN7/12)+(IF(C3=10,(BU7/12),0)))*1.5))</f>
        <v>0</v>
      </c>
      <c r="BR10" t="s">
        <v>14</v>
      </c>
      <c r="BS10" s="41">
        <v>12</v>
      </c>
      <c r="BT10" s="87"/>
      <c r="BU10" s="87"/>
      <c r="BW10" s="28" t="s">
        <v>27</v>
      </c>
      <c r="BX10" s="29">
        <f>IF(C3&lt;11,0,((BZ10/12)*(BZ11/12)*(BX7+(BU7/12)+(IF(C3=11,(CB7/12),0)))*1.5))</f>
        <v>0</v>
      </c>
      <c r="BY10" t="s">
        <v>14</v>
      </c>
      <c r="BZ10" s="41">
        <v>12</v>
      </c>
      <c r="CA10" s="87"/>
      <c r="CB10" s="87"/>
      <c r="CD10" s="28" t="s">
        <v>27</v>
      </c>
      <c r="CE10" s="29">
        <f>IF(C3&lt;12,0,((CG10/12)*(CG11/12)*(CE7+(CB7/12)+(IF(C3=12,(CI7/12),0)))*1.5))</f>
        <v>0</v>
      </c>
      <c r="CF10" t="s">
        <v>14</v>
      </c>
      <c r="CG10" s="41">
        <v>12</v>
      </c>
    </row>
    <row r="11" spans="2:87" x14ac:dyDescent="0.25">
      <c r="B11" s="87"/>
      <c r="C11" s="87"/>
      <c r="D11" s="22"/>
      <c r="E11" s="28"/>
      <c r="F11" s="29"/>
      <c r="G11" t="s">
        <v>15</v>
      </c>
      <c r="H11" s="41">
        <v>12</v>
      </c>
      <c r="I11" s="87"/>
      <c r="J11" s="87"/>
      <c r="L11" s="28"/>
      <c r="M11" s="29"/>
      <c r="N11" t="s">
        <v>15</v>
      </c>
      <c r="O11" s="41">
        <v>12</v>
      </c>
      <c r="P11" s="87"/>
      <c r="Q11" s="87"/>
      <c r="S11" s="28"/>
      <c r="T11" s="29"/>
      <c r="U11" t="s">
        <v>15</v>
      </c>
      <c r="V11" s="41">
        <v>12</v>
      </c>
      <c r="W11" s="87"/>
      <c r="X11" s="87"/>
      <c r="Z11" s="28"/>
      <c r="AA11" s="29"/>
      <c r="AB11" t="s">
        <v>15</v>
      </c>
      <c r="AC11" s="41">
        <v>12</v>
      </c>
      <c r="AD11" s="87"/>
      <c r="AE11" s="87"/>
      <c r="AG11" s="28"/>
      <c r="AH11" s="29"/>
      <c r="AI11" t="s">
        <v>15</v>
      </c>
      <c r="AJ11" s="41">
        <v>12</v>
      </c>
      <c r="AK11" s="87"/>
      <c r="AL11" s="87"/>
      <c r="AN11" s="28"/>
      <c r="AO11" s="29"/>
      <c r="AP11" t="s">
        <v>15</v>
      </c>
      <c r="AQ11" s="41">
        <v>12</v>
      </c>
      <c r="AR11" s="87"/>
      <c r="AS11" s="87"/>
      <c r="AU11" s="28"/>
      <c r="AV11" s="29"/>
      <c r="AW11" t="s">
        <v>15</v>
      </c>
      <c r="AX11" s="41">
        <v>12</v>
      </c>
      <c r="AY11" s="87"/>
      <c r="AZ11" s="87"/>
      <c r="BB11" s="28"/>
      <c r="BC11" s="29"/>
      <c r="BD11" t="s">
        <v>15</v>
      </c>
      <c r="BE11" s="41">
        <v>12</v>
      </c>
      <c r="BF11" s="87"/>
      <c r="BG11" s="87"/>
      <c r="BI11" s="28"/>
      <c r="BJ11" s="29"/>
      <c r="BK11" t="s">
        <v>15</v>
      </c>
      <c r="BL11" s="40">
        <v>12</v>
      </c>
      <c r="BM11" s="87"/>
      <c r="BN11" s="87"/>
      <c r="BP11" s="28"/>
      <c r="BQ11" s="29"/>
      <c r="BR11" t="s">
        <v>15</v>
      </c>
      <c r="BS11" s="41">
        <v>12</v>
      </c>
      <c r="BT11" s="87"/>
      <c r="BU11" s="87"/>
      <c r="BW11" s="28"/>
      <c r="BX11" s="29"/>
      <c r="BY11" t="s">
        <v>15</v>
      </c>
      <c r="BZ11" s="41">
        <v>12</v>
      </c>
      <c r="CA11" s="87"/>
      <c r="CB11" s="87"/>
      <c r="CD11" s="28"/>
      <c r="CE11" s="29"/>
      <c r="CF11" t="s">
        <v>15</v>
      </c>
      <c r="CG11" s="41">
        <v>12</v>
      </c>
    </row>
    <row r="12" spans="2:87" x14ac:dyDescent="0.25">
      <c r="B12" s="87"/>
      <c r="C12" s="87"/>
      <c r="D12" s="22"/>
      <c r="E12" s="28"/>
      <c r="F12" s="29"/>
      <c r="G12" t="s">
        <v>0</v>
      </c>
      <c r="H12" s="41">
        <v>29</v>
      </c>
      <c r="I12" s="87"/>
      <c r="J12" s="87"/>
      <c r="L12" s="28"/>
      <c r="M12" s="29"/>
      <c r="N12" t="s">
        <v>0</v>
      </c>
      <c r="O12" s="41">
        <v>28</v>
      </c>
      <c r="P12" s="87"/>
      <c r="Q12" s="87"/>
      <c r="S12" s="28"/>
      <c r="T12" s="29"/>
      <c r="U12" t="s">
        <v>0</v>
      </c>
      <c r="V12" s="41">
        <v>32</v>
      </c>
      <c r="W12" s="87"/>
      <c r="X12" s="87"/>
      <c r="Z12" s="28"/>
      <c r="AA12" s="29"/>
      <c r="AB12" t="s">
        <v>0</v>
      </c>
      <c r="AC12" s="41">
        <v>10</v>
      </c>
      <c r="AD12" s="87"/>
      <c r="AE12" s="87"/>
      <c r="AG12" s="28"/>
      <c r="AH12" s="29"/>
      <c r="AI12" t="s">
        <v>0</v>
      </c>
      <c r="AJ12" s="41">
        <v>10</v>
      </c>
      <c r="AK12" s="87"/>
      <c r="AL12" s="87"/>
      <c r="AN12" s="28"/>
      <c r="AO12" s="29"/>
      <c r="AP12" t="s">
        <v>0</v>
      </c>
      <c r="AQ12" s="41">
        <v>10</v>
      </c>
      <c r="AR12" s="87"/>
      <c r="AS12" s="87"/>
      <c r="AU12" s="28"/>
      <c r="AV12" s="29"/>
      <c r="AW12" t="s">
        <v>0</v>
      </c>
      <c r="AX12" s="41">
        <v>10</v>
      </c>
      <c r="AY12" s="87"/>
      <c r="AZ12" s="87"/>
      <c r="BB12" s="28"/>
      <c r="BC12" s="29"/>
      <c r="BD12" t="s">
        <v>0</v>
      </c>
      <c r="BE12" s="41">
        <v>10</v>
      </c>
      <c r="BF12" s="87"/>
      <c r="BG12" s="87"/>
      <c r="BI12" s="28"/>
      <c r="BJ12" s="29"/>
      <c r="BK12" t="s">
        <v>0</v>
      </c>
      <c r="BL12" s="40">
        <v>10</v>
      </c>
      <c r="BM12" s="87"/>
      <c r="BN12" s="87"/>
      <c r="BP12" s="28"/>
      <c r="BQ12" s="29"/>
      <c r="BR12" t="s">
        <v>0</v>
      </c>
      <c r="BS12" s="41">
        <v>10</v>
      </c>
      <c r="BT12" s="87"/>
      <c r="BU12" s="87"/>
      <c r="BW12" s="28"/>
      <c r="BX12" s="29"/>
      <c r="BY12" t="s">
        <v>0</v>
      </c>
      <c r="BZ12" s="41">
        <v>10</v>
      </c>
      <c r="CA12" s="87"/>
      <c r="CB12" s="87"/>
      <c r="CD12" s="28"/>
      <c r="CE12" s="29"/>
      <c r="CF12" t="s">
        <v>0</v>
      </c>
      <c r="CG12" s="41">
        <v>10</v>
      </c>
    </row>
    <row r="13" spans="2:87" x14ac:dyDescent="0.25">
      <c r="B13" s="87"/>
      <c r="C13" s="87"/>
      <c r="D13" s="22"/>
      <c r="E13" s="28"/>
      <c r="F13" s="29"/>
      <c r="G13" t="s">
        <v>2</v>
      </c>
      <c r="H13" s="41">
        <v>1.5</v>
      </c>
      <c r="I13" s="87"/>
      <c r="J13" s="87"/>
      <c r="L13" s="28"/>
      <c r="M13" s="29"/>
      <c r="N13" t="s">
        <v>2</v>
      </c>
      <c r="O13" s="41">
        <v>1.5</v>
      </c>
      <c r="P13" s="87"/>
      <c r="Q13" s="87"/>
      <c r="S13" s="28"/>
      <c r="T13" s="29"/>
      <c r="U13" t="s">
        <v>2</v>
      </c>
      <c r="V13" s="41">
        <v>1.5</v>
      </c>
      <c r="W13" s="87"/>
      <c r="X13" s="87"/>
      <c r="Z13" s="28"/>
      <c r="AA13" s="29"/>
      <c r="AB13" t="s">
        <v>2</v>
      </c>
      <c r="AC13" s="41">
        <v>1.5</v>
      </c>
      <c r="AD13" s="87"/>
      <c r="AE13" s="87"/>
      <c r="AG13" s="28"/>
      <c r="AH13" s="29"/>
      <c r="AI13" t="s">
        <v>2</v>
      </c>
      <c r="AJ13" s="41">
        <v>1.5</v>
      </c>
      <c r="AK13" s="87"/>
      <c r="AL13" s="87"/>
      <c r="AN13" s="28"/>
      <c r="AO13" s="29"/>
      <c r="AP13" t="s">
        <v>2</v>
      </c>
      <c r="AQ13" s="41">
        <v>1.5</v>
      </c>
      <c r="AR13" s="87"/>
      <c r="AS13" s="87"/>
      <c r="AU13" s="28"/>
      <c r="AV13" s="29"/>
      <c r="AW13" t="s">
        <v>2</v>
      </c>
      <c r="AX13" s="41">
        <v>1.5</v>
      </c>
      <c r="AY13" s="87"/>
      <c r="AZ13" s="87"/>
      <c r="BB13" s="28"/>
      <c r="BC13" s="29"/>
      <c r="BD13" t="s">
        <v>2</v>
      </c>
      <c r="BE13" s="41">
        <v>1.5</v>
      </c>
      <c r="BF13" s="87"/>
      <c r="BG13" s="87"/>
      <c r="BI13" s="28"/>
      <c r="BJ13" s="29"/>
      <c r="BK13" t="s">
        <v>2</v>
      </c>
      <c r="BL13" s="40">
        <v>1.5</v>
      </c>
      <c r="BM13" s="87"/>
      <c r="BN13" s="87"/>
      <c r="BP13" s="28"/>
      <c r="BQ13" s="29"/>
      <c r="BR13" t="s">
        <v>2</v>
      </c>
      <c r="BS13" s="41">
        <v>1.5</v>
      </c>
      <c r="BT13" s="87"/>
      <c r="BU13" s="87"/>
      <c r="BW13" s="28"/>
      <c r="BX13" s="29"/>
      <c r="BY13" t="s">
        <v>2</v>
      </c>
      <c r="BZ13" s="41">
        <v>1.5</v>
      </c>
      <c r="CA13" s="87"/>
      <c r="CB13" s="87"/>
      <c r="CD13" s="28"/>
      <c r="CE13" s="29"/>
      <c r="CF13" t="s">
        <v>2</v>
      </c>
      <c r="CG13" s="41">
        <v>1.5</v>
      </c>
    </row>
    <row r="14" spans="2:87" x14ac:dyDescent="0.25">
      <c r="B14" s="87"/>
      <c r="C14" s="87"/>
      <c r="D14" s="22"/>
      <c r="E14" s="28"/>
      <c r="F14" s="29"/>
      <c r="G14" t="s">
        <v>16</v>
      </c>
      <c r="H14" s="41">
        <v>10</v>
      </c>
      <c r="I14" s="87"/>
      <c r="J14" s="87"/>
      <c r="K14" s="22"/>
      <c r="L14" s="28"/>
      <c r="M14" s="29"/>
      <c r="N14" t="s">
        <v>16</v>
      </c>
      <c r="O14" s="41">
        <v>10</v>
      </c>
      <c r="P14" s="87"/>
      <c r="Q14" s="87"/>
      <c r="R14" s="22"/>
      <c r="S14" s="28"/>
      <c r="T14" s="29"/>
      <c r="U14" t="s">
        <v>16</v>
      </c>
      <c r="V14" s="41">
        <v>10</v>
      </c>
      <c r="W14" s="87"/>
      <c r="X14" s="87"/>
      <c r="Y14" s="22"/>
      <c r="Z14" s="28"/>
      <c r="AA14" s="29"/>
      <c r="AB14" t="s">
        <v>16</v>
      </c>
      <c r="AC14" s="41">
        <v>10</v>
      </c>
      <c r="AD14" s="87"/>
      <c r="AE14" s="87"/>
      <c r="AF14" s="22"/>
      <c r="AG14" s="28"/>
      <c r="AH14" s="29"/>
      <c r="AI14" t="s">
        <v>16</v>
      </c>
      <c r="AJ14" s="41">
        <v>10</v>
      </c>
      <c r="AK14" s="87"/>
      <c r="AL14" s="87"/>
      <c r="AM14" s="22"/>
      <c r="AN14" s="28"/>
      <c r="AO14" s="29"/>
      <c r="AP14" t="s">
        <v>16</v>
      </c>
      <c r="AQ14" s="41">
        <v>10</v>
      </c>
      <c r="AR14" s="87"/>
      <c r="AS14" s="87"/>
      <c r="AT14" s="22"/>
      <c r="AU14" s="28"/>
      <c r="AV14" s="29"/>
      <c r="AW14" t="s">
        <v>16</v>
      </c>
      <c r="AX14" s="41">
        <v>10</v>
      </c>
      <c r="AY14" s="87"/>
      <c r="AZ14" s="87"/>
      <c r="BA14" s="22"/>
      <c r="BB14" s="28"/>
      <c r="BC14" s="29"/>
      <c r="BD14" t="s">
        <v>16</v>
      </c>
      <c r="BE14" s="41">
        <v>10</v>
      </c>
      <c r="BF14" s="87"/>
      <c r="BG14" s="87"/>
      <c r="BH14" s="22"/>
      <c r="BI14" s="28"/>
      <c r="BJ14" s="29"/>
      <c r="BK14" t="s">
        <v>16</v>
      </c>
      <c r="BL14" s="40">
        <v>10</v>
      </c>
      <c r="BM14" s="87"/>
      <c r="BN14" s="87"/>
      <c r="BO14" s="22"/>
      <c r="BP14" s="28"/>
      <c r="BQ14" s="29"/>
      <c r="BR14" t="s">
        <v>16</v>
      </c>
      <c r="BS14" s="41">
        <v>10</v>
      </c>
      <c r="BT14" s="87"/>
      <c r="BU14" s="87"/>
      <c r="BV14" s="22"/>
      <c r="BW14" s="28"/>
      <c r="BX14" s="29"/>
      <c r="BY14" t="s">
        <v>16</v>
      </c>
      <c r="BZ14" s="41">
        <v>10</v>
      </c>
      <c r="CA14" s="87"/>
      <c r="CB14" s="87"/>
      <c r="CC14" s="22"/>
      <c r="CD14" s="28"/>
      <c r="CE14" s="29"/>
      <c r="CF14" t="s">
        <v>16</v>
      </c>
      <c r="CG14" s="41">
        <v>10</v>
      </c>
    </row>
    <row r="15" spans="2:87" x14ac:dyDescent="0.25">
      <c r="B15" s="87"/>
      <c r="C15" s="87"/>
      <c r="D15" s="22"/>
      <c r="E15" s="28"/>
      <c r="F15" s="29"/>
      <c r="G15" s="33"/>
      <c r="H15" s="32"/>
      <c r="I15" s="87"/>
      <c r="J15" s="87"/>
      <c r="K15" s="22"/>
      <c r="L15" s="28"/>
      <c r="M15" s="29"/>
      <c r="N15" s="33"/>
      <c r="O15" s="32"/>
      <c r="P15" s="87"/>
      <c r="Q15" s="87"/>
      <c r="R15" s="22"/>
      <c r="S15" s="28"/>
      <c r="T15" s="29"/>
      <c r="U15" s="33"/>
      <c r="V15" s="32"/>
      <c r="W15" s="87"/>
      <c r="X15" s="87"/>
      <c r="Y15" s="22"/>
      <c r="Z15" s="28"/>
      <c r="AA15" s="29"/>
      <c r="AB15" s="33"/>
      <c r="AC15" s="32"/>
      <c r="AD15" s="87"/>
      <c r="AE15" s="87"/>
      <c r="AF15" s="22"/>
      <c r="AG15" s="28"/>
      <c r="AH15" s="29"/>
      <c r="AI15" s="33"/>
      <c r="AJ15" s="32"/>
      <c r="AK15" s="87"/>
      <c r="AL15" s="87"/>
      <c r="AM15" s="22"/>
      <c r="AN15" s="28"/>
      <c r="AO15" s="29"/>
      <c r="AP15" s="33"/>
      <c r="AQ15" s="32"/>
      <c r="AR15" s="87"/>
      <c r="AS15" s="87"/>
      <c r="AT15" s="22"/>
      <c r="AU15" s="28"/>
      <c r="AV15" s="29"/>
      <c r="AW15" s="33"/>
      <c r="AX15" s="32"/>
      <c r="AY15" s="87"/>
      <c r="AZ15" s="87"/>
      <c r="BA15" s="22"/>
      <c r="BB15" s="28"/>
      <c r="BC15" s="29"/>
      <c r="BD15" s="33"/>
      <c r="BE15" s="32"/>
      <c r="BF15" s="87"/>
      <c r="BG15" s="87"/>
      <c r="BH15" s="22"/>
      <c r="BI15" s="28"/>
      <c r="BJ15" s="29"/>
      <c r="BK15" s="33"/>
      <c r="BL15" s="32"/>
      <c r="BM15" s="87"/>
      <c r="BN15" s="87"/>
      <c r="BO15" s="22"/>
      <c r="BP15" s="28"/>
      <c r="BQ15" s="29"/>
      <c r="BR15" s="33"/>
      <c r="BS15" s="32"/>
      <c r="BT15" s="87"/>
      <c r="BU15" s="87"/>
      <c r="BV15" s="22"/>
      <c r="BW15" s="28"/>
      <c r="BX15" s="29"/>
      <c r="BY15" s="33"/>
      <c r="BZ15" s="32"/>
      <c r="CA15" s="87"/>
      <c r="CB15" s="87"/>
      <c r="CC15" s="22"/>
      <c r="CD15" s="28"/>
      <c r="CE15" s="29"/>
      <c r="CF15" s="33"/>
      <c r="CG15" s="32"/>
    </row>
    <row r="16" spans="2:87" x14ac:dyDescent="0.25">
      <c r="B16" s="87"/>
      <c r="C16" s="87"/>
      <c r="D16" s="44" t="s">
        <v>21</v>
      </c>
      <c r="E16" s="97" t="s">
        <v>22</v>
      </c>
      <c r="F16" s="97"/>
      <c r="G16" s="95" t="s">
        <v>23</v>
      </c>
      <c r="H16" s="95"/>
      <c r="I16" s="96" t="s">
        <v>24</v>
      </c>
      <c r="J16" s="96"/>
      <c r="K16" s="89" t="s">
        <v>33</v>
      </c>
      <c r="L16" s="90"/>
      <c r="M16" s="90"/>
      <c r="N16" s="91"/>
      <c r="O16" s="34"/>
      <c r="P16" s="87"/>
      <c r="Q16" s="87"/>
      <c r="R16" s="22"/>
      <c r="S16" s="28"/>
      <c r="T16" s="29"/>
      <c r="U16" s="33"/>
      <c r="V16" s="34"/>
      <c r="W16" s="87"/>
      <c r="X16" s="87"/>
      <c r="Y16" s="22"/>
      <c r="Z16" s="28"/>
      <c r="AA16" s="29"/>
      <c r="AB16" s="33"/>
      <c r="AC16" s="34"/>
      <c r="AD16" s="87"/>
      <c r="AE16" s="87"/>
      <c r="AF16" s="22"/>
      <c r="AG16" s="28"/>
      <c r="AH16" s="29"/>
      <c r="AI16" s="33"/>
      <c r="AJ16" s="34"/>
      <c r="AK16" s="87"/>
      <c r="AL16" s="87"/>
      <c r="AM16" s="22"/>
      <c r="AN16" s="28"/>
      <c r="AO16" s="29"/>
      <c r="AP16" s="33"/>
      <c r="AQ16" s="34"/>
      <c r="AR16" s="87"/>
      <c r="AS16" s="87"/>
      <c r="AT16" s="22"/>
      <c r="AU16" s="28"/>
      <c r="AV16" s="29"/>
      <c r="AW16" s="33"/>
      <c r="AX16" s="34"/>
      <c r="AY16" s="87"/>
      <c r="AZ16" s="87"/>
      <c r="BA16" s="22"/>
      <c r="BB16" s="28"/>
      <c r="BC16" s="29"/>
      <c r="BD16" s="33"/>
      <c r="BE16" s="34"/>
      <c r="BF16" s="87"/>
      <c r="BG16" s="87"/>
      <c r="BH16" s="22"/>
      <c r="BI16" s="28"/>
      <c r="BJ16" s="29"/>
      <c r="BK16" s="33"/>
      <c r="BL16" s="34"/>
      <c r="BM16" s="87"/>
      <c r="BN16" s="87"/>
      <c r="BO16" s="22"/>
      <c r="BP16" s="28"/>
      <c r="BQ16" s="29"/>
      <c r="BR16" s="33"/>
      <c r="BS16" s="34"/>
      <c r="BT16" s="87"/>
      <c r="BU16" s="87"/>
      <c r="BV16" s="22"/>
      <c r="BW16" s="28"/>
      <c r="BX16" s="29"/>
      <c r="BY16" s="33"/>
      <c r="BZ16" s="34" t="s">
        <v>40</v>
      </c>
      <c r="CA16" s="87"/>
      <c r="CB16" s="87"/>
      <c r="CC16" s="22"/>
      <c r="CD16" s="28"/>
      <c r="CE16" s="29"/>
      <c r="CF16" s="33"/>
      <c r="CG16" s="34"/>
    </row>
    <row r="17" spans="2:83" x14ac:dyDescent="0.25">
      <c r="B17" s="87"/>
      <c r="C17" s="87"/>
      <c r="D17" s="45">
        <v>8</v>
      </c>
      <c r="E17" s="94" t="str">
        <f>IF(Calculation!W61=0,"",Calculation!W61)</f>
        <v/>
      </c>
      <c r="F17" s="94"/>
      <c r="G17" s="94" t="str">
        <f>IF(Calculation!Y61=0,"",Calculation!Y61)</f>
        <v/>
      </c>
      <c r="H17" s="94"/>
      <c r="I17" s="92" t="str">
        <f>IF(SUM(E17:H17)=0,"",SUM(E17:H17))</f>
        <v/>
      </c>
      <c r="J17" s="93"/>
      <c r="K17" s="88" t="s">
        <v>34</v>
      </c>
      <c r="L17" s="88"/>
      <c r="M17" s="46">
        <f>Calculation!H87</f>
        <v>9.1999999999999993</v>
      </c>
      <c r="N17" s="47" t="s">
        <v>37</v>
      </c>
      <c r="P17" s="87"/>
      <c r="Q17" s="87"/>
      <c r="R17" s="22"/>
      <c r="S17" s="28"/>
      <c r="T17" s="29"/>
      <c r="W17" s="87"/>
      <c r="X17" s="87"/>
      <c r="Y17" s="22"/>
      <c r="Z17" s="28"/>
      <c r="AA17" s="29"/>
      <c r="AD17" s="87"/>
      <c r="AE17" s="87"/>
      <c r="AF17" s="22"/>
      <c r="AG17" s="28"/>
      <c r="AH17" s="29"/>
      <c r="AK17" s="87"/>
      <c r="AL17" s="87"/>
      <c r="AM17" s="22"/>
      <c r="AN17" s="28"/>
      <c r="AO17" s="29"/>
      <c r="AR17" s="87"/>
      <c r="AS17" s="87"/>
      <c r="AT17" s="22"/>
      <c r="AU17" s="28"/>
      <c r="AV17" s="29"/>
      <c r="AY17" s="87"/>
      <c r="AZ17" s="87"/>
      <c r="BA17" s="22"/>
      <c r="BB17" s="28"/>
      <c r="BC17" s="29"/>
      <c r="BF17" s="87"/>
      <c r="BG17" s="87"/>
      <c r="BH17" s="22"/>
      <c r="BI17" s="28"/>
      <c r="BJ17" s="29"/>
      <c r="BM17" s="87"/>
      <c r="BN17" s="87"/>
      <c r="BO17" s="22"/>
      <c r="BP17" s="28"/>
      <c r="BQ17" s="29"/>
      <c r="BT17" s="87"/>
      <c r="BU17" s="87"/>
      <c r="BV17" s="22"/>
      <c r="BW17" s="28"/>
      <c r="BX17" s="29"/>
      <c r="CA17" s="87"/>
      <c r="CB17" s="87"/>
      <c r="CC17" s="22"/>
      <c r="CD17" s="28"/>
      <c r="CE17" s="29"/>
    </row>
    <row r="18" spans="2:83" x14ac:dyDescent="0.25">
      <c r="B18" s="87"/>
      <c r="C18" s="87"/>
      <c r="D18" s="45">
        <v>10</v>
      </c>
      <c r="E18" s="94" t="str">
        <f>IF(Calculation!W62=0,"",Calculation!W62)</f>
        <v/>
      </c>
      <c r="F18" s="94"/>
      <c r="G18" s="94">
        <f>IF(Calculation!Y62=0,"",Calculation!Y62)</f>
        <v>32.16675776691141</v>
      </c>
      <c r="H18" s="94"/>
      <c r="I18" s="92">
        <f t="shared" ref="I18:I27" si="0">IF(SUM(E18:H18)=0,"",SUM(E18:H18))</f>
        <v>32.16675776691141</v>
      </c>
      <c r="J18" s="93"/>
      <c r="K18" s="88" t="s">
        <v>35</v>
      </c>
      <c r="L18" s="88"/>
      <c r="M18" s="48">
        <f>Calculation!H88</f>
        <v>11.5</v>
      </c>
      <c r="N18" s="47" t="s">
        <v>25</v>
      </c>
      <c r="P18" s="87"/>
      <c r="Q18" s="87"/>
      <c r="R18" s="22"/>
      <c r="S18" s="28"/>
      <c r="T18" s="29"/>
      <c r="W18" s="87"/>
      <c r="X18" s="87"/>
      <c r="Y18" s="22"/>
      <c r="Z18" s="28"/>
      <c r="AA18" s="29"/>
      <c r="AD18" s="87"/>
      <c r="AE18" s="87"/>
      <c r="AF18" s="22"/>
      <c r="AG18" s="28"/>
      <c r="AH18" s="29"/>
      <c r="AK18" s="87"/>
      <c r="AL18" s="87"/>
      <c r="AM18" s="22"/>
      <c r="AN18" s="28"/>
      <c r="AO18" s="29"/>
      <c r="AR18" s="87"/>
      <c r="AS18" s="87"/>
      <c r="AT18" s="22"/>
      <c r="AU18" s="28"/>
      <c r="AV18" s="29"/>
      <c r="AY18" s="87"/>
      <c r="AZ18" s="87"/>
      <c r="BA18" s="22"/>
      <c r="BB18" s="28"/>
      <c r="BC18" s="29"/>
      <c r="BF18" s="87"/>
      <c r="BG18" s="87"/>
      <c r="BH18" s="22"/>
      <c r="BI18" s="28"/>
      <c r="BJ18" s="29"/>
      <c r="BM18" s="87"/>
      <c r="BN18" s="87"/>
      <c r="BO18" s="22"/>
      <c r="BP18" s="28"/>
      <c r="BQ18" s="29"/>
      <c r="BT18" s="87"/>
      <c r="BU18" s="87"/>
      <c r="BV18" s="22"/>
      <c r="BW18" s="28"/>
      <c r="BX18" s="29"/>
      <c r="CA18" s="87"/>
      <c r="CB18" s="87"/>
      <c r="CC18" s="22"/>
      <c r="CD18" s="28"/>
      <c r="CE18" s="29"/>
    </row>
    <row r="19" spans="2:83" x14ac:dyDescent="0.25">
      <c r="B19" s="87"/>
      <c r="C19" s="87"/>
      <c r="D19" s="45">
        <v>12</v>
      </c>
      <c r="E19" s="94">
        <f>IF(Calculation!W63=0,"",Calculation!W63)</f>
        <v>12.738539531104495</v>
      </c>
      <c r="F19" s="94"/>
      <c r="G19" s="94" t="str">
        <f>IF(Calculation!Y63=0,"",Calculation!Y63)</f>
        <v/>
      </c>
      <c r="H19" s="94"/>
      <c r="I19" s="92">
        <f t="shared" si="0"/>
        <v>12.738539531104495</v>
      </c>
      <c r="J19" s="93"/>
      <c r="K19" s="88" t="s">
        <v>36</v>
      </c>
      <c r="L19" s="88"/>
      <c r="M19" s="48">
        <f>Calculation!H89</f>
        <v>11.5</v>
      </c>
      <c r="N19" s="47" t="s">
        <v>25</v>
      </c>
      <c r="P19" s="87"/>
      <c r="Q19" s="87"/>
      <c r="R19" s="22"/>
      <c r="S19" s="28"/>
      <c r="T19" s="29"/>
      <c r="W19" s="87"/>
      <c r="X19" s="87"/>
      <c r="Y19" s="22"/>
      <c r="Z19" s="28"/>
      <c r="AA19" s="29"/>
      <c r="AD19" s="87"/>
      <c r="AE19" s="87"/>
      <c r="AF19" s="22"/>
      <c r="AG19" s="28"/>
      <c r="AH19" s="29"/>
      <c r="AK19" s="87"/>
      <c r="AL19" s="87"/>
      <c r="AM19" s="22"/>
      <c r="AN19" s="28"/>
      <c r="AO19" s="29"/>
      <c r="AR19" s="87"/>
      <c r="AS19" s="87"/>
      <c r="AT19" s="22"/>
      <c r="AU19" s="28"/>
      <c r="AV19" s="29"/>
      <c r="AY19" s="87"/>
      <c r="AZ19" s="87"/>
      <c r="BA19" s="22"/>
      <c r="BB19" s="28"/>
      <c r="BC19" s="29"/>
      <c r="BF19" s="87"/>
      <c r="BG19" s="87"/>
      <c r="BH19" s="22"/>
      <c r="BI19" s="28"/>
      <c r="BJ19" s="29"/>
      <c r="BM19" s="87"/>
      <c r="BN19" s="87"/>
      <c r="BO19" s="22"/>
      <c r="BP19" s="28"/>
      <c r="BQ19" s="29"/>
      <c r="BT19" s="87"/>
      <c r="BU19" s="87"/>
      <c r="BV19" s="22"/>
      <c r="BW19" s="28"/>
      <c r="BX19" s="29"/>
      <c r="CA19" s="87"/>
      <c r="CB19" s="87"/>
      <c r="CC19" s="22"/>
      <c r="CD19" s="28"/>
      <c r="CE19" s="29"/>
    </row>
    <row r="20" spans="2:83" x14ac:dyDescent="0.25">
      <c r="D20" s="45">
        <v>14</v>
      </c>
      <c r="E20" s="94" t="str">
        <f>IF(Calculation!W64=0,"",Calculation!W64)</f>
        <v/>
      </c>
      <c r="F20" s="94"/>
      <c r="G20" s="94" t="str">
        <f>IF(Calculation!Y64=0,"",Calculation!Y64)</f>
        <v/>
      </c>
      <c r="H20" s="94"/>
      <c r="I20" s="92" t="str">
        <f t="shared" si="0"/>
        <v/>
      </c>
      <c r="J20" s="93"/>
      <c r="M20" s="31"/>
      <c r="T20" s="31"/>
      <c r="AA20" s="31"/>
      <c r="AH20" s="31"/>
      <c r="AO20" s="31"/>
      <c r="AV20" s="31"/>
      <c r="BC20" s="31"/>
      <c r="BJ20" s="31"/>
      <c r="BQ20" s="31"/>
      <c r="BX20" s="31"/>
      <c r="CE20" s="31"/>
    </row>
    <row r="21" spans="2:83" x14ac:dyDescent="0.25">
      <c r="D21" s="45">
        <v>16</v>
      </c>
      <c r="E21" s="94">
        <f>IF(Calculation!W65=0,"",Calculation!W65)</f>
        <v>63.489591703475604</v>
      </c>
      <c r="F21" s="94"/>
      <c r="G21" s="94" t="str">
        <f>IF(Calculation!Y65=0,"",Calculation!Y65)</f>
        <v/>
      </c>
      <c r="H21" s="94"/>
      <c r="I21" s="92">
        <f t="shared" si="0"/>
        <v>63.489591703475604</v>
      </c>
      <c r="J21" s="93"/>
    </row>
    <row r="22" spans="2:83" x14ac:dyDescent="0.25">
      <c r="D22" s="45">
        <v>18</v>
      </c>
      <c r="E22" s="94" t="str">
        <f>IF(Calculation!W66=0,"",Calculation!W66)</f>
        <v/>
      </c>
      <c r="F22" s="94"/>
      <c r="G22" s="94" t="str">
        <f>IF(Calculation!Y66=0,"",Calculation!Y66)</f>
        <v/>
      </c>
      <c r="H22" s="94"/>
      <c r="I22" s="92" t="str">
        <f t="shared" si="0"/>
        <v/>
      </c>
      <c r="J22" s="93"/>
      <c r="M22" s="30"/>
      <c r="T22" s="30"/>
      <c r="AA22" s="30"/>
      <c r="AH22" s="30"/>
      <c r="AO22" s="30"/>
      <c r="AV22" s="30"/>
      <c r="BC22" s="30"/>
      <c r="BJ22" s="30"/>
      <c r="BQ22" s="30"/>
      <c r="BX22" s="30"/>
      <c r="CE22" s="30"/>
    </row>
    <row r="23" spans="2:83" x14ac:dyDescent="0.25">
      <c r="D23" s="45">
        <v>20</v>
      </c>
      <c r="E23" s="94" t="str">
        <f>IF(Calculation!W67=0,"",Calculation!W67)</f>
        <v/>
      </c>
      <c r="F23" s="94"/>
      <c r="G23" s="94" t="str">
        <f>IF(Calculation!Y67=0,"",Calculation!Y67)</f>
        <v/>
      </c>
      <c r="H23" s="94"/>
      <c r="I23" s="92" t="str">
        <f t="shared" si="0"/>
        <v/>
      </c>
      <c r="J23" s="93"/>
      <c r="M23" s="30"/>
      <c r="T23" s="30"/>
      <c r="AA23" s="30"/>
      <c r="AH23" s="30"/>
      <c r="AO23" s="30"/>
      <c r="AV23" s="30"/>
      <c r="BC23" s="30"/>
      <c r="BJ23" s="30"/>
      <c r="BQ23" s="30"/>
      <c r="BX23" s="30"/>
      <c r="CE23" s="30"/>
    </row>
    <row r="24" spans="2:83" x14ac:dyDescent="0.25">
      <c r="D24" s="45">
        <v>22</v>
      </c>
      <c r="E24" s="94" t="str">
        <f>IF(Calculation!W68=0,"",Calculation!W68)</f>
        <v/>
      </c>
      <c r="F24" s="94"/>
      <c r="G24" s="94" t="str">
        <f>IF(Calculation!Y68=0,"",Calculation!Y68)</f>
        <v/>
      </c>
      <c r="H24" s="94"/>
      <c r="I24" s="92" t="str">
        <f t="shared" si="0"/>
        <v/>
      </c>
      <c r="J24" s="93"/>
      <c r="M24" s="30"/>
      <c r="T24" s="30"/>
      <c r="AA24" s="30"/>
      <c r="AH24" s="30"/>
      <c r="AO24" s="30"/>
      <c r="AV24" s="30"/>
      <c r="BC24" s="30"/>
      <c r="BJ24" s="30"/>
      <c r="BQ24" s="30"/>
      <c r="BX24" s="30"/>
      <c r="CE24" s="30"/>
    </row>
    <row r="25" spans="2:83" x14ac:dyDescent="0.25">
      <c r="D25" s="45">
        <v>25</v>
      </c>
      <c r="E25" s="94" t="str">
        <f>IF(Calculation!W69=0,"",Calculation!W69)</f>
        <v/>
      </c>
      <c r="F25" s="94"/>
      <c r="G25" s="94" t="str">
        <f>IF(Calculation!Y69=0,"",Calculation!Y69)</f>
        <v/>
      </c>
      <c r="H25" s="94"/>
      <c r="I25" s="92" t="str">
        <f t="shared" si="0"/>
        <v/>
      </c>
      <c r="J25" s="93"/>
      <c r="M25" s="30"/>
      <c r="T25" s="30"/>
      <c r="AA25" s="30"/>
      <c r="AH25" s="30"/>
      <c r="AO25" s="30"/>
      <c r="AV25" s="30"/>
      <c r="BC25" s="30"/>
      <c r="BJ25" s="30"/>
      <c r="BQ25" s="30"/>
      <c r="BX25" s="30"/>
      <c r="CE25" s="30"/>
    </row>
    <row r="26" spans="2:83" x14ac:dyDescent="0.25">
      <c r="D26" s="45">
        <v>28</v>
      </c>
      <c r="E26" s="94" t="str">
        <f>IF(Calculation!W70=0,"",Calculation!W70)</f>
        <v/>
      </c>
      <c r="F26" s="94"/>
      <c r="G26" s="94" t="str">
        <f>IF(Calculation!Y70=0,"",Calculation!Y70)</f>
        <v/>
      </c>
      <c r="H26" s="94"/>
      <c r="I26" s="92" t="str">
        <f t="shared" si="0"/>
        <v/>
      </c>
      <c r="J26" s="93"/>
      <c r="M26" s="30"/>
      <c r="T26" s="30"/>
      <c r="AA26" s="30"/>
      <c r="AH26" s="30"/>
      <c r="AO26" s="30"/>
      <c r="AV26" s="30"/>
      <c r="BC26" s="30"/>
      <c r="BJ26" s="30"/>
      <c r="BQ26" s="30"/>
      <c r="BX26" s="30"/>
      <c r="CE26" s="30"/>
    </row>
    <row r="27" spans="2:83" x14ac:dyDescent="0.25">
      <c r="D27" s="45">
        <v>32</v>
      </c>
      <c r="E27" s="94" t="str">
        <f>IF(Calculation!W71=0,"",Calculation!W71)</f>
        <v/>
      </c>
      <c r="F27" s="94"/>
      <c r="G27" s="94" t="str">
        <f>IF(Calculation!Y71=0,"",Calculation!Y71)</f>
        <v/>
      </c>
      <c r="H27" s="94"/>
      <c r="I27" s="92" t="str">
        <f t="shared" si="0"/>
        <v/>
      </c>
      <c r="J27" s="93"/>
      <c r="M27" s="30"/>
      <c r="T27" s="30"/>
      <c r="AA27" s="30"/>
      <c r="AH27" s="30"/>
      <c r="AO27" s="30"/>
      <c r="AV27" s="30"/>
      <c r="BC27" s="30"/>
      <c r="BJ27" s="30"/>
      <c r="BQ27" s="30"/>
      <c r="BX27" s="30"/>
      <c r="CE27" s="30"/>
    </row>
    <row r="28" spans="2:83" x14ac:dyDescent="0.25">
      <c r="F28" s="30"/>
      <c r="H28" s="32" t="s">
        <v>38</v>
      </c>
      <c r="I28" s="85">
        <f>SUM(I17:J27)</f>
        <v>108.39488900149151</v>
      </c>
      <c r="J28" s="86"/>
      <c r="M28" s="30"/>
      <c r="T28" s="30"/>
      <c r="AA28" s="30"/>
      <c r="AH28" s="30"/>
      <c r="AO28" s="30"/>
      <c r="AV28" s="30"/>
      <c r="BC28" s="30"/>
      <c r="BJ28" s="30"/>
      <c r="BQ28" s="30"/>
      <c r="BX28" s="30"/>
      <c r="CE28" s="30"/>
    </row>
    <row r="29" spans="2:83" x14ac:dyDescent="0.25">
      <c r="F29" s="30"/>
      <c r="H29" s="32"/>
      <c r="M29" s="30"/>
      <c r="T29" s="30"/>
      <c r="AA29" s="30"/>
      <c r="AH29" s="30"/>
      <c r="AO29" s="30"/>
      <c r="AV29" s="30"/>
      <c r="BC29" s="30"/>
      <c r="BJ29" s="30"/>
      <c r="BQ29" s="30"/>
      <c r="BX29" s="30"/>
      <c r="CE29" s="30"/>
    </row>
    <row r="30" spans="2:83" x14ac:dyDescent="0.25">
      <c r="F30" s="30"/>
      <c r="M30" s="30"/>
      <c r="T30" s="30"/>
      <c r="AA30" s="30"/>
      <c r="AH30" s="30"/>
      <c r="AO30" s="30"/>
      <c r="AV30" s="30"/>
      <c r="BC30" s="30"/>
      <c r="BJ30" s="30"/>
      <c r="BQ30" s="30"/>
      <c r="BX30" s="30"/>
      <c r="CE30" s="30"/>
    </row>
    <row r="31" spans="2:83" x14ac:dyDescent="0.25">
      <c r="F31" s="30"/>
      <c r="M31" s="30"/>
      <c r="T31" s="30"/>
      <c r="AA31" s="30"/>
      <c r="AH31" s="30"/>
      <c r="AO31" s="30"/>
      <c r="AV31" s="30"/>
      <c r="BC31" s="30"/>
      <c r="BJ31" s="30"/>
      <c r="BQ31" s="30"/>
      <c r="BX31" s="30"/>
      <c r="CE31" s="30"/>
    </row>
    <row r="32" spans="2:83" x14ac:dyDescent="0.25">
      <c r="F32" s="30"/>
      <c r="M32" s="30"/>
      <c r="T32" s="30"/>
      <c r="AA32" s="30"/>
      <c r="AH32" s="30"/>
      <c r="AO32" s="30"/>
      <c r="AV32" s="30"/>
      <c r="BC32" s="30"/>
      <c r="BJ32" s="30"/>
      <c r="BQ32" s="30"/>
      <c r="BX32" s="30"/>
      <c r="CE32" s="30"/>
    </row>
  </sheetData>
  <mergeCells count="170">
    <mergeCell ref="AV7:AW7"/>
    <mergeCell ref="BC7:BD7"/>
    <mergeCell ref="BJ7:BK7"/>
    <mergeCell ref="BQ7:BR7"/>
    <mergeCell ref="BX7:BY7"/>
    <mergeCell ref="CE7:CF7"/>
    <mergeCell ref="F7:G7"/>
    <mergeCell ref="M7:N7"/>
    <mergeCell ref="T7:U7"/>
    <mergeCell ref="AA7:AB7"/>
    <mergeCell ref="AH7:AI7"/>
    <mergeCell ref="AO7:AP7"/>
    <mergeCell ref="AR10:AS10"/>
    <mergeCell ref="AY10:AZ10"/>
    <mergeCell ref="BF10:BG10"/>
    <mergeCell ref="BM10:BN10"/>
    <mergeCell ref="BT10:BU10"/>
    <mergeCell ref="CA10:CB10"/>
    <mergeCell ref="B10:C10"/>
    <mergeCell ref="I10:J10"/>
    <mergeCell ref="P10:Q10"/>
    <mergeCell ref="W10:X10"/>
    <mergeCell ref="AD10:AE10"/>
    <mergeCell ref="AK10:AL10"/>
    <mergeCell ref="AR11:AS11"/>
    <mergeCell ref="AY11:AZ11"/>
    <mergeCell ref="BF11:BG11"/>
    <mergeCell ref="BM11:BN11"/>
    <mergeCell ref="BT11:BU11"/>
    <mergeCell ref="CA11:CB11"/>
    <mergeCell ref="B11:C11"/>
    <mergeCell ref="I11:J11"/>
    <mergeCell ref="P11:Q11"/>
    <mergeCell ref="W11:X11"/>
    <mergeCell ref="AD11:AE11"/>
    <mergeCell ref="AK11:AL11"/>
    <mergeCell ref="AR12:AS12"/>
    <mergeCell ref="AY12:AZ12"/>
    <mergeCell ref="BF12:BG12"/>
    <mergeCell ref="BM12:BN12"/>
    <mergeCell ref="BT12:BU12"/>
    <mergeCell ref="CA12:CB12"/>
    <mergeCell ref="B12:C12"/>
    <mergeCell ref="I12:J12"/>
    <mergeCell ref="P12:Q12"/>
    <mergeCell ref="W12:X12"/>
    <mergeCell ref="AD12:AE12"/>
    <mergeCell ref="AK12:AL12"/>
    <mergeCell ref="AR13:AS13"/>
    <mergeCell ref="AY13:AZ13"/>
    <mergeCell ref="BF13:BG13"/>
    <mergeCell ref="BM13:BN13"/>
    <mergeCell ref="BT13:BU13"/>
    <mergeCell ref="CA13:CB13"/>
    <mergeCell ref="B13:C13"/>
    <mergeCell ref="I13:J13"/>
    <mergeCell ref="P13:Q13"/>
    <mergeCell ref="W13:X13"/>
    <mergeCell ref="AD13:AE13"/>
    <mergeCell ref="AK13:AL13"/>
    <mergeCell ref="AR14:AS14"/>
    <mergeCell ref="AY14:AZ14"/>
    <mergeCell ref="BF14:BG14"/>
    <mergeCell ref="BM14:BN14"/>
    <mergeCell ref="BT14:BU14"/>
    <mergeCell ref="CA14:CB14"/>
    <mergeCell ref="B14:C14"/>
    <mergeCell ref="I14:J14"/>
    <mergeCell ref="P14:Q14"/>
    <mergeCell ref="W14:X14"/>
    <mergeCell ref="AD14:AE14"/>
    <mergeCell ref="AK14:AL14"/>
    <mergeCell ref="AR15:AS15"/>
    <mergeCell ref="AY15:AZ15"/>
    <mergeCell ref="BF15:BG15"/>
    <mergeCell ref="BM15:BN15"/>
    <mergeCell ref="BT15:BU15"/>
    <mergeCell ref="CA15:CB15"/>
    <mergeCell ref="B15:C15"/>
    <mergeCell ref="I15:J15"/>
    <mergeCell ref="P15:Q15"/>
    <mergeCell ref="W15:X15"/>
    <mergeCell ref="AD15:AE15"/>
    <mergeCell ref="AK15:AL15"/>
    <mergeCell ref="AR16:AS16"/>
    <mergeCell ref="AY16:AZ16"/>
    <mergeCell ref="BF16:BG16"/>
    <mergeCell ref="BM16:BN16"/>
    <mergeCell ref="BT16:BU16"/>
    <mergeCell ref="CA16:CB16"/>
    <mergeCell ref="B16:C16"/>
    <mergeCell ref="I16:J16"/>
    <mergeCell ref="P16:Q16"/>
    <mergeCell ref="W16:X16"/>
    <mergeCell ref="AD16:AE16"/>
    <mergeCell ref="AK16:AL16"/>
    <mergeCell ref="E16:F16"/>
    <mergeCell ref="AR17:AS17"/>
    <mergeCell ref="AY17:AZ17"/>
    <mergeCell ref="BF17:BG17"/>
    <mergeCell ref="BM17:BN17"/>
    <mergeCell ref="BT17:BU17"/>
    <mergeCell ref="CA17:CB17"/>
    <mergeCell ref="B17:C17"/>
    <mergeCell ref="I17:J17"/>
    <mergeCell ref="P17:Q17"/>
    <mergeCell ref="W17:X17"/>
    <mergeCell ref="AD17:AE17"/>
    <mergeCell ref="AK17:AL17"/>
    <mergeCell ref="E17:F17"/>
    <mergeCell ref="AR18:AS18"/>
    <mergeCell ref="AY18:AZ18"/>
    <mergeCell ref="BF18:BG18"/>
    <mergeCell ref="BM18:BN18"/>
    <mergeCell ref="BT18:BU18"/>
    <mergeCell ref="CA18:CB18"/>
    <mergeCell ref="B18:C18"/>
    <mergeCell ref="I18:J18"/>
    <mergeCell ref="P18:Q18"/>
    <mergeCell ref="W18:X18"/>
    <mergeCell ref="AD18:AE18"/>
    <mergeCell ref="AK18:AL18"/>
    <mergeCell ref="E18:F18"/>
    <mergeCell ref="E25:F25"/>
    <mergeCell ref="AR19:AS19"/>
    <mergeCell ref="AY19:AZ19"/>
    <mergeCell ref="BF19:BG19"/>
    <mergeCell ref="BM19:BN19"/>
    <mergeCell ref="BT19:BU19"/>
    <mergeCell ref="CA19:CB19"/>
    <mergeCell ref="B19:C19"/>
    <mergeCell ref="I19:J19"/>
    <mergeCell ref="P19:Q19"/>
    <mergeCell ref="W19:X19"/>
    <mergeCell ref="AD19:AE19"/>
    <mergeCell ref="AK19:AL19"/>
    <mergeCell ref="E19:F19"/>
    <mergeCell ref="G21:H21"/>
    <mergeCell ref="G22:H22"/>
    <mergeCell ref="G23:H23"/>
    <mergeCell ref="G24:H24"/>
    <mergeCell ref="E20:F20"/>
    <mergeCell ref="E21:F21"/>
    <mergeCell ref="E22:F22"/>
    <mergeCell ref="E23:F23"/>
    <mergeCell ref="E24:F24"/>
    <mergeCell ref="I28:J28"/>
    <mergeCell ref="F1:H1"/>
    <mergeCell ref="K17:L17"/>
    <mergeCell ref="K18:L18"/>
    <mergeCell ref="K19:L19"/>
    <mergeCell ref="K16:N16"/>
    <mergeCell ref="I26:J26"/>
    <mergeCell ref="I27:J27"/>
    <mergeCell ref="G25:H25"/>
    <mergeCell ref="G26:H26"/>
    <mergeCell ref="G27:H27"/>
    <mergeCell ref="G16:H16"/>
    <mergeCell ref="I20:J20"/>
    <mergeCell ref="I21:J21"/>
    <mergeCell ref="I22:J22"/>
    <mergeCell ref="I23:J23"/>
    <mergeCell ref="I24:J24"/>
    <mergeCell ref="I25:J25"/>
    <mergeCell ref="E26:F26"/>
    <mergeCell ref="E27:F27"/>
    <mergeCell ref="G17:H17"/>
    <mergeCell ref="G18:H18"/>
    <mergeCell ref="G19:H19"/>
    <mergeCell ref="G20:H20"/>
  </mergeCells>
  <conditionalFormatting sqref="F7:G7 M7:N7 T7:U7 AA7:AB7 AH7:AI7 AO7:AP7 AV7:AW7 BC7:BD7 BJ7:BK7 BQ7:BR7 BX7:BY7 CE7:CF7">
    <cfRule type="cellIs" dxfId="3" priority="3" operator="equal">
      <formula>0</formula>
    </cfRule>
    <cfRule type="cellIs" dxfId="2" priority="4" operator="greater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N16"/>
  <sheetViews>
    <sheetView workbookViewId="0">
      <selection activeCell="F26" sqref="A1:XFD1048576"/>
    </sheetView>
  </sheetViews>
  <sheetFormatPr defaultRowHeight="15" x14ac:dyDescent="0.25"/>
  <cols>
    <col min="1" max="16384" width="9.140625" style="49"/>
  </cols>
  <sheetData>
    <row r="4" spans="3:14" x14ac:dyDescent="0.25">
      <c r="C4" s="49" t="s">
        <v>21</v>
      </c>
      <c r="D4" s="49" t="s">
        <v>24</v>
      </c>
      <c r="E4" s="49" t="s">
        <v>24</v>
      </c>
      <c r="F4" s="49" t="s">
        <v>24</v>
      </c>
      <c r="G4" s="49" t="s">
        <v>24</v>
      </c>
      <c r="H4" s="49" t="s">
        <v>24</v>
      </c>
      <c r="I4" s="49" t="s">
        <v>24</v>
      </c>
      <c r="J4" s="49" t="s">
        <v>24</v>
      </c>
      <c r="K4" s="49" t="s">
        <v>24</v>
      </c>
      <c r="L4" s="49" t="s">
        <v>24</v>
      </c>
    </row>
    <row r="5" spans="3:14" x14ac:dyDescent="0.25">
      <c r="C5" s="49">
        <v>8</v>
      </c>
      <c r="D5" s="49" t="s">
        <v>39</v>
      </c>
      <c r="E5" s="49" t="s">
        <v>39</v>
      </c>
      <c r="F5" s="49" t="s">
        <v>39</v>
      </c>
      <c r="G5" s="49" t="s">
        <v>39</v>
      </c>
      <c r="H5" s="49" t="s">
        <v>39</v>
      </c>
      <c r="I5" s="49" t="s">
        <v>39</v>
      </c>
      <c r="J5" s="49" t="s">
        <v>39</v>
      </c>
      <c r="K5" s="49" t="s">
        <v>39</v>
      </c>
      <c r="L5" s="49" t="s">
        <v>39</v>
      </c>
      <c r="M5" s="49">
        <f>SUM(D5:L5)</f>
        <v>0</v>
      </c>
      <c r="N5" s="49" t="s">
        <v>1</v>
      </c>
    </row>
    <row r="6" spans="3:14" x14ac:dyDescent="0.25">
      <c r="C6" s="49">
        <v>10</v>
      </c>
      <c r="D6" s="49">
        <v>39.905108015344226</v>
      </c>
      <c r="E6" s="49">
        <v>39.905108015344226</v>
      </c>
      <c r="F6" s="49">
        <v>44.07429840500707</v>
      </c>
      <c r="G6" s="49">
        <v>14.889965677367254</v>
      </c>
      <c r="H6" s="49">
        <v>14.889965677367254</v>
      </c>
      <c r="I6" s="49">
        <v>53.008277811427419</v>
      </c>
      <c r="J6" s="49">
        <v>53.008277811427419</v>
      </c>
      <c r="K6" s="49">
        <v>53.008277811427419</v>
      </c>
      <c r="L6" s="49">
        <v>17.272360185746013</v>
      </c>
      <c r="M6" s="49">
        <f t="shared" ref="M6:M16" si="0">SUM(D6:L6)</f>
        <v>329.96163941045836</v>
      </c>
      <c r="N6" s="49" t="s">
        <v>1</v>
      </c>
    </row>
    <row r="7" spans="3:14" x14ac:dyDescent="0.25">
      <c r="C7" s="49">
        <v>12</v>
      </c>
      <c r="D7" s="49">
        <v>17.466494502961908</v>
      </c>
      <c r="E7" s="49">
        <v>17.466494502961908</v>
      </c>
      <c r="F7" s="49">
        <v>17.961443846301492</v>
      </c>
      <c r="G7" s="49">
        <v>6.7045883115922997</v>
      </c>
      <c r="H7" s="49">
        <v>6.7045883115922997</v>
      </c>
      <c r="I7" s="49">
        <v>21.519027335982543</v>
      </c>
      <c r="J7" s="49">
        <v>21.519027335982543</v>
      </c>
      <c r="K7" s="49">
        <v>21.519027335982543</v>
      </c>
      <c r="L7" s="49">
        <v>7.8755001314797308</v>
      </c>
      <c r="M7" s="49">
        <f t="shared" si="0"/>
        <v>138.73619161483725</v>
      </c>
      <c r="N7" s="49" t="s">
        <v>1</v>
      </c>
    </row>
    <row r="8" spans="3:14" x14ac:dyDescent="0.25">
      <c r="C8" s="49">
        <v>14</v>
      </c>
      <c r="D8" s="49" t="s">
        <v>39</v>
      </c>
      <c r="E8" s="49" t="s">
        <v>39</v>
      </c>
      <c r="F8" s="49" t="s">
        <v>39</v>
      </c>
      <c r="G8" s="49" t="s">
        <v>39</v>
      </c>
      <c r="H8" s="49" t="s">
        <v>39</v>
      </c>
      <c r="I8" s="49" t="s">
        <v>39</v>
      </c>
      <c r="J8" s="49" t="s">
        <v>39</v>
      </c>
      <c r="K8" s="49" t="s">
        <v>39</v>
      </c>
      <c r="L8" s="49" t="s">
        <v>39</v>
      </c>
      <c r="M8" s="49">
        <f t="shared" si="0"/>
        <v>0</v>
      </c>
      <c r="N8" s="49" t="s">
        <v>1</v>
      </c>
    </row>
    <row r="9" spans="3:14" x14ac:dyDescent="0.25">
      <c r="C9" s="49">
        <v>16</v>
      </c>
      <c r="D9" s="49">
        <v>86.093719283212934</v>
      </c>
      <c r="E9" s="49">
        <v>86.093719283212934</v>
      </c>
      <c r="F9" s="49">
        <v>89.048570474656401</v>
      </c>
      <c r="G9" s="49">
        <v>34.038940637110301</v>
      </c>
      <c r="H9" s="49">
        <v>34.038940637110301</v>
      </c>
      <c r="I9" s="49">
        <v>106.09094195683276</v>
      </c>
      <c r="J9" s="49">
        <v>106.09094195683276</v>
      </c>
      <c r="K9" s="49">
        <v>106.09094195683276</v>
      </c>
      <c r="L9" s="49">
        <v>39.589930005465519</v>
      </c>
      <c r="M9" s="49">
        <f t="shared" si="0"/>
        <v>687.17664619126663</v>
      </c>
      <c r="N9" s="49" t="s">
        <v>1</v>
      </c>
    </row>
    <row r="10" spans="3:14" x14ac:dyDescent="0.25">
      <c r="C10" s="49">
        <v>18</v>
      </c>
      <c r="D10" s="49" t="s">
        <v>39</v>
      </c>
      <c r="E10" s="49" t="s">
        <v>39</v>
      </c>
      <c r="F10" s="49" t="s">
        <v>39</v>
      </c>
      <c r="G10" s="49" t="s">
        <v>39</v>
      </c>
      <c r="H10" s="49" t="s">
        <v>39</v>
      </c>
      <c r="I10" s="49" t="s">
        <v>39</v>
      </c>
      <c r="J10" s="49" t="s">
        <v>39</v>
      </c>
      <c r="K10" s="49" t="s">
        <v>39</v>
      </c>
      <c r="L10" s="49" t="s">
        <v>39</v>
      </c>
      <c r="M10" s="49">
        <f t="shared" si="0"/>
        <v>0</v>
      </c>
      <c r="N10" s="49" t="s">
        <v>1</v>
      </c>
    </row>
    <row r="11" spans="3:14" x14ac:dyDescent="0.25">
      <c r="C11" s="49">
        <v>20</v>
      </c>
      <c r="D11" s="49" t="s">
        <v>39</v>
      </c>
      <c r="E11" s="49" t="s">
        <v>39</v>
      </c>
      <c r="F11" s="49" t="s">
        <v>39</v>
      </c>
      <c r="G11" s="49" t="s">
        <v>39</v>
      </c>
      <c r="H11" s="49" t="s">
        <v>39</v>
      </c>
      <c r="I11" s="49" t="s">
        <v>39</v>
      </c>
      <c r="J11" s="49" t="s">
        <v>39</v>
      </c>
      <c r="K11" s="49" t="s">
        <v>39</v>
      </c>
      <c r="L11" s="49" t="s">
        <v>39</v>
      </c>
      <c r="M11" s="49">
        <f t="shared" si="0"/>
        <v>0</v>
      </c>
      <c r="N11" s="49" t="s">
        <v>1</v>
      </c>
    </row>
    <row r="12" spans="3:14" x14ac:dyDescent="0.25">
      <c r="C12" s="49">
        <v>22</v>
      </c>
      <c r="D12" s="49" t="s">
        <v>39</v>
      </c>
      <c r="E12" s="49" t="s">
        <v>39</v>
      </c>
      <c r="F12" s="49" t="s">
        <v>39</v>
      </c>
      <c r="G12" s="49" t="s">
        <v>39</v>
      </c>
      <c r="H12" s="49" t="s">
        <v>39</v>
      </c>
      <c r="I12" s="49" t="s">
        <v>39</v>
      </c>
      <c r="J12" s="49" t="s">
        <v>39</v>
      </c>
      <c r="K12" s="49" t="s">
        <v>39</v>
      </c>
      <c r="L12" s="49" t="s">
        <v>39</v>
      </c>
      <c r="M12" s="49">
        <f t="shared" si="0"/>
        <v>0</v>
      </c>
      <c r="N12" s="49" t="s">
        <v>1</v>
      </c>
    </row>
    <row r="13" spans="3:14" x14ac:dyDescent="0.25">
      <c r="C13" s="49">
        <v>25</v>
      </c>
      <c r="D13" s="49" t="s">
        <v>39</v>
      </c>
      <c r="E13" s="49" t="s">
        <v>39</v>
      </c>
      <c r="F13" s="49" t="s">
        <v>39</v>
      </c>
      <c r="G13" s="49" t="s">
        <v>39</v>
      </c>
      <c r="H13" s="49" t="s">
        <v>39</v>
      </c>
      <c r="I13" s="49" t="s">
        <v>39</v>
      </c>
      <c r="J13" s="49" t="s">
        <v>39</v>
      </c>
      <c r="K13" s="49" t="s">
        <v>39</v>
      </c>
      <c r="L13" s="49" t="s">
        <v>39</v>
      </c>
      <c r="M13" s="49">
        <f t="shared" si="0"/>
        <v>0</v>
      </c>
      <c r="N13" s="49" t="s">
        <v>1</v>
      </c>
    </row>
    <row r="14" spans="3:14" x14ac:dyDescent="0.25">
      <c r="C14" s="49">
        <v>28</v>
      </c>
      <c r="D14" s="49" t="s">
        <v>39</v>
      </c>
      <c r="E14" s="49" t="s">
        <v>39</v>
      </c>
      <c r="F14" s="49" t="s">
        <v>39</v>
      </c>
      <c r="G14" s="49" t="s">
        <v>39</v>
      </c>
      <c r="H14" s="49" t="s">
        <v>39</v>
      </c>
      <c r="I14" s="49" t="s">
        <v>39</v>
      </c>
      <c r="J14" s="49" t="s">
        <v>39</v>
      </c>
      <c r="K14" s="49" t="s">
        <v>39</v>
      </c>
      <c r="L14" s="49" t="s">
        <v>39</v>
      </c>
      <c r="M14" s="49">
        <f t="shared" si="0"/>
        <v>0</v>
      </c>
      <c r="N14" s="49" t="s">
        <v>1</v>
      </c>
    </row>
    <row r="15" spans="3:14" x14ac:dyDescent="0.25">
      <c r="C15" s="49">
        <v>32</v>
      </c>
      <c r="D15" s="49" t="s">
        <v>39</v>
      </c>
      <c r="E15" s="49" t="s">
        <v>39</v>
      </c>
      <c r="F15" s="49" t="s">
        <v>39</v>
      </c>
      <c r="G15" s="49" t="s">
        <v>39</v>
      </c>
      <c r="H15" s="49" t="s">
        <v>39</v>
      </c>
      <c r="I15" s="49" t="s">
        <v>39</v>
      </c>
      <c r="J15" s="49" t="s">
        <v>39</v>
      </c>
      <c r="K15" s="49" t="s">
        <v>39</v>
      </c>
      <c r="L15" s="49" t="s">
        <v>39</v>
      </c>
      <c r="M15" s="49">
        <f t="shared" si="0"/>
        <v>0</v>
      </c>
      <c r="N15" s="49" t="s">
        <v>1</v>
      </c>
    </row>
    <row r="16" spans="3:14" x14ac:dyDescent="0.25">
      <c r="D16" s="49">
        <v>143.46532180151905</v>
      </c>
      <c r="E16" s="49">
        <v>143.46532180151905</v>
      </c>
      <c r="F16" s="49">
        <v>151.08431272596496</v>
      </c>
      <c r="G16" s="49">
        <v>55.633494626069854</v>
      </c>
      <c r="H16" s="49">
        <v>55.633494626069854</v>
      </c>
      <c r="I16" s="49">
        <v>180.61824710424273</v>
      </c>
      <c r="J16" s="49">
        <v>180.61824710424273</v>
      </c>
      <c r="K16" s="49">
        <v>180.61824710424273</v>
      </c>
      <c r="L16" s="49">
        <v>64.737790322691268</v>
      </c>
      <c r="M16" s="49">
        <f t="shared" si="0"/>
        <v>1155.8744772165624</v>
      </c>
      <c r="N16" s="49" t="s">
        <v>1</v>
      </c>
    </row>
  </sheetData>
  <sheetProtection algorithmName="SHA-512" hashValue="18d48DKRWRc8lKPcC+lDZIDaeTa7Osc/+AwmeFR+u4Iu7QwBweg5K1D5EeBqBxZ2x+ycIenDFH7PPwqJI7Htuw==" saltValue="0HWmfTvtpKALo7U91oqT6Q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M89"/>
  <sheetViews>
    <sheetView topLeftCell="A7" zoomScale="85" zoomScaleNormal="85" workbookViewId="0">
      <selection activeCell="C33" sqref="A1:XFD1048576"/>
    </sheetView>
  </sheetViews>
  <sheetFormatPr defaultRowHeight="15" x14ac:dyDescent="0.25"/>
  <cols>
    <col min="1" max="2" width="9.140625" style="49"/>
    <col min="3" max="3" width="7.5703125" style="49" customWidth="1"/>
    <col min="4" max="4" width="9.140625" style="49"/>
    <col min="5" max="5" width="9.28515625" style="49" customWidth="1"/>
    <col min="6" max="9" width="9.140625" style="49"/>
    <col min="10" max="10" width="7.5703125" style="49" customWidth="1"/>
    <col min="11" max="16384" width="9.140625" style="49"/>
  </cols>
  <sheetData>
    <row r="1" spans="2:87" x14ac:dyDescent="0.25">
      <c r="B1" s="49" t="s">
        <v>8</v>
      </c>
      <c r="C1" s="49">
        <f>'Beam Estimating V1.1 (721.7.23)'!C1</f>
        <v>500</v>
      </c>
      <c r="D1" s="49" t="s">
        <v>10</v>
      </c>
    </row>
    <row r="2" spans="2:87" x14ac:dyDescent="0.25">
      <c r="B2" s="49" t="s">
        <v>9</v>
      </c>
      <c r="C2" s="49">
        <f>'Beam Estimating V1.1 (721.7.23)'!C2</f>
        <v>20</v>
      </c>
      <c r="D2" s="49" t="s">
        <v>10</v>
      </c>
      <c r="E2" s="49">
        <f>C1/(5.4*SQRT(C2))</f>
        <v>20.704333124998051</v>
      </c>
    </row>
    <row r="4" spans="2:87" ht="16.5" customHeight="1" thickBot="1" x14ac:dyDescent="0.3">
      <c r="D4" s="50">
        <f>'Beam Estimating V1.1 (721.7.23)'!D4</f>
        <v>0</v>
      </c>
      <c r="E4" s="51">
        <f>'Beam Estimating V1.1 (721.7.23)'!E4</f>
        <v>10</v>
      </c>
      <c r="F4" s="52">
        <f>'Beam Estimating V1.1 (721.7.23)'!F4</f>
        <v>0</v>
      </c>
      <c r="G4" s="53">
        <f>'Beam Estimating V1.1 (721.7.23)'!G4</f>
        <v>16</v>
      </c>
      <c r="H4" s="50">
        <f>'Beam Estimating V1.1 (721.7.23)'!H4</f>
        <v>0</v>
      </c>
      <c r="I4" s="54">
        <f>'Beam Estimating V1.1 (721.7.23)'!I4</f>
        <v>10</v>
      </c>
      <c r="K4" s="50">
        <f>'Beam Estimating V1.1 (721.7.23)'!K4</f>
        <v>0</v>
      </c>
      <c r="L4" s="51">
        <f>'Beam Estimating V1.1 (721.7.23)'!L4</f>
        <v>16</v>
      </c>
      <c r="M4" s="55">
        <f>'Beam Estimating V1.1 (721.7.23)'!M4</f>
        <v>0</v>
      </c>
      <c r="N4" s="53">
        <f>'Beam Estimating V1.1 (721.7.23)'!N4</f>
        <v>16</v>
      </c>
      <c r="O4" s="50">
        <f>'Beam Estimating V1.1 (721.7.23)'!O4</f>
        <v>0</v>
      </c>
      <c r="P4" s="51">
        <f>'Beam Estimating V1.1 (721.7.23)'!P4</f>
        <v>16</v>
      </c>
      <c r="R4" s="50">
        <f>'Beam Estimating V1.1 (721.7.23)'!R4</f>
        <v>0</v>
      </c>
      <c r="S4" s="51">
        <f>'Beam Estimating V1.1 (721.7.23)'!S4</f>
        <v>16</v>
      </c>
      <c r="T4" s="55">
        <f>'Beam Estimating V1.1 (721.7.23)'!T4</f>
        <v>0</v>
      </c>
      <c r="U4" s="53">
        <f>'Beam Estimating V1.1 (721.7.23)'!U4</f>
        <v>16</v>
      </c>
      <c r="V4" s="50">
        <f>'Beam Estimating V1.1 (721.7.23)'!V4</f>
        <v>0</v>
      </c>
      <c r="W4" s="51">
        <f>'Beam Estimating V1.1 (721.7.23)'!W4</f>
        <v>16</v>
      </c>
      <c r="Y4" s="50">
        <f>'Beam Estimating V1.1 (721.7.23)'!Y4</f>
        <v>0</v>
      </c>
      <c r="Z4" s="51">
        <f>'Beam Estimating V1.1 (721.7.23)'!Z4</f>
        <v>16</v>
      </c>
      <c r="AA4" s="55">
        <f>'Beam Estimating V1.1 (721.7.23)'!AA4</f>
        <v>1</v>
      </c>
      <c r="AB4" s="53">
        <f>'Beam Estimating V1.1 (721.7.23)'!AB4</f>
        <v>16</v>
      </c>
      <c r="AC4" s="50">
        <f>'Beam Estimating V1.1 (721.7.23)'!AC4</f>
        <v>0</v>
      </c>
      <c r="AD4" s="51">
        <f>'Beam Estimating V1.1 (721.7.23)'!AD4</f>
        <v>16</v>
      </c>
      <c r="AF4" s="50">
        <f>'Beam Estimating V1.1 (721.7.23)'!AF4</f>
        <v>1</v>
      </c>
      <c r="AG4" s="51">
        <f>'Beam Estimating V1.1 (721.7.23)'!AG4</f>
        <v>16</v>
      </c>
      <c r="AH4" s="55">
        <f>'Beam Estimating V1.1 (721.7.23)'!AH4</f>
        <v>1</v>
      </c>
      <c r="AI4" s="53">
        <f>'Beam Estimating V1.1 (721.7.23)'!AI4</f>
        <v>16</v>
      </c>
      <c r="AJ4" s="50">
        <f>'Beam Estimating V1.1 (721.7.23)'!AJ4</f>
        <v>1</v>
      </c>
      <c r="AK4" s="51">
        <f>'Beam Estimating V1.1 (721.7.23)'!AK4</f>
        <v>16</v>
      </c>
      <c r="AM4" s="50">
        <f>'Beam Estimating V1.1 (721.7.23)'!AM4</f>
        <v>1</v>
      </c>
      <c r="AN4" s="51">
        <f>'Beam Estimating V1.1 (721.7.23)'!AN4</f>
        <v>16</v>
      </c>
      <c r="AO4" s="55">
        <f>'Beam Estimating V1.1 (721.7.23)'!AO4</f>
        <v>1</v>
      </c>
      <c r="AP4" s="53">
        <f>'Beam Estimating V1.1 (721.7.23)'!AP4</f>
        <v>16</v>
      </c>
      <c r="AQ4" s="50">
        <f>'Beam Estimating V1.1 (721.7.23)'!AQ4</f>
        <v>1</v>
      </c>
      <c r="AR4" s="51">
        <f>'Beam Estimating V1.1 (721.7.23)'!AR4</f>
        <v>16</v>
      </c>
      <c r="AT4" s="50">
        <f>'Beam Estimating V1.1 (721.7.23)'!AT4</f>
        <v>1</v>
      </c>
      <c r="AU4" s="51">
        <f>'Beam Estimating V1.1 (721.7.23)'!AU4</f>
        <v>16</v>
      </c>
      <c r="AV4" s="55">
        <f>'Beam Estimating V1.1 (721.7.23)'!AV4</f>
        <v>1</v>
      </c>
      <c r="AW4" s="53">
        <f>'Beam Estimating V1.1 (721.7.23)'!AW4</f>
        <v>16</v>
      </c>
      <c r="AX4" s="50">
        <f>'Beam Estimating V1.1 (721.7.23)'!AX4</f>
        <v>1</v>
      </c>
      <c r="AY4" s="51">
        <f>'Beam Estimating V1.1 (721.7.23)'!AY4</f>
        <v>16</v>
      </c>
      <c r="BA4" s="50">
        <f>'Beam Estimating V1.1 (721.7.23)'!BA4</f>
        <v>1</v>
      </c>
      <c r="BB4" s="51">
        <f>'Beam Estimating V1.1 (721.7.23)'!BB4</f>
        <v>16</v>
      </c>
      <c r="BC4" s="55">
        <f>'Beam Estimating V1.1 (721.7.23)'!BC4</f>
        <v>1</v>
      </c>
      <c r="BD4" s="53">
        <f>'Beam Estimating V1.1 (721.7.23)'!BD4</f>
        <v>16</v>
      </c>
      <c r="BE4" s="50">
        <f>'Beam Estimating V1.1 (721.7.23)'!BE4</f>
        <v>1</v>
      </c>
      <c r="BF4" s="51">
        <f>'Beam Estimating V1.1 (721.7.23)'!BF4</f>
        <v>16</v>
      </c>
      <c r="BH4" s="50">
        <f>'Beam Estimating V1.1 (721.7.23)'!BH4</f>
        <v>1</v>
      </c>
      <c r="BI4" s="51">
        <f>'Beam Estimating V1.1 (721.7.23)'!BI4</f>
        <v>16</v>
      </c>
      <c r="BJ4" s="55">
        <f>'Beam Estimating V1.1 (721.7.23)'!BJ4</f>
        <v>1</v>
      </c>
      <c r="BK4" s="53">
        <f>'Beam Estimating V1.1 (721.7.23)'!BK4</f>
        <v>16</v>
      </c>
      <c r="BL4" s="50">
        <f>'Beam Estimating V1.1 (721.7.23)'!BL4</f>
        <v>1</v>
      </c>
      <c r="BM4" s="51">
        <f>'Beam Estimating V1.1 (721.7.23)'!BM4</f>
        <v>16</v>
      </c>
      <c r="BO4" s="50">
        <f>'Beam Estimating V1.1 (721.7.23)'!BO4</f>
        <v>1</v>
      </c>
      <c r="BP4" s="51">
        <f>'Beam Estimating V1.1 (721.7.23)'!BP4</f>
        <v>16</v>
      </c>
      <c r="BQ4" s="55">
        <f>'Beam Estimating V1.1 (721.7.23)'!BQ4</f>
        <v>1</v>
      </c>
      <c r="BR4" s="53">
        <f>'Beam Estimating V1.1 (721.7.23)'!BR4</f>
        <v>16</v>
      </c>
      <c r="BS4" s="50">
        <f>'Beam Estimating V1.1 (721.7.23)'!BS4</f>
        <v>1</v>
      </c>
      <c r="BT4" s="51">
        <f>'Beam Estimating V1.1 (721.7.23)'!BT4</f>
        <v>16</v>
      </c>
      <c r="BV4" s="50">
        <f>'Beam Estimating V1.1 (721.7.23)'!BV4</f>
        <v>1</v>
      </c>
      <c r="BW4" s="51">
        <f>'Beam Estimating V1.1 (721.7.23)'!BW4</f>
        <v>16</v>
      </c>
      <c r="BX4" s="55">
        <f>'Beam Estimating V1.1 (721.7.23)'!BX4</f>
        <v>1</v>
      </c>
      <c r="BY4" s="53">
        <f>'Beam Estimating V1.1 (721.7.23)'!BY4</f>
        <v>16</v>
      </c>
      <c r="BZ4" s="50">
        <f>'Beam Estimating V1.1 (721.7.23)'!BZ4</f>
        <v>1</v>
      </c>
      <c r="CA4" s="51">
        <f>'Beam Estimating V1.1 (721.7.23)'!CA4</f>
        <v>16</v>
      </c>
      <c r="CC4" s="50">
        <f>'Beam Estimating V1.1 (721.7.23)'!CC4</f>
        <v>1</v>
      </c>
      <c r="CD4" s="51">
        <f>'Beam Estimating V1.1 (721.7.23)'!CD4</f>
        <v>16</v>
      </c>
      <c r="CE4" s="55">
        <f>'Beam Estimating V1.1 (721.7.23)'!CE4</f>
        <v>1</v>
      </c>
      <c r="CF4" s="53">
        <f>'Beam Estimating V1.1 (721.7.23)'!CF4</f>
        <v>16</v>
      </c>
      <c r="CG4" s="50">
        <f>'Beam Estimating V1.1 (721.7.23)'!CG4</f>
        <v>1</v>
      </c>
      <c r="CH4" s="51">
        <f>'Beam Estimating V1.1 (721.7.23)'!CH4</f>
        <v>16</v>
      </c>
    </row>
    <row r="5" spans="2:87" ht="21.75" customHeight="1" thickBot="1" x14ac:dyDescent="0.3">
      <c r="C5" s="56"/>
      <c r="D5" s="57">
        <f>'Beam Estimating V1.1 (721.7.23)'!D5</f>
        <v>1</v>
      </c>
      <c r="E5" s="58">
        <f>'Beam Estimating V1.1 (721.7.23)'!E5</f>
        <v>16</v>
      </c>
      <c r="F5" s="52">
        <f>'Beam Estimating V1.1 (721.7.23)'!F5</f>
        <v>2</v>
      </c>
      <c r="G5" s="59">
        <f>'Beam Estimating V1.1 (721.7.23)'!G5</f>
        <v>16</v>
      </c>
      <c r="H5" s="60">
        <f>'Beam Estimating V1.1 (721.7.23)'!H5</f>
        <v>1</v>
      </c>
      <c r="I5" s="54">
        <f>'Beam Estimating V1.1 (721.7.23)'!I5</f>
        <v>16</v>
      </c>
      <c r="J5" s="56"/>
      <c r="K5" s="57">
        <f>'Beam Estimating V1.1 (721.7.23)'!K5</f>
        <v>1</v>
      </c>
      <c r="L5" s="58">
        <f>'Beam Estimating V1.1 (721.7.23)'!L5</f>
        <v>16</v>
      </c>
      <c r="M5" s="52">
        <f>'Beam Estimating V1.1 (721.7.23)'!M5</f>
        <v>2</v>
      </c>
      <c r="N5" s="59">
        <f>'Beam Estimating V1.1 (721.7.23)'!N5</f>
        <v>16</v>
      </c>
      <c r="O5" s="61">
        <f>'Beam Estimating V1.1 (721.7.23)'!O5</f>
        <v>1</v>
      </c>
      <c r="P5" s="54">
        <f>'Beam Estimating V1.1 (721.7.23)'!P5</f>
        <v>16</v>
      </c>
      <c r="Q5" s="56"/>
      <c r="R5" s="57">
        <f>'Beam Estimating V1.1 (721.7.23)'!R5</f>
        <v>1</v>
      </c>
      <c r="S5" s="58">
        <f>'Beam Estimating V1.1 (721.7.23)'!S5</f>
        <v>16</v>
      </c>
      <c r="T5" s="52">
        <f>'Beam Estimating V1.1 (721.7.23)'!T5</f>
        <v>2</v>
      </c>
      <c r="U5" s="59">
        <f>'Beam Estimating V1.1 (721.7.23)'!U5</f>
        <v>16</v>
      </c>
      <c r="V5" s="61">
        <f>'Beam Estimating V1.1 (721.7.23)'!V5</f>
        <v>1</v>
      </c>
      <c r="W5" s="54">
        <f>'Beam Estimating V1.1 (721.7.23)'!W5</f>
        <v>16</v>
      </c>
      <c r="X5" s="56"/>
      <c r="Y5" s="57">
        <f>'Beam Estimating V1.1 (721.7.23)'!Y5</f>
        <v>0</v>
      </c>
      <c r="Z5" s="58">
        <f>'Beam Estimating V1.1 (721.7.23)'!Z5</f>
        <v>16</v>
      </c>
      <c r="AA5" s="52">
        <f>'Beam Estimating V1.1 (721.7.23)'!AA5</f>
        <v>2</v>
      </c>
      <c r="AB5" s="59">
        <f>'Beam Estimating V1.1 (721.7.23)'!AB5</f>
        <v>16</v>
      </c>
      <c r="AC5" s="61">
        <f>'Beam Estimating V1.1 (721.7.23)'!AC5</f>
        <v>2</v>
      </c>
      <c r="AD5" s="54">
        <f>'Beam Estimating V1.1 (721.7.23)'!AD5</f>
        <v>16</v>
      </c>
      <c r="AE5" s="56"/>
      <c r="AF5" s="57">
        <f>'Beam Estimating V1.1 (721.7.23)'!AF5</f>
        <v>2</v>
      </c>
      <c r="AG5" s="58">
        <f>'Beam Estimating V1.1 (721.7.23)'!AG5</f>
        <v>16</v>
      </c>
      <c r="AH5" s="52">
        <f>'Beam Estimating V1.1 (721.7.23)'!AH5</f>
        <v>2</v>
      </c>
      <c r="AI5" s="59">
        <f>'Beam Estimating V1.1 (721.7.23)'!AI5</f>
        <v>16</v>
      </c>
      <c r="AJ5" s="61">
        <f>'Beam Estimating V1.1 (721.7.23)'!AJ5</f>
        <v>2</v>
      </c>
      <c r="AK5" s="54">
        <f>'Beam Estimating V1.1 (721.7.23)'!AK5</f>
        <v>16</v>
      </c>
      <c r="AL5" s="56"/>
      <c r="AM5" s="57">
        <f>'Beam Estimating V1.1 (721.7.23)'!AM5</f>
        <v>2</v>
      </c>
      <c r="AN5" s="58">
        <f>'Beam Estimating V1.1 (721.7.23)'!AN5</f>
        <v>16</v>
      </c>
      <c r="AO5" s="52">
        <f>'Beam Estimating V1.1 (721.7.23)'!AO5</f>
        <v>2</v>
      </c>
      <c r="AP5" s="59">
        <f>'Beam Estimating V1.1 (721.7.23)'!AP5</f>
        <v>16</v>
      </c>
      <c r="AQ5" s="61">
        <f>'Beam Estimating V1.1 (721.7.23)'!AQ5</f>
        <v>2</v>
      </c>
      <c r="AR5" s="54">
        <f>'Beam Estimating V1.1 (721.7.23)'!AR5</f>
        <v>16</v>
      </c>
      <c r="AS5" s="56"/>
      <c r="AT5" s="57">
        <f>'Beam Estimating V1.1 (721.7.23)'!AT5</f>
        <v>2</v>
      </c>
      <c r="AU5" s="58">
        <f>'Beam Estimating V1.1 (721.7.23)'!AU5</f>
        <v>16</v>
      </c>
      <c r="AV5" s="52">
        <f>'Beam Estimating V1.1 (721.7.23)'!AV5</f>
        <v>2</v>
      </c>
      <c r="AW5" s="59">
        <f>'Beam Estimating V1.1 (721.7.23)'!AW5</f>
        <v>16</v>
      </c>
      <c r="AX5" s="61">
        <f>'Beam Estimating V1.1 (721.7.23)'!AX5</f>
        <v>2</v>
      </c>
      <c r="AY5" s="54">
        <f>'Beam Estimating V1.1 (721.7.23)'!AY5</f>
        <v>16</v>
      </c>
      <c r="AZ5" s="56"/>
      <c r="BA5" s="57">
        <f>'Beam Estimating V1.1 (721.7.23)'!BA5</f>
        <v>2</v>
      </c>
      <c r="BB5" s="58">
        <f>'Beam Estimating V1.1 (721.7.23)'!BB5</f>
        <v>16</v>
      </c>
      <c r="BC5" s="52">
        <f>'Beam Estimating V1.1 (721.7.23)'!BC5</f>
        <v>2</v>
      </c>
      <c r="BD5" s="59">
        <f>'Beam Estimating V1.1 (721.7.23)'!BD5</f>
        <v>16</v>
      </c>
      <c r="BE5" s="61">
        <f>'Beam Estimating V1.1 (721.7.23)'!BE5</f>
        <v>2</v>
      </c>
      <c r="BF5" s="54">
        <f>'Beam Estimating V1.1 (721.7.23)'!BF5</f>
        <v>16</v>
      </c>
      <c r="BG5" s="56"/>
      <c r="BH5" s="57">
        <f>'Beam Estimating V1.1 (721.7.23)'!BH5</f>
        <v>2</v>
      </c>
      <c r="BI5" s="58">
        <f>'Beam Estimating V1.1 (721.7.23)'!BI5</f>
        <v>16</v>
      </c>
      <c r="BJ5" s="52">
        <f>'Beam Estimating V1.1 (721.7.23)'!BJ5</f>
        <v>2</v>
      </c>
      <c r="BK5" s="59">
        <f>'Beam Estimating V1.1 (721.7.23)'!BK5</f>
        <v>16</v>
      </c>
      <c r="BL5" s="61">
        <f>'Beam Estimating V1.1 (721.7.23)'!BL5</f>
        <v>2</v>
      </c>
      <c r="BM5" s="54">
        <f>'Beam Estimating V1.1 (721.7.23)'!BM5</f>
        <v>16</v>
      </c>
      <c r="BN5" s="56"/>
      <c r="BO5" s="57">
        <f>'Beam Estimating V1.1 (721.7.23)'!BO5</f>
        <v>2</v>
      </c>
      <c r="BP5" s="58">
        <f>'Beam Estimating V1.1 (721.7.23)'!BP5</f>
        <v>16</v>
      </c>
      <c r="BQ5" s="52">
        <f>'Beam Estimating V1.1 (721.7.23)'!BQ5</f>
        <v>2</v>
      </c>
      <c r="BR5" s="59">
        <f>'Beam Estimating V1.1 (721.7.23)'!BR5</f>
        <v>16</v>
      </c>
      <c r="BS5" s="61">
        <f>'Beam Estimating V1.1 (721.7.23)'!BS5</f>
        <v>2</v>
      </c>
      <c r="BT5" s="54">
        <f>'Beam Estimating V1.1 (721.7.23)'!BT5</f>
        <v>16</v>
      </c>
      <c r="BU5" s="56"/>
      <c r="BV5" s="57">
        <f>'Beam Estimating V1.1 (721.7.23)'!BV5</f>
        <v>2</v>
      </c>
      <c r="BW5" s="58">
        <f>'Beam Estimating V1.1 (721.7.23)'!BW5</f>
        <v>16</v>
      </c>
      <c r="BX5" s="52">
        <f>'Beam Estimating V1.1 (721.7.23)'!BX5</f>
        <v>2</v>
      </c>
      <c r="BY5" s="59">
        <f>'Beam Estimating V1.1 (721.7.23)'!BY5</f>
        <v>16</v>
      </c>
      <c r="BZ5" s="61">
        <f>'Beam Estimating V1.1 (721.7.23)'!BZ5</f>
        <v>2</v>
      </c>
      <c r="CA5" s="54">
        <f>'Beam Estimating V1.1 (721.7.23)'!CA5</f>
        <v>16</v>
      </c>
      <c r="CB5" s="56"/>
      <c r="CC5" s="57">
        <f>'Beam Estimating V1.1 (721.7.23)'!CC5</f>
        <v>2</v>
      </c>
      <c r="CD5" s="58">
        <f>'Beam Estimating V1.1 (721.7.23)'!CD5</f>
        <v>16</v>
      </c>
      <c r="CE5" s="52">
        <f>'Beam Estimating V1.1 (721.7.23)'!CE5</f>
        <v>2</v>
      </c>
      <c r="CF5" s="59">
        <f>'Beam Estimating V1.1 (721.7.23)'!CF5</f>
        <v>16</v>
      </c>
      <c r="CG5" s="61">
        <f>'Beam Estimating V1.1 (721.7.23)'!CG5</f>
        <v>2</v>
      </c>
      <c r="CH5" s="54">
        <f>'Beam Estimating V1.1 (721.7.23)'!CH5</f>
        <v>16</v>
      </c>
      <c r="CI5" s="56"/>
    </row>
    <row r="6" spans="2:87" ht="42.75" customHeight="1" thickBot="1" x14ac:dyDescent="0.3">
      <c r="C6" s="62"/>
      <c r="D6" s="63"/>
      <c r="E6" s="63"/>
      <c r="F6" s="63"/>
      <c r="G6" s="63"/>
      <c r="H6" s="63"/>
      <c r="I6" s="63"/>
      <c r="K6" s="63"/>
      <c r="L6" s="63"/>
      <c r="M6" s="63"/>
      <c r="N6" s="63"/>
      <c r="O6" s="63"/>
      <c r="P6" s="63"/>
      <c r="R6" s="63"/>
      <c r="S6" s="63"/>
      <c r="T6" s="63"/>
      <c r="U6" s="63"/>
      <c r="V6" s="63"/>
      <c r="W6" s="63"/>
      <c r="Y6" s="63"/>
      <c r="Z6" s="63"/>
      <c r="AA6" s="63"/>
      <c r="AB6" s="63"/>
      <c r="AC6" s="63"/>
      <c r="AD6" s="63"/>
      <c r="AF6" s="63"/>
      <c r="AG6" s="63"/>
      <c r="AH6" s="63"/>
      <c r="AI6" s="63"/>
      <c r="AJ6" s="63"/>
      <c r="AK6" s="63"/>
      <c r="AM6" s="63"/>
      <c r="AN6" s="63"/>
      <c r="AO6" s="63"/>
      <c r="AP6" s="63"/>
      <c r="AQ6" s="63"/>
      <c r="AR6" s="63"/>
      <c r="AT6" s="63"/>
      <c r="AU6" s="63"/>
      <c r="AV6" s="63"/>
      <c r="AW6" s="63"/>
      <c r="AX6" s="63"/>
      <c r="AY6" s="63"/>
      <c r="BA6" s="63"/>
      <c r="BB6" s="63"/>
      <c r="BC6" s="63"/>
      <c r="BD6" s="63"/>
      <c r="BE6" s="63"/>
      <c r="BF6" s="63"/>
      <c r="BH6" s="63"/>
      <c r="BI6" s="63"/>
      <c r="BJ6" s="63"/>
      <c r="BK6" s="63"/>
      <c r="BL6" s="63"/>
      <c r="BM6" s="63"/>
      <c r="BO6" s="63"/>
      <c r="BP6" s="63"/>
      <c r="BQ6" s="63"/>
      <c r="BR6" s="63"/>
      <c r="BS6" s="63"/>
      <c r="BT6" s="63"/>
      <c r="BV6" s="63"/>
      <c r="BW6" s="63"/>
      <c r="BX6" s="63"/>
      <c r="BY6" s="63"/>
      <c r="BZ6" s="63"/>
      <c r="CA6" s="63"/>
      <c r="CC6" s="63"/>
      <c r="CD6" s="63"/>
      <c r="CE6" s="63"/>
      <c r="CF6" s="63"/>
      <c r="CG6" s="63"/>
      <c r="CH6" s="63"/>
      <c r="CI6" s="64"/>
    </row>
    <row r="7" spans="2:87" ht="21" customHeight="1" thickBot="1" x14ac:dyDescent="0.3">
      <c r="C7" s="65">
        <f>'Beam Estimating V1.1 (721.7.23)'!C7</f>
        <v>12</v>
      </c>
      <c r="D7" s="66">
        <f>'Beam Estimating V1.1 (721.7.23)'!D7</f>
        <v>2</v>
      </c>
      <c r="E7" s="67">
        <f>'Beam Estimating V1.1 (721.7.23)'!E7</f>
        <v>16</v>
      </c>
      <c r="F7" s="103">
        <f>'Beam Estimating V1.1 (721.7.23)'!F7</f>
        <v>10</v>
      </c>
      <c r="G7" s="103"/>
      <c r="H7" s="68">
        <f>'Beam Estimating V1.1 (721.7.23)'!H7</f>
        <v>1</v>
      </c>
      <c r="I7" s="69">
        <f>'Beam Estimating V1.1 (721.7.23)'!I7</f>
        <v>16</v>
      </c>
      <c r="J7" s="65">
        <f>'Beam Estimating V1.1 (721.7.23)'!J7</f>
        <v>12</v>
      </c>
      <c r="K7" s="66">
        <f>'Beam Estimating V1.1 (721.7.23)'!K7</f>
        <v>2</v>
      </c>
      <c r="L7" s="67">
        <f>'Beam Estimating V1.1 (721.7.23)'!L7</f>
        <v>16</v>
      </c>
      <c r="M7" s="103">
        <f>'Beam Estimating V1.1 (721.7.23)'!M7</f>
        <v>10</v>
      </c>
      <c r="N7" s="103"/>
      <c r="O7" s="68">
        <f>'Beam Estimating V1.1 (721.7.23)'!O7</f>
        <v>1</v>
      </c>
      <c r="P7" s="69">
        <f>'Beam Estimating V1.1 (721.7.23)'!P7</f>
        <v>16</v>
      </c>
      <c r="Q7" s="65">
        <f>'Beam Estimating V1.1 (721.7.23)'!Q7</f>
        <v>12</v>
      </c>
      <c r="R7" s="66">
        <f>'Beam Estimating V1.1 (721.7.23)'!R7</f>
        <v>2</v>
      </c>
      <c r="S7" s="67">
        <f>'Beam Estimating V1.1 (721.7.23)'!S7</f>
        <v>16</v>
      </c>
      <c r="T7" s="103">
        <f>'Beam Estimating V1.1 (721.7.23)'!T7</f>
        <v>10</v>
      </c>
      <c r="U7" s="103"/>
      <c r="V7" s="68">
        <f>'Beam Estimating V1.1 (721.7.23)'!V7</f>
        <v>1</v>
      </c>
      <c r="W7" s="69">
        <f>'Beam Estimating V1.1 (721.7.23)'!W7</f>
        <v>16</v>
      </c>
      <c r="X7" s="65">
        <f>'Beam Estimating V1.1 (721.7.23)'!X7</f>
        <v>12</v>
      </c>
      <c r="Y7" s="66">
        <f>'Beam Estimating V1.1 (721.7.23)'!Y7</f>
        <v>0</v>
      </c>
      <c r="Z7" s="67">
        <f>'Beam Estimating V1.1 (721.7.23)'!Z7</f>
        <v>16</v>
      </c>
      <c r="AA7" s="103">
        <f>'Beam Estimating V1.1 (721.7.23)'!AA7</f>
        <v>10</v>
      </c>
      <c r="AB7" s="103"/>
      <c r="AC7" s="68">
        <f>'Beam Estimating V1.1 (721.7.23)'!AC7</f>
        <v>2</v>
      </c>
      <c r="AD7" s="69">
        <f>'Beam Estimating V1.1 (721.7.23)'!AD7</f>
        <v>16</v>
      </c>
      <c r="AE7" s="65">
        <f>'Beam Estimating V1.1 (721.7.23)'!AE7</f>
        <v>12</v>
      </c>
      <c r="AF7" s="66">
        <f>'Beam Estimating V1.1 (721.7.23)'!AF7</f>
        <v>2</v>
      </c>
      <c r="AG7" s="67">
        <f>'Beam Estimating V1.1 (721.7.23)'!AG7</f>
        <v>16</v>
      </c>
      <c r="AH7" s="103">
        <f>'Beam Estimating V1.1 (721.7.23)'!AH7</f>
        <v>10</v>
      </c>
      <c r="AI7" s="103"/>
      <c r="AJ7" s="68">
        <f>'Beam Estimating V1.1 (721.7.23)'!AJ7</f>
        <v>2</v>
      </c>
      <c r="AK7" s="69">
        <f>'Beam Estimating V1.1 (721.7.23)'!AK7</f>
        <v>16</v>
      </c>
      <c r="AL7" s="65">
        <f>'Beam Estimating V1.1 (721.7.23)'!AL7</f>
        <v>12</v>
      </c>
      <c r="AM7" s="66">
        <f>'Beam Estimating V1.1 (721.7.23)'!AM7</f>
        <v>2</v>
      </c>
      <c r="AN7" s="67">
        <f>'Beam Estimating V1.1 (721.7.23)'!AN7</f>
        <v>16</v>
      </c>
      <c r="AO7" s="103">
        <f>'Beam Estimating V1.1 (721.7.23)'!AO7</f>
        <v>10</v>
      </c>
      <c r="AP7" s="103"/>
      <c r="AQ7" s="68">
        <f>'Beam Estimating V1.1 (721.7.23)'!AQ7</f>
        <v>2</v>
      </c>
      <c r="AR7" s="69">
        <f>'Beam Estimating V1.1 (721.7.23)'!AR7</f>
        <v>16</v>
      </c>
      <c r="AS7" s="65">
        <f>'Beam Estimating V1.1 (721.7.23)'!AS7</f>
        <v>12</v>
      </c>
      <c r="AT7" s="66">
        <f>'Beam Estimating V1.1 (721.7.23)'!AT7</f>
        <v>2</v>
      </c>
      <c r="AU7" s="67">
        <f>'Beam Estimating V1.1 (721.7.23)'!AU7</f>
        <v>16</v>
      </c>
      <c r="AV7" s="103">
        <f>'Beam Estimating V1.1 (721.7.23)'!AV7</f>
        <v>10</v>
      </c>
      <c r="AW7" s="103"/>
      <c r="AX7" s="68">
        <f>'Beam Estimating V1.1 (721.7.23)'!AX7</f>
        <v>2</v>
      </c>
      <c r="AY7" s="69">
        <f>'Beam Estimating V1.1 (721.7.23)'!AY7</f>
        <v>16</v>
      </c>
      <c r="AZ7" s="65">
        <f>'Beam Estimating V1.1 (721.7.23)'!AZ7</f>
        <v>12</v>
      </c>
      <c r="BA7" s="66">
        <f>'Beam Estimating V1.1 (721.7.23)'!BA7</f>
        <v>2</v>
      </c>
      <c r="BB7" s="67">
        <f>'Beam Estimating V1.1 (721.7.23)'!BB7</f>
        <v>16</v>
      </c>
      <c r="BC7" s="103">
        <f>'Beam Estimating V1.1 (721.7.23)'!BC7</f>
        <v>10</v>
      </c>
      <c r="BD7" s="103"/>
      <c r="BE7" s="68">
        <f>'Beam Estimating V1.1 (721.7.23)'!BE7</f>
        <v>2</v>
      </c>
      <c r="BF7" s="69">
        <f>'Beam Estimating V1.1 (721.7.23)'!BF7</f>
        <v>16</v>
      </c>
      <c r="BG7" s="65">
        <f>'Beam Estimating V1.1 (721.7.23)'!BG7</f>
        <v>12</v>
      </c>
      <c r="BH7" s="66">
        <f>'Beam Estimating V1.1 (721.7.23)'!BH7</f>
        <v>2</v>
      </c>
      <c r="BI7" s="67">
        <f>'Beam Estimating V1.1 (721.7.23)'!BI7</f>
        <v>16</v>
      </c>
      <c r="BJ7" s="103">
        <f>'Beam Estimating V1.1 (721.7.23)'!BJ7</f>
        <v>10</v>
      </c>
      <c r="BK7" s="103"/>
      <c r="BL7" s="68">
        <f>'Beam Estimating V1.1 (721.7.23)'!BL7</f>
        <v>2</v>
      </c>
      <c r="BM7" s="69">
        <f>'Beam Estimating V1.1 (721.7.23)'!BM7</f>
        <v>16</v>
      </c>
      <c r="BN7" s="65">
        <f>'Beam Estimating V1.1 (721.7.23)'!BN7</f>
        <v>12</v>
      </c>
      <c r="BO7" s="66">
        <f>'Beam Estimating V1.1 (721.7.23)'!BO7</f>
        <v>2</v>
      </c>
      <c r="BP7" s="67">
        <f>'Beam Estimating V1.1 (721.7.23)'!BP7</f>
        <v>16</v>
      </c>
      <c r="BQ7" s="103">
        <f>'Beam Estimating V1.1 (721.7.23)'!BQ7</f>
        <v>10</v>
      </c>
      <c r="BR7" s="103"/>
      <c r="BS7" s="68">
        <f>'Beam Estimating V1.1 (721.7.23)'!BS7</f>
        <v>2</v>
      </c>
      <c r="BT7" s="69">
        <f>'Beam Estimating V1.1 (721.7.23)'!BT7</f>
        <v>16</v>
      </c>
      <c r="BU7" s="65">
        <f>'Beam Estimating V1.1 (721.7.23)'!BU7</f>
        <v>12</v>
      </c>
      <c r="BV7" s="66">
        <f>'Beam Estimating V1.1 (721.7.23)'!BV7</f>
        <v>2</v>
      </c>
      <c r="BW7" s="67">
        <f>'Beam Estimating V1.1 (721.7.23)'!BW7</f>
        <v>16</v>
      </c>
      <c r="BX7" s="103">
        <f>'Beam Estimating V1.1 (721.7.23)'!BX7</f>
        <v>10</v>
      </c>
      <c r="BY7" s="103"/>
      <c r="BZ7" s="68">
        <f>'Beam Estimating V1.1 (721.7.23)'!BZ7</f>
        <v>2</v>
      </c>
      <c r="CA7" s="69">
        <f>'Beam Estimating V1.1 (721.7.23)'!CA7</f>
        <v>16</v>
      </c>
      <c r="CB7" s="65">
        <f>'Beam Estimating V1.1 (721.7.23)'!CB7</f>
        <v>12</v>
      </c>
      <c r="CC7" s="66">
        <f>'Beam Estimating V1.1 (721.7.23)'!CC7</f>
        <v>2</v>
      </c>
      <c r="CD7" s="67">
        <f>'Beam Estimating V1.1 (721.7.23)'!CD7</f>
        <v>16</v>
      </c>
      <c r="CE7" s="103">
        <f>'Beam Estimating V1.1 (721.7.23)'!CE7</f>
        <v>10</v>
      </c>
      <c r="CF7" s="103"/>
      <c r="CG7" s="68">
        <f>'Beam Estimating V1.1 (721.7.23)'!CG7</f>
        <v>2</v>
      </c>
      <c r="CH7" s="69">
        <f>'Beam Estimating V1.1 (721.7.23)'!CH7</f>
        <v>16</v>
      </c>
      <c r="CI7" s="65">
        <f>'Beam Estimating V1.1 (721.7.23)'!CI7</f>
        <v>12</v>
      </c>
    </row>
    <row r="8" spans="2:87" x14ac:dyDescent="0.25">
      <c r="D8" s="66">
        <f>'Beam Estimating V1.1 (721.7.23)'!D8</f>
        <v>2</v>
      </c>
      <c r="E8" s="53">
        <f>'Beam Estimating V1.1 (721.7.23)'!E8</f>
        <v>12</v>
      </c>
      <c r="H8" s="50">
        <f>'Beam Estimating V1.1 (721.7.23)'!H8</f>
        <v>0</v>
      </c>
      <c r="I8" s="51">
        <f>'Beam Estimating V1.1 (721.7.23)'!I8</f>
        <v>16</v>
      </c>
      <c r="K8" s="55">
        <f>'Beam Estimating V1.1 (721.7.23)'!K8</f>
        <v>2</v>
      </c>
      <c r="L8" s="53">
        <f>'Beam Estimating V1.1 (721.7.23)'!L8</f>
        <v>12</v>
      </c>
      <c r="O8" s="50">
        <f>'Beam Estimating V1.1 (721.7.23)'!O8</f>
        <v>0</v>
      </c>
      <c r="P8" s="51">
        <f>'Beam Estimating V1.1 (721.7.23)'!P8</f>
        <v>16</v>
      </c>
      <c r="R8" s="55">
        <f>'Beam Estimating V1.1 (721.7.23)'!R8</f>
        <v>2</v>
      </c>
      <c r="S8" s="53">
        <f>'Beam Estimating V1.1 (721.7.23)'!S8</f>
        <v>12</v>
      </c>
      <c r="V8" s="50">
        <f>'Beam Estimating V1.1 (721.7.23)'!V8</f>
        <v>0</v>
      </c>
      <c r="W8" s="51">
        <f>'Beam Estimating V1.1 (721.7.23)'!W8</f>
        <v>16</v>
      </c>
      <c r="Y8" s="55">
        <f>'Beam Estimating V1.1 (721.7.23)'!Y8</f>
        <v>0</v>
      </c>
      <c r="Z8" s="53">
        <f>'Beam Estimating V1.1 (721.7.23)'!Z8</f>
        <v>16</v>
      </c>
      <c r="AC8" s="50">
        <f>'Beam Estimating V1.1 (721.7.23)'!AC8</f>
        <v>1</v>
      </c>
      <c r="AD8" s="51">
        <f>'Beam Estimating V1.1 (721.7.23)'!AD8</f>
        <v>16</v>
      </c>
      <c r="AF8" s="55">
        <f>'Beam Estimating V1.1 (721.7.23)'!AF8</f>
        <v>1</v>
      </c>
      <c r="AG8" s="53">
        <f>'Beam Estimating V1.1 (721.7.23)'!AG8</f>
        <v>16</v>
      </c>
      <c r="AJ8" s="50">
        <f>'Beam Estimating V1.1 (721.7.23)'!AJ8</f>
        <v>1</v>
      </c>
      <c r="AK8" s="51">
        <f>'Beam Estimating V1.1 (721.7.23)'!AK8</f>
        <v>16</v>
      </c>
      <c r="AM8" s="55">
        <f>'Beam Estimating V1.1 (721.7.23)'!AM8</f>
        <v>1</v>
      </c>
      <c r="AN8" s="53">
        <f>'Beam Estimating V1.1 (721.7.23)'!AN8</f>
        <v>16</v>
      </c>
      <c r="AQ8" s="50">
        <f>'Beam Estimating V1.1 (721.7.23)'!AQ8</f>
        <v>1</v>
      </c>
      <c r="AR8" s="51">
        <f>'Beam Estimating V1.1 (721.7.23)'!AR8</f>
        <v>16</v>
      </c>
      <c r="AT8" s="55">
        <f>'Beam Estimating V1.1 (721.7.23)'!AT8</f>
        <v>1</v>
      </c>
      <c r="AU8" s="53">
        <f>'Beam Estimating V1.1 (721.7.23)'!AU8</f>
        <v>16</v>
      </c>
      <c r="AX8" s="50">
        <f>'Beam Estimating V1.1 (721.7.23)'!AX8</f>
        <v>1</v>
      </c>
      <c r="AY8" s="51">
        <f>'Beam Estimating V1.1 (721.7.23)'!AY8</f>
        <v>16</v>
      </c>
      <c r="BA8" s="55">
        <f>'Beam Estimating V1.1 (721.7.23)'!BA8</f>
        <v>1</v>
      </c>
      <c r="BB8" s="53">
        <f>'Beam Estimating V1.1 (721.7.23)'!BB8</f>
        <v>16</v>
      </c>
      <c r="BE8" s="50">
        <f>'Beam Estimating V1.1 (721.7.23)'!BE8</f>
        <v>1</v>
      </c>
      <c r="BF8" s="51">
        <f>'Beam Estimating V1.1 (721.7.23)'!BF8</f>
        <v>16</v>
      </c>
      <c r="BH8" s="55">
        <f>'Beam Estimating V1.1 (721.7.23)'!BH8</f>
        <v>1</v>
      </c>
      <c r="BI8" s="53">
        <f>'Beam Estimating V1.1 (721.7.23)'!BI8</f>
        <v>16</v>
      </c>
      <c r="BL8" s="50">
        <f>'Beam Estimating V1.1 (721.7.23)'!BL8</f>
        <v>1</v>
      </c>
      <c r="BM8" s="51">
        <f>'Beam Estimating V1.1 (721.7.23)'!BM8</f>
        <v>16</v>
      </c>
      <c r="BO8" s="55">
        <f>'Beam Estimating V1.1 (721.7.23)'!BO8</f>
        <v>1</v>
      </c>
      <c r="BP8" s="53">
        <f>'Beam Estimating V1.1 (721.7.23)'!BP8</f>
        <v>16</v>
      </c>
      <c r="BS8" s="50">
        <f>'Beam Estimating V1.1 (721.7.23)'!BS8</f>
        <v>1</v>
      </c>
      <c r="BT8" s="51">
        <f>'Beam Estimating V1.1 (721.7.23)'!BT8</f>
        <v>16</v>
      </c>
      <c r="BV8" s="55">
        <f>'Beam Estimating V1.1 (721.7.23)'!BV8</f>
        <v>1</v>
      </c>
      <c r="BW8" s="53">
        <f>'Beam Estimating V1.1 (721.7.23)'!BW8</f>
        <v>16</v>
      </c>
      <c r="BZ8" s="50">
        <f>'Beam Estimating V1.1 (721.7.23)'!BZ8</f>
        <v>1</v>
      </c>
      <c r="CA8" s="51">
        <f>'Beam Estimating V1.1 (721.7.23)'!CA8</f>
        <v>16</v>
      </c>
      <c r="CC8" s="55">
        <f>'Beam Estimating V1.1 (721.7.23)'!CC8</f>
        <v>1</v>
      </c>
      <c r="CD8" s="53">
        <f>'Beam Estimating V1.1 (721.7.23)'!CD8</f>
        <v>16</v>
      </c>
      <c r="CG8" s="50">
        <f>'Beam Estimating V1.1 (721.7.23)'!CG8</f>
        <v>1</v>
      </c>
      <c r="CH8" s="51">
        <f>'Beam Estimating V1.1 (721.7.23)'!CH8</f>
        <v>16</v>
      </c>
    </row>
    <row r="12" spans="2:87" x14ac:dyDescent="0.25">
      <c r="B12" s="99" t="s">
        <v>3</v>
      </c>
      <c r="C12" s="99"/>
      <c r="D12" s="71">
        <f>F4*(F7+(12*G4/304.8)+MAX((8*G4/304.8),0.5,($E$2*G4/304.8)))</f>
        <v>0</v>
      </c>
      <c r="E12" s="72">
        <f>G4</f>
        <v>16</v>
      </c>
      <c r="F12" s="73">
        <f>D12*E12*E12/533</f>
        <v>0</v>
      </c>
      <c r="G12" s="49" t="s">
        <v>14</v>
      </c>
      <c r="H12" s="74">
        <f>'Beam Estimating V1.1 (721.7.23)'!H10</f>
        <v>12</v>
      </c>
      <c r="I12" s="99" t="s">
        <v>3</v>
      </c>
      <c r="J12" s="99"/>
      <c r="K12" s="49">
        <f>M4*(M7+J7/12)</f>
        <v>0</v>
      </c>
      <c r="L12" s="72">
        <f>N4</f>
        <v>16</v>
      </c>
      <c r="M12" s="73">
        <f>K12*L12*L12/533</f>
        <v>0</v>
      </c>
      <c r="N12" s="49" t="s">
        <v>14</v>
      </c>
      <c r="O12" s="74">
        <f>'Beam Estimating V1.1 (721.7.23)'!O10</f>
        <v>12</v>
      </c>
      <c r="P12" s="99" t="s">
        <v>3</v>
      </c>
      <c r="Q12" s="99"/>
      <c r="R12" s="49">
        <f>T4*(T7+Q7/12)</f>
        <v>0</v>
      </c>
      <c r="S12" s="72">
        <f>U4</f>
        <v>16</v>
      </c>
      <c r="T12" s="73">
        <f>R12*S12*S12/533</f>
        <v>0</v>
      </c>
      <c r="U12" s="49" t="s">
        <v>14</v>
      </c>
      <c r="V12" s="74">
        <f>'Beam Estimating V1.1 (721.7.23)'!V10</f>
        <v>12</v>
      </c>
      <c r="W12" s="99" t="s">
        <v>3</v>
      </c>
      <c r="X12" s="99"/>
      <c r="Y12" s="49">
        <f>AA4*(AA7+X7/12)</f>
        <v>11</v>
      </c>
      <c r="Z12" s="72">
        <f>AB4</f>
        <v>16</v>
      </c>
      <c r="AA12" s="73">
        <f>Y12*Z12*Z12/533</f>
        <v>5.2833020637898684</v>
      </c>
      <c r="AB12" s="49" t="s">
        <v>14</v>
      </c>
      <c r="AC12" s="74">
        <f>'Beam Estimating V1.1 (721.7.23)'!AC10</f>
        <v>12</v>
      </c>
      <c r="AD12" s="99" t="s">
        <v>3</v>
      </c>
      <c r="AE12" s="99"/>
      <c r="AF12" s="49">
        <f>AH4*(AH7+AE7/12)</f>
        <v>11</v>
      </c>
      <c r="AG12" s="72">
        <f>AI4</f>
        <v>16</v>
      </c>
      <c r="AH12" s="73">
        <f>AF12*AG12*AG12/533</f>
        <v>5.2833020637898684</v>
      </c>
      <c r="AI12" s="49" t="s">
        <v>14</v>
      </c>
      <c r="AJ12" s="74">
        <f>'Beam Estimating V1.1 (721.7.23)'!AJ10</f>
        <v>12</v>
      </c>
      <c r="AK12" s="99" t="s">
        <v>3</v>
      </c>
      <c r="AL12" s="99"/>
      <c r="AM12" s="49">
        <f>AO4*(AO7+AL7/12)</f>
        <v>11</v>
      </c>
      <c r="AN12" s="72">
        <f>AP4</f>
        <v>16</v>
      </c>
      <c r="AO12" s="73">
        <f>AM12*AN12*AN12/533</f>
        <v>5.2833020637898684</v>
      </c>
      <c r="AP12" s="49" t="s">
        <v>14</v>
      </c>
      <c r="AQ12" s="74">
        <f>'Beam Estimating V1.1 (721.7.23)'!AQ10</f>
        <v>12</v>
      </c>
      <c r="AR12" s="99" t="s">
        <v>3</v>
      </c>
      <c r="AS12" s="99"/>
      <c r="AT12" s="49">
        <f>AV4*(AV7+AS7/12)</f>
        <v>11</v>
      </c>
      <c r="AU12" s="72">
        <f>AW4</f>
        <v>16</v>
      </c>
      <c r="AV12" s="73">
        <f>AT12*AU12*AU12/533</f>
        <v>5.2833020637898684</v>
      </c>
      <c r="AW12" s="49" t="s">
        <v>14</v>
      </c>
      <c r="AX12" s="74">
        <f>'Beam Estimating V1.1 (721.7.23)'!AX10</f>
        <v>12</v>
      </c>
      <c r="AY12" s="99" t="s">
        <v>3</v>
      </c>
      <c r="AZ12" s="99"/>
      <c r="BA12" s="49">
        <f>BC4*(BC7+AZ7/12)</f>
        <v>11</v>
      </c>
      <c r="BB12" s="72">
        <f>BD4</f>
        <v>16</v>
      </c>
      <c r="BC12" s="73">
        <f>BA12*BB12*BB12/533</f>
        <v>5.2833020637898684</v>
      </c>
      <c r="BD12" s="49" t="s">
        <v>14</v>
      </c>
      <c r="BE12" s="74">
        <f>'Beam Estimating V1.1 (721.7.23)'!BE10</f>
        <v>12</v>
      </c>
      <c r="BF12" s="99" t="s">
        <v>3</v>
      </c>
      <c r="BG12" s="99"/>
      <c r="BH12" s="49">
        <f>BJ4*(BJ7+BG7/12)</f>
        <v>11</v>
      </c>
      <c r="BI12" s="72">
        <f>BK4</f>
        <v>16</v>
      </c>
      <c r="BJ12" s="73">
        <f>BH12*BI12*BI12/533</f>
        <v>5.2833020637898684</v>
      </c>
      <c r="BK12" s="49" t="s">
        <v>14</v>
      </c>
      <c r="BL12" s="74">
        <f>'Beam Estimating V1.1 (721.7.23)'!BL10</f>
        <v>12</v>
      </c>
      <c r="BM12" s="99" t="s">
        <v>3</v>
      </c>
      <c r="BN12" s="99"/>
      <c r="BO12" s="49">
        <f>BQ4*(BQ7+BN7/12)</f>
        <v>11</v>
      </c>
      <c r="BP12" s="72">
        <f>BR4</f>
        <v>16</v>
      </c>
      <c r="BQ12" s="73">
        <f>BO12*BP12*BP12/533</f>
        <v>5.2833020637898684</v>
      </c>
      <c r="BR12" s="49" t="s">
        <v>14</v>
      </c>
      <c r="BS12" s="74">
        <f>'Beam Estimating V1.1 (721.7.23)'!BS10</f>
        <v>12</v>
      </c>
      <c r="BT12" s="99" t="s">
        <v>3</v>
      </c>
      <c r="BU12" s="99"/>
      <c r="BV12" s="49">
        <f>BX4*(BX7+BU7/12)</f>
        <v>11</v>
      </c>
      <c r="BW12" s="72">
        <f>BY4</f>
        <v>16</v>
      </c>
      <c r="BX12" s="73">
        <f>BV12*BW12*BW12/533</f>
        <v>5.2833020637898684</v>
      </c>
      <c r="BY12" s="49" t="s">
        <v>14</v>
      </c>
      <c r="BZ12" s="74">
        <f>'Beam Estimating V1.1 (721.7.23)'!BZ10</f>
        <v>12</v>
      </c>
      <c r="CA12" s="99" t="s">
        <v>3</v>
      </c>
      <c r="CB12" s="99"/>
      <c r="CC12" s="49">
        <f>CE4*(CE7+CB7/12)</f>
        <v>11</v>
      </c>
      <c r="CD12" s="72">
        <f>CF4</f>
        <v>16</v>
      </c>
      <c r="CE12" s="73">
        <f>CC12*CD12*CD12/533</f>
        <v>5.2833020637898684</v>
      </c>
      <c r="CF12" s="49" t="s">
        <v>14</v>
      </c>
      <c r="CG12" s="74">
        <f>'Beam Estimating V1.1 (721.7.23)'!CG10</f>
        <v>12</v>
      </c>
    </row>
    <row r="13" spans="2:87" x14ac:dyDescent="0.25">
      <c r="B13" s="99" t="s">
        <v>3</v>
      </c>
      <c r="C13" s="99"/>
      <c r="D13" s="71">
        <f>F5*(F7+(12*G5/304.8)+MAX((8*G5/304.8),0.5,($E$2*G5/304.8)))</f>
        <v>23.433525787401372</v>
      </c>
      <c r="E13" s="72">
        <f>G5</f>
        <v>16</v>
      </c>
      <c r="F13" s="73">
        <f t="shared" ref="F13:F21" si="0">D13*E13*E13/533</f>
        <v>11.255126832222798</v>
      </c>
      <c r="G13" s="49" t="s">
        <v>15</v>
      </c>
      <c r="H13" s="74">
        <f>'Beam Estimating V1.1 (721.7.23)'!H11</f>
        <v>12</v>
      </c>
      <c r="I13" s="99" t="s">
        <v>3</v>
      </c>
      <c r="J13" s="99"/>
      <c r="K13" s="49">
        <f>M5*(M7+J7/12)</f>
        <v>22</v>
      </c>
      <c r="L13" s="72">
        <f>N5</f>
        <v>16</v>
      </c>
      <c r="M13" s="73">
        <f t="shared" ref="M13:M21" si="1">K13*L13*L13/533</f>
        <v>10.566604127579737</v>
      </c>
      <c r="N13" s="49" t="s">
        <v>15</v>
      </c>
      <c r="O13" s="74">
        <f>'Beam Estimating V1.1 (721.7.23)'!O11</f>
        <v>12</v>
      </c>
      <c r="P13" s="99" t="s">
        <v>3</v>
      </c>
      <c r="Q13" s="99"/>
      <c r="R13" s="49">
        <f>T5*(T7+Q7/12)</f>
        <v>22</v>
      </c>
      <c r="S13" s="72">
        <f>U5</f>
        <v>16</v>
      </c>
      <c r="T13" s="73">
        <f t="shared" ref="T13:T21" si="2">R13*S13*S13/533</f>
        <v>10.566604127579737</v>
      </c>
      <c r="U13" s="49" t="s">
        <v>15</v>
      </c>
      <c r="V13" s="74">
        <f>'Beam Estimating V1.1 (721.7.23)'!V11</f>
        <v>12</v>
      </c>
      <c r="W13" s="99" t="s">
        <v>3</v>
      </c>
      <c r="X13" s="99"/>
      <c r="Y13" s="49">
        <f>AA5*(AA7+X7/12)</f>
        <v>22</v>
      </c>
      <c r="Z13" s="72">
        <f>AB5</f>
        <v>16</v>
      </c>
      <c r="AA13" s="73">
        <f t="shared" ref="AA13:AA21" si="3">Y13*Z13*Z13/533</f>
        <v>10.566604127579737</v>
      </c>
      <c r="AB13" s="49" t="s">
        <v>15</v>
      </c>
      <c r="AC13" s="74">
        <f>'Beam Estimating V1.1 (721.7.23)'!AC11</f>
        <v>12</v>
      </c>
      <c r="AD13" s="99" t="s">
        <v>3</v>
      </c>
      <c r="AE13" s="99"/>
      <c r="AF13" s="49">
        <f>AH5*(AH7+AE7/12)</f>
        <v>22</v>
      </c>
      <c r="AG13" s="72">
        <f>AI5</f>
        <v>16</v>
      </c>
      <c r="AH13" s="73">
        <f t="shared" ref="AH13:AH21" si="4">AF13*AG13*AG13/533</f>
        <v>10.566604127579737</v>
      </c>
      <c r="AI13" s="49" t="s">
        <v>15</v>
      </c>
      <c r="AJ13" s="74">
        <f>'Beam Estimating V1.1 (721.7.23)'!AJ11</f>
        <v>12</v>
      </c>
      <c r="AK13" s="99" t="s">
        <v>3</v>
      </c>
      <c r="AL13" s="99"/>
      <c r="AM13" s="49">
        <f>AO5*(AO7+AL7/12)</f>
        <v>22</v>
      </c>
      <c r="AN13" s="72">
        <f>AP5</f>
        <v>16</v>
      </c>
      <c r="AO13" s="73">
        <f t="shared" ref="AO13:AO21" si="5">AM13*AN13*AN13/533</f>
        <v>10.566604127579737</v>
      </c>
      <c r="AP13" s="49" t="s">
        <v>15</v>
      </c>
      <c r="AQ13" s="74">
        <f>'Beam Estimating V1.1 (721.7.23)'!AQ11</f>
        <v>12</v>
      </c>
      <c r="AR13" s="99" t="s">
        <v>3</v>
      </c>
      <c r="AS13" s="99"/>
      <c r="AT13" s="49">
        <f>AV5*(AV7+AS7/12)</f>
        <v>22</v>
      </c>
      <c r="AU13" s="72">
        <f>AW5</f>
        <v>16</v>
      </c>
      <c r="AV13" s="73">
        <f t="shared" ref="AV13:AV21" si="6">AT13*AU13*AU13/533</f>
        <v>10.566604127579737</v>
      </c>
      <c r="AW13" s="49" t="s">
        <v>15</v>
      </c>
      <c r="AX13" s="74">
        <f>'Beam Estimating V1.1 (721.7.23)'!AX11</f>
        <v>12</v>
      </c>
      <c r="AY13" s="99" t="s">
        <v>3</v>
      </c>
      <c r="AZ13" s="99"/>
      <c r="BA13" s="49">
        <f>BC5*(BC7+AZ7/12)</f>
        <v>22</v>
      </c>
      <c r="BB13" s="72">
        <f>BD5</f>
        <v>16</v>
      </c>
      <c r="BC13" s="73">
        <f t="shared" ref="BC13:BC21" si="7">BA13*BB13*BB13/533</f>
        <v>10.566604127579737</v>
      </c>
      <c r="BD13" s="49" t="s">
        <v>15</v>
      </c>
      <c r="BE13" s="74">
        <f>'Beam Estimating V1.1 (721.7.23)'!BE11</f>
        <v>12</v>
      </c>
      <c r="BF13" s="99" t="s">
        <v>3</v>
      </c>
      <c r="BG13" s="99"/>
      <c r="BH13" s="49">
        <f>BJ5*(BJ7+BG7/12)</f>
        <v>22</v>
      </c>
      <c r="BI13" s="72">
        <f>BK5</f>
        <v>16</v>
      </c>
      <c r="BJ13" s="73">
        <f t="shared" ref="BJ13:BJ21" si="8">BH13*BI13*BI13/533</f>
        <v>10.566604127579737</v>
      </c>
      <c r="BK13" s="49" t="s">
        <v>15</v>
      </c>
      <c r="BL13" s="74">
        <f>'Beam Estimating V1.1 (721.7.23)'!BL11</f>
        <v>12</v>
      </c>
      <c r="BM13" s="99" t="s">
        <v>3</v>
      </c>
      <c r="BN13" s="99"/>
      <c r="BO13" s="49">
        <f>BQ5*(BQ7+BN7/12)</f>
        <v>22</v>
      </c>
      <c r="BP13" s="72">
        <f>BR5</f>
        <v>16</v>
      </c>
      <c r="BQ13" s="73">
        <f t="shared" ref="BQ13:BQ21" si="9">BO13*BP13*BP13/533</f>
        <v>10.566604127579737</v>
      </c>
      <c r="BR13" s="49" t="s">
        <v>15</v>
      </c>
      <c r="BS13" s="74">
        <f>'Beam Estimating V1.1 (721.7.23)'!BS11</f>
        <v>12</v>
      </c>
      <c r="BT13" s="99" t="s">
        <v>3</v>
      </c>
      <c r="BU13" s="99"/>
      <c r="BV13" s="49">
        <f>BX5*(BX7+BU7/12)</f>
        <v>22</v>
      </c>
      <c r="BW13" s="72">
        <f>BY5</f>
        <v>16</v>
      </c>
      <c r="BX13" s="73">
        <f t="shared" ref="BX13:BX21" si="10">BV13*BW13*BW13/533</f>
        <v>10.566604127579737</v>
      </c>
      <c r="BY13" s="49" t="s">
        <v>15</v>
      </c>
      <c r="BZ13" s="74">
        <f>'Beam Estimating V1.1 (721.7.23)'!BZ11</f>
        <v>12</v>
      </c>
      <c r="CA13" s="99" t="s">
        <v>3</v>
      </c>
      <c r="CB13" s="99"/>
      <c r="CC13" s="49">
        <f>CE5*(CE7+CB7/12)</f>
        <v>22</v>
      </c>
      <c r="CD13" s="72">
        <f>CF5</f>
        <v>16</v>
      </c>
      <c r="CE13" s="73">
        <f t="shared" ref="CE13:CE21" si="11">CC13*CD13*CD13/533</f>
        <v>10.566604127579737</v>
      </c>
      <c r="CF13" s="49" t="s">
        <v>15</v>
      </c>
      <c r="CG13" s="74">
        <f>'Beam Estimating V1.1 (721.7.23)'!CG11</f>
        <v>12</v>
      </c>
    </row>
    <row r="14" spans="2:87" x14ac:dyDescent="0.25">
      <c r="B14" s="99" t="s">
        <v>4</v>
      </c>
      <c r="C14" s="99"/>
      <c r="D14" s="71">
        <f>D7*(F7+(12*E7/304.8)+MAX((8*E7/304.8),0.5,($E$2*E7/304.8)))</f>
        <v>23.433525787401372</v>
      </c>
      <c r="E14" s="72">
        <f>E7</f>
        <v>16</v>
      </c>
      <c r="F14" s="73">
        <f t="shared" si="0"/>
        <v>11.255126832222798</v>
      </c>
      <c r="G14" s="49" t="s">
        <v>0</v>
      </c>
      <c r="H14" s="74">
        <f>'Beam Estimating V1.1 (721.7.23)'!H12</f>
        <v>29</v>
      </c>
      <c r="I14" s="99" t="s">
        <v>4</v>
      </c>
      <c r="J14" s="99"/>
      <c r="K14" s="49">
        <f>K7*(M7+J7/12)</f>
        <v>22</v>
      </c>
      <c r="L14" s="72">
        <f>L7</f>
        <v>16</v>
      </c>
      <c r="M14" s="73">
        <f t="shared" si="1"/>
        <v>10.566604127579737</v>
      </c>
      <c r="N14" s="49" t="s">
        <v>0</v>
      </c>
      <c r="O14" s="74">
        <f>'Beam Estimating V1.1 (721.7.23)'!O12</f>
        <v>28</v>
      </c>
      <c r="P14" s="99" t="s">
        <v>4</v>
      </c>
      <c r="Q14" s="99"/>
      <c r="R14" s="49">
        <f>R7*(T7+Q7/12)</f>
        <v>22</v>
      </c>
      <c r="S14" s="72">
        <f>S7</f>
        <v>16</v>
      </c>
      <c r="T14" s="73">
        <f t="shared" si="2"/>
        <v>10.566604127579737</v>
      </c>
      <c r="U14" s="49" t="s">
        <v>0</v>
      </c>
      <c r="V14" s="74">
        <f>'Beam Estimating V1.1 (721.7.23)'!V12</f>
        <v>32</v>
      </c>
      <c r="W14" s="99" t="s">
        <v>4</v>
      </c>
      <c r="X14" s="99"/>
      <c r="Y14" s="49">
        <f>Y7*(AA7+X7/12)</f>
        <v>0</v>
      </c>
      <c r="Z14" s="72">
        <f>Z7</f>
        <v>16</v>
      </c>
      <c r="AA14" s="73">
        <f t="shared" si="3"/>
        <v>0</v>
      </c>
      <c r="AB14" s="49" t="s">
        <v>0</v>
      </c>
      <c r="AC14" s="74">
        <f>'Beam Estimating V1.1 (721.7.23)'!AC12</f>
        <v>10</v>
      </c>
      <c r="AD14" s="99" t="s">
        <v>4</v>
      </c>
      <c r="AE14" s="99"/>
      <c r="AF14" s="49">
        <f>AF7*(AH7+AE7/12)</f>
        <v>22</v>
      </c>
      <c r="AG14" s="72">
        <f>AG7</f>
        <v>16</v>
      </c>
      <c r="AH14" s="73">
        <f t="shared" si="4"/>
        <v>10.566604127579737</v>
      </c>
      <c r="AI14" s="49" t="s">
        <v>0</v>
      </c>
      <c r="AJ14" s="74">
        <f>'Beam Estimating V1.1 (721.7.23)'!AJ12</f>
        <v>10</v>
      </c>
      <c r="AK14" s="99" t="s">
        <v>4</v>
      </c>
      <c r="AL14" s="99"/>
      <c r="AM14" s="49">
        <f>AM7*(AO7+AL7/12)</f>
        <v>22</v>
      </c>
      <c r="AN14" s="72">
        <f>AN7</f>
        <v>16</v>
      </c>
      <c r="AO14" s="73">
        <f t="shared" si="5"/>
        <v>10.566604127579737</v>
      </c>
      <c r="AP14" s="49" t="s">
        <v>0</v>
      </c>
      <c r="AQ14" s="74">
        <f>'Beam Estimating V1.1 (721.7.23)'!AQ12</f>
        <v>10</v>
      </c>
      <c r="AR14" s="99" t="s">
        <v>4</v>
      </c>
      <c r="AS14" s="99"/>
      <c r="AT14" s="49">
        <f>AT7*(AV7+AS7/12)</f>
        <v>22</v>
      </c>
      <c r="AU14" s="72">
        <f>AU7</f>
        <v>16</v>
      </c>
      <c r="AV14" s="73">
        <f t="shared" si="6"/>
        <v>10.566604127579737</v>
      </c>
      <c r="AW14" s="49" t="s">
        <v>0</v>
      </c>
      <c r="AX14" s="74">
        <f>'Beam Estimating V1.1 (721.7.23)'!AX12</f>
        <v>10</v>
      </c>
      <c r="AY14" s="99" t="s">
        <v>4</v>
      </c>
      <c r="AZ14" s="99"/>
      <c r="BA14" s="49">
        <f>BA7*(BC7+AZ7/12)</f>
        <v>22</v>
      </c>
      <c r="BB14" s="72">
        <f>BB7</f>
        <v>16</v>
      </c>
      <c r="BC14" s="73">
        <f t="shared" si="7"/>
        <v>10.566604127579737</v>
      </c>
      <c r="BD14" s="49" t="s">
        <v>0</v>
      </c>
      <c r="BE14" s="74">
        <f>'Beam Estimating V1.1 (721.7.23)'!BE12</f>
        <v>10</v>
      </c>
      <c r="BF14" s="99" t="s">
        <v>4</v>
      </c>
      <c r="BG14" s="99"/>
      <c r="BH14" s="49">
        <f>BH7*(BJ7+BG7/12)</f>
        <v>22</v>
      </c>
      <c r="BI14" s="72">
        <f>BI7</f>
        <v>16</v>
      </c>
      <c r="BJ14" s="73">
        <f t="shared" si="8"/>
        <v>10.566604127579737</v>
      </c>
      <c r="BK14" s="49" t="s">
        <v>0</v>
      </c>
      <c r="BL14" s="74">
        <f>'Beam Estimating V1.1 (721.7.23)'!BL12</f>
        <v>10</v>
      </c>
      <c r="BM14" s="99" t="s">
        <v>4</v>
      </c>
      <c r="BN14" s="99"/>
      <c r="BO14" s="49">
        <f>BO7*(BQ7+BN7/12)</f>
        <v>22</v>
      </c>
      <c r="BP14" s="72">
        <f>BP7</f>
        <v>16</v>
      </c>
      <c r="BQ14" s="73">
        <f t="shared" si="9"/>
        <v>10.566604127579737</v>
      </c>
      <c r="BR14" s="49" t="s">
        <v>0</v>
      </c>
      <c r="BS14" s="74">
        <f>'Beam Estimating V1.1 (721.7.23)'!BS12</f>
        <v>10</v>
      </c>
      <c r="BT14" s="99" t="s">
        <v>4</v>
      </c>
      <c r="BU14" s="99"/>
      <c r="BV14" s="49">
        <f>BV7*(BX7+BU7/12)</f>
        <v>22</v>
      </c>
      <c r="BW14" s="72">
        <f>BW7</f>
        <v>16</v>
      </c>
      <c r="BX14" s="73">
        <f t="shared" si="10"/>
        <v>10.566604127579737</v>
      </c>
      <c r="BY14" s="49" t="s">
        <v>0</v>
      </c>
      <c r="BZ14" s="74">
        <f>'Beam Estimating V1.1 (721.7.23)'!BZ12</f>
        <v>10</v>
      </c>
      <c r="CA14" s="99" t="s">
        <v>4</v>
      </c>
      <c r="CB14" s="99"/>
      <c r="CC14" s="49">
        <f>CC7*(CE7+CB7/12)</f>
        <v>22</v>
      </c>
      <c r="CD14" s="72">
        <f>CD7</f>
        <v>16</v>
      </c>
      <c r="CE14" s="73">
        <f t="shared" si="11"/>
        <v>10.566604127579737</v>
      </c>
      <c r="CF14" s="49" t="s">
        <v>0</v>
      </c>
      <c r="CG14" s="74">
        <f>'Beam Estimating V1.1 (721.7.23)'!CG12</f>
        <v>10</v>
      </c>
    </row>
    <row r="15" spans="2:87" x14ac:dyDescent="0.25">
      <c r="B15" s="99" t="s">
        <v>4</v>
      </c>
      <c r="C15" s="99"/>
      <c r="D15" s="71">
        <f>D8*(F7+(12*E8/304.8)+MAX((8*E8/304.8),0.5,($E$2*E8/304.8)))</f>
        <v>22.575144340551027</v>
      </c>
      <c r="E15" s="72">
        <f>E8</f>
        <v>12</v>
      </c>
      <c r="F15" s="73">
        <f t="shared" si="0"/>
        <v>6.0991009100175386</v>
      </c>
      <c r="G15" s="49" t="s">
        <v>2</v>
      </c>
      <c r="H15" s="74">
        <f>'Beam Estimating V1.1 (721.7.23)'!H13</f>
        <v>1.5</v>
      </c>
      <c r="I15" s="99" t="s">
        <v>4</v>
      </c>
      <c r="J15" s="99"/>
      <c r="K15" s="49">
        <f>K8*(M7+J7/12)</f>
        <v>22</v>
      </c>
      <c r="L15" s="72">
        <f>L8</f>
        <v>12</v>
      </c>
      <c r="M15" s="73">
        <f t="shared" si="1"/>
        <v>5.943714821763602</v>
      </c>
      <c r="N15" s="49" t="s">
        <v>2</v>
      </c>
      <c r="O15" s="74">
        <f>'Beam Estimating V1.1 (721.7.23)'!O13</f>
        <v>1.5</v>
      </c>
      <c r="P15" s="99" t="s">
        <v>4</v>
      </c>
      <c r="Q15" s="99"/>
      <c r="R15" s="49">
        <f>R8*(T7+Q7/12)</f>
        <v>22</v>
      </c>
      <c r="S15" s="72">
        <f>S8</f>
        <v>12</v>
      </c>
      <c r="T15" s="73">
        <f t="shared" si="2"/>
        <v>5.943714821763602</v>
      </c>
      <c r="U15" s="49" t="s">
        <v>2</v>
      </c>
      <c r="V15" s="74">
        <f>'Beam Estimating V1.1 (721.7.23)'!V13</f>
        <v>1.5</v>
      </c>
      <c r="W15" s="99" t="s">
        <v>4</v>
      </c>
      <c r="X15" s="99"/>
      <c r="Y15" s="49">
        <f>Y8*(AA7+X7/12)</f>
        <v>0</v>
      </c>
      <c r="Z15" s="72">
        <f>Z8</f>
        <v>16</v>
      </c>
      <c r="AA15" s="73">
        <f t="shared" si="3"/>
        <v>0</v>
      </c>
      <c r="AB15" s="49" t="s">
        <v>2</v>
      </c>
      <c r="AC15" s="74">
        <f>'Beam Estimating V1.1 (721.7.23)'!AC13</f>
        <v>1.5</v>
      </c>
      <c r="AD15" s="99" t="s">
        <v>4</v>
      </c>
      <c r="AE15" s="99"/>
      <c r="AF15" s="49">
        <f>AF8*(AH7+AE7/12)</f>
        <v>11</v>
      </c>
      <c r="AG15" s="72">
        <f>AG8</f>
        <v>16</v>
      </c>
      <c r="AH15" s="73">
        <f t="shared" si="4"/>
        <v>5.2833020637898684</v>
      </c>
      <c r="AI15" s="49" t="s">
        <v>2</v>
      </c>
      <c r="AJ15" s="74">
        <f>'Beam Estimating V1.1 (721.7.23)'!AJ13</f>
        <v>1.5</v>
      </c>
      <c r="AK15" s="99" t="s">
        <v>4</v>
      </c>
      <c r="AL15" s="99"/>
      <c r="AM15" s="49">
        <f>AM8*(AO7+AL7/12)</f>
        <v>11</v>
      </c>
      <c r="AN15" s="72">
        <f>AN8</f>
        <v>16</v>
      </c>
      <c r="AO15" s="73">
        <f t="shared" si="5"/>
        <v>5.2833020637898684</v>
      </c>
      <c r="AP15" s="49" t="s">
        <v>2</v>
      </c>
      <c r="AQ15" s="74">
        <f>'Beam Estimating V1.1 (721.7.23)'!AQ13</f>
        <v>1.5</v>
      </c>
      <c r="AR15" s="99" t="s">
        <v>4</v>
      </c>
      <c r="AS15" s="99"/>
      <c r="AT15" s="49">
        <f>AT8*(AV7+AS7/12)</f>
        <v>11</v>
      </c>
      <c r="AU15" s="72">
        <f>AU8</f>
        <v>16</v>
      </c>
      <c r="AV15" s="73">
        <f t="shared" si="6"/>
        <v>5.2833020637898684</v>
      </c>
      <c r="AW15" s="49" t="s">
        <v>2</v>
      </c>
      <c r="AX15" s="74">
        <f>'Beam Estimating V1.1 (721.7.23)'!AX13</f>
        <v>1.5</v>
      </c>
      <c r="AY15" s="99" t="s">
        <v>4</v>
      </c>
      <c r="AZ15" s="99"/>
      <c r="BA15" s="49">
        <f>BA8*(BC7+AZ7/12)</f>
        <v>11</v>
      </c>
      <c r="BB15" s="72">
        <f>BB8</f>
        <v>16</v>
      </c>
      <c r="BC15" s="73">
        <f t="shared" si="7"/>
        <v>5.2833020637898684</v>
      </c>
      <c r="BD15" s="49" t="s">
        <v>2</v>
      </c>
      <c r="BE15" s="74">
        <f>'Beam Estimating V1.1 (721.7.23)'!BE13</f>
        <v>1.5</v>
      </c>
      <c r="BF15" s="99" t="s">
        <v>4</v>
      </c>
      <c r="BG15" s="99"/>
      <c r="BH15" s="49">
        <f>BH8*(BJ7+BG7/12)</f>
        <v>11</v>
      </c>
      <c r="BI15" s="72">
        <f>BI8</f>
        <v>16</v>
      </c>
      <c r="BJ15" s="73">
        <f t="shared" si="8"/>
        <v>5.2833020637898684</v>
      </c>
      <c r="BK15" s="49" t="s">
        <v>2</v>
      </c>
      <c r="BL15" s="74">
        <f>'Beam Estimating V1.1 (721.7.23)'!BL13</f>
        <v>1.5</v>
      </c>
      <c r="BM15" s="99" t="s">
        <v>4</v>
      </c>
      <c r="BN15" s="99"/>
      <c r="BO15" s="49">
        <f>BO8*(BQ7+BN7/12)</f>
        <v>11</v>
      </c>
      <c r="BP15" s="72">
        <f>BP8</f>
        <v>16</v>
      </c>
      <c r="BQ15" s="73">
        <f t="shared" si="9"/>
        <v>5.2833020637898684</v>
      </c>
      <c r="BR15" s="49" t="s">
        <v>2</v>
      </c>
      <c r="BS15" s="74">
        <f>'Beam Estimating V1.1 (721.7.23)'!BS13</f>
        <v>1.5</v>
      </c>
      <c r="BT15" s="99" t="s">
        <v>4</v>
      </c>
      <c r="BU15" s="99"/>
      <c r="BV15" s="49">
        <f>BV8*(BX7+BU7/12)</f>
        <v>11</v>
      </c>
      <c r="BW15" s="72">
        <f>BW8</f>
        <v>16</v>
      </c>
      <c r="BX15" s="73">
        <f t="shared" si="10"/>
        <v>5.2833020637898684</v>
      </c>
      <c r="BY15" s="49" t="s">
        <v>2</v>
      </c>
      <c r="BZ15" s="74">
        <f>'Beam Estimating V1.1 (721.7.23)'!BZ13</f>
        <v>1.5</v>
      </c>
      <c r="CA15" s="99" t="s">
        <v>4</v>
      </c>
      <c r="CB15" s="99"/>
      <c r="CC15" s="49">
        <f>CC8*(CE7+CB7/12)</f>
        <v>11</v>
      </c>
      <c r="CD15" s="72">
        <f>CD8</f>
        <v>16</v>
      </c>
      <c r="CE15" s="73">
        <f t="shared" si="11"/>
        <v>5.2833020637898684</v>
      </c>
      <c r="CF15" s="49" t="s">
        <v>2</v>
      </c>
      <c r="CG15" s="74">
        <f>'Beam Estimating V1.1 (721.7.23)'!CG13</f>
        <v>1.5</v>
      </c>
    </row>
    <row r="16" spans="2:87" x14ac:dyDescent="0.25">
      <c r="B16" s="99" t="s">
        <v>5</v>
      </c>
      <c r="C16" s="99"/>
      <c r="D16" s="71">
        <f>D4*((F7/4)+(6*E4/(25.4*12))+(12*E4/304.8)+MAX((8*E4/304.8),0.5,($E$2*E4/304.8)))</f>
        <v>0</v>
      </c>
      <c r="E16" s="72">
        <f>E4</f>
        <v>10</v>
      </c>
      <c r="F16" s="73">
        <f t="shared" si="0"/>
        <v>0</v>
      </c>
      <c r="G16" s="49" t="s">
        <v>16</v>
      </c>
      <c r="H16" s="74">
        <f>'Beam Estimating V1.1 (721.7.23)'!H14</f>
        <v>10</v>
      </c>
      <c r="I16" s="99" t="s">
        <v>5</v>
      </c>
      <c r="J16" s="99"/>
      <c r="K16" s="71">
        <f>K4*((M7/3)+(6*L4/(25.4*12))+(J7/12))</f>
        <v>0</v>
      </c>
      <c r="L16" s="72">
        <f>L4</f>
        <v>16</v>
      </c>
      <c r="M16" s="73">
        <f t="shared" si="1"/>
        <v>0</v>
      </c>
      <c r="N16" s="49" t="s">
        <v>16</v>
      </c>
      <c r="O16" s="74">
        <f>'Beam Estimating V1.1 (721.7.23)'!O14</f>
        <v>10</v>
      </c>
      <c r="P16" s="99" t="s">
        <v>5</v>
      </c>
      <c r="Q16" s="99"/>
      <c r="R16" s="71">
        <f>R4*((T7/3)+(6*S4/(25.4*12))+(Q7/12))</f>
        <v>0</v>
      </c>
      <c r="S16" s="72">
        <f>S4</f>
        <v>16</v>
      </c>
      <c r="T16" s="73">
        <f t="shared" si="2"/>
        <v>0</v>
      </c>
      <c r="U16" s="49" t="s">
        <v>16</v>
      </c>
      <c r="V16" s="74">
        <f>'Beam Estimating V1.1 (721.7.23)'!V14</f>
        <v>10</v>
      </c>
      <c r="W16" s="99" t="s">
        <v>5</v>
      </c>
      <c r="X16" s="99"/>
      <c r="Y16" s="71">
        <f>Y4*((AA7/3)+(6*Z4/(25.4*12))+(X7/12))</f>
        <v>0</v>
      </c>
      <c r="Z16" s="72">
        <f>Z4</f>
        <v>16</v>
      </c>
      <c r="AA16" s="73">
        <f t="shared" si="3"/>
        <v>0</v>
      </c>
      <c r="AB16" s="49" t="s">
        <v>16</v>
      </c>
      <c r="AC16" s="74">
        <f>'Beam Estimating V1.1 (721.7.23)'!AC14</f>
        <v>10</v>
      </c>
      <c r="AD16" s="99" t="s">
        <v>5</v>
      </c>
      <c r="AE16" s="99"/>
      <c r="AF16" s="71">
        <f>AF4*((AH7/3)+(6*AG4/(25.4*12))+(AE7/12))</f>
        <v>4.6482939632545932</v>
      </c>
      <c r="AG16" s="72">
        <f>AG4</f>
        <v>16</v>
      </c>
      <c r="AH16" s="73">
        <f t="shared" si="4"/>
        <v>2.232576462651362</v>
      </c>
      <c r="AI16" s="49" t="s">
        <v>16</v>
      </c>
      <c r="AJ16" s="74">
        <f>'Beam Estimating V1.1 (721.7.23)'!AJ14</f>
        <v>10</v>
      </c>
      <c r="AK16" s="99" t="s">
        <v>5</v>
      </c>
      <c r="AL16" s="99"/>
      <c r="AM16" s="71">
        <f>AM4*((AO7/3)+(6*AN4/(25.4*12))+(AL7/12))</f>
        <v>4.6482939632545932</v>
      </c>
      <c r="AN16" s="72">
        <f>AN4</f>
        <v>16</v>
      </c>
      <c r="AO16" s="73">
        <f t="shared" si="5"/>
        <v>2.232576462651362</v>
      </c>
      <c r="AP16" s="49" t="s">
        <v>16</v>
      </c>
      <c r="AQ16" s="74">
        <f>'Beam Estimating V1.1 (721.7.23)'!AQ14</f>
        <v>10</v>
      </c>
      <c r="AR16" s="99" t="s">
        <v>5</v>
      </c>
      <c r="AS16" s="99"/>
      <c r="AT16" s="71">
        <f>AT4*((AV7/3)+(6*AU4/(25.4*12))+(AS7/12))</f>
        <v>4.6482939632545932</v>
      </c>
      <c r="AU16" s="72">
        <f>AU4</f>
        <v>16</v>
      </c>
      <c r="AV16" s="73">
        <f t="shared" si="6"/>
        <v>2.232576462651362</v>
      </c>
      <c r="AW16" s="49" t="s">
        <v>16</v>
      </c>
      <c r="AX16" s="74">
        <f>'Beam Estimating V1.1 (721.7.23)'!AX14</f>
        <v>10</v>
      </c>
      <c r="AY16" s="99" t="s">
        <v>5</v>
      </c>
      <c r="AZ16" s="99"/>
      <c r="BA16" s="71">
        <f>BA4*((BC7/3)+(6*BB4/(25.4*12))+(AZ7/12))</f>
        <v>4.6482939632545932</v>
      </c>
      <c r="BB16" s="72">
        <f>BB4</f>
        <v>16</v>
      </c>
      <c r="BC16" s="73">
        <f t="shared" si="7"/>
        <v>2.232576462651362</v>
      </c>
      <c r="BD16" s="49" t="s">
        <v>16</v>
      </c>
      <c r="BE16" s="74">
        <f>'Beam Estimating V1.1 (721.7.23)'!BE14</f>
        <v>10</v>
      </c>
      <c r="BF16" s="99" t="s">
        <v>5</v>
      </c>
      <c r="BG16" s="99"/>
      <c r="BH16" s="71">
        <f>BH4*((BJ7/3)+(6*BI4/(25.4*12))+(BG7/12))</f>
        <v>4.6482939632545932</v>
      </c>
      <c r="BI16" s="72">
        <f>BI4</f>
        <v>16</v>
      </c>
      <c r="BJ16" s="73">
        <f t="shared" si="8"/>
        <v>2.232576462651362</v>
      </c>
      <c r="BK16" s="49" t="s">
        <v>16</v>
      </c>
      <c r="BL16" s="74">
        <f>'Beam Estimating V1.1 (721.7.23)'!BL14</f>
        <v>10</v>
      </c>
      <c r="BM16" s="99" t="s">
        <v>5</v>
      </c>
      <c r="BN16" s="99"/>
      <c r="BO16" s="71">
        <f>BO4*((BQ7/3)+(6*BP4/(25.4*12))+(BN7/12))</f>
        <v>4.6482939632545932</v>
      </c>
      <c r="BP16" s="72">
        <f>BP4</f>
        <v>16</v>
      </c>
      <c r="BQ16" s="73">
        <f t="shared" si="9"/>
        <v>2.232576462651362</v>
      </c>
      <c r="BR16" s="49" t="s">
        <v>16</v>
      </c>
      <c r="BS16" s="74">
        <f>'Beam Estimating V1.1 (721.7.23)'!BS14</f>
        <v>10</v>
      </c>
      <c r="BT16" s="99" t="s">
        <v>5</v>
      </c>
      <c r="BU16" s="99"/>
      <c r="BV16" s="71">
        <f>BV4*((BX7/3)+(6*BW4/(25.4*12))+(BU7/12))</f>
        <v>4.6482939632545932</v>
      </c>
      <c r="BW16" s="72">
        <f>BW4</f>
        <v>16</v>
      </c>
      <c r="BX16" s="73">
        <f t="shared" si="10"/>
        <v>2.232576462651362</v>
      </c>
      <c r="BY16" s="49" t="s">
        <v>16</v>
      </c>
      <c r="BZ16" s="74">
        <f>'Beam Estimating V1.1 (721.7.23)'!BZ14</f>
        <v>10</v>
      </c>
      <c r="CA16" s="99" t="s">
        <v>5</v>
      </c>
      <c r="CB16" s="99"/>
      <c r="CC16" s="71">
        <f>CC4*((CE7/3)+(6*CD4/(25.4*12))+(CB7/12))</f>
        <v>4.6482939632545932</v>
      </c>
      <c r="CD16" s="72">
        <f>CD4</f>
        <v>16</v>
      </c>
      <c r="CE16" s="73">
        <f t="shared" si="11"/>
        <v>2.232576462651362</v>
      </c>
      <c r="CF16" s="49" t="s">
        <v>16</v>
      </c>
      <c r="CG16" s="74">
        <f>'Beam Estimating V1.1 (721.7.23)'!CG14</f>
        <v>10</v>
      </c>
    </row>
    <row r="17" spans="2:91" x14ac:dyDescent="0.25">
      <c r="B17" s="99" t="s">
        <v>5</v>
      </c>
      <c r="C17" s="99"/>
      <c r="D17" s="71">
        <f>D5*((F7/4)+(6*E5/(25.4*12))+(12*E5/304.8)+MAX((8*E5/304.8),0.5,($E$2*E5/304.8)))</f>
        <v>4.5317235236219453</v>
      </c>
      <c r="E17" s="72">
        <f>E5</f>
        <v>16</v>
      </c>
      <c r="F17" s="73">
        <f t="shared" si="0"/>
        <v>2.1765876586251744</v>
      </c>
      <c r="G17" s="75"/>
      <c r="H17" s="74"/>
      <c r="I17" s="99" t="s">
        <v>5</v>
      </c>
      <c r="J17" s="99"/>
      <c r="K17" s="71">
        <f>K5*((M7/3)+(6*L5/(25.4*12))+(J7/12))</f>
        <v>4.6482939632545932</v>
      </c>
      <c r="L17" s="72">
        <f>L5</f>
        <v>16</v>
      </c>
      <c r="M17" s="73">
        <f t="shared" si="1"/>
        <v>2.232576462651362</v>
      </c>
      <c r="N17" s="75"/>
      <c r="O17" s="74"/>
      <c r="P17" s="99" t="s">
        <v>5</v>
      </c>
      <c r="Q17" s="99"/>
      <c r="R17" s="71">
        <f>R5*((T7/3)+(6*S5/(25.4*12))+(Q7/12))</f>
        <v>4.6482939632545932</v>
      </c>
      <c r="S17" s="72">
        <f>S5</f>
        <v>16</v>
      </c>
      <c r="T17" s="73">
        <f t="shared" si="2"/>
        <v>2.232576462651362</v>
      </c>
      <c r="U17" s="75"/>
      <c r="V17" s="74"/>
      <c r="W17" s="99" t="s">
        <v>5</v>
      </c>
      <c r="X17" s="99"/>
      <c r="Y17" s="71">
        <f>Y5*((AA7/3)+(6*Z5/(25.4*12))+(X7/12))</f>
        <v>0</v>
      </c>
      <c r="Z17" s="72">
        <f>Z5</f>
        <v>16</v>
      </c>
      <c r="AA17" s="73">
        <f t="shared" si="3"/>
        <v>0</v>
      </c>
      <c r="AB17" s="75"/>
      <c r="AC17" s="74"/>
      <c r="AD17" s="99" t="s">
        <v>5</v>
      </c>
      <c r="AE17" s="99"/>
      <c r="AF17" s="71">
        <f>AF5*((AH7/3)+(6*AG5/(25.4*12))+(AE7/12))</f>
        <v>9.2965879265091864</v>
      </c>
      <c r="AG17" s="72">
        <f>AG5</f>
        <v>16</v>
      </c>
      <c r="AH17" s="73">
        <f t="shared" si="4"/>
        <v>4.465152925302724</v>
      </c>
      <c r="AI17" s="75"/>
      <c r="AJ17" s="74"/>
      <c r="AK17" s="99" t="s">
        <v>5</v>
      </c>
      <c r="AL17" s="99"/>
      <c r="AM17" s="71">
        <f>AM5*((AO7/3)+(6*AN5/(25.4*12))+(AL7/12))</f>
        <v>9.2965879265091864</v>
      </c>
      <c r="AN17" s="72">
        <f>AN5</f>
        <v>16</v>
      </c>
      <c r="AO17" s="73">
        <f t="shared" si="5"/>
        <v>4.465152925302724</v>
      </c>
      <c r="AP17" s="75"/>
      <c r="AQ17" s="74"/>
      <c r="AR17" s="99" t="s">
        <v>5</v>
      </c>
      <c r="AS17" s="99"/>
      <c r="AT17" s="71">
        <f>AT5*((AV7/3)+(6*AU5/(25.4*12))+(AS7/12))</f>
        <v>9.2965879265091864</v>
      </c>
      <c r="AU17" s="72">
        <f>AU5</f>
        <v>16</v>
      </c>
      <c r="AV17" s="73">
        <f t="shared" si="6"/>
        <v>4.465152925302724</v>
      </c>
      <c r="AW17" s="75"/>
      <c r="AX17" s="74"/>
      <c r="AY17" s="99" t="s">
        <v>5</v>
      </c>
      <c r="AZ17" s="99"/>
      <c r="BA17" s="71">
        <f>BA5*((BC7/3)+(6*BB5/(25.4*12))+(AZ7/12))</f>
        <v>9.2965879265091864</v>
      </c>
      <c r="BB17" s="72">
        <f>BB5</f>
        <v>16</v>
      </c>
      <c r="BC17" s="73">
        <f t="shared" si="7"/>
        <v>4.465152925302724</v>
      </c>
      <c r="BD17" s="75"/>
      <c r="BE17" s="74"/>
      <c r="BF17" s="99" t="s">
        <v>5</v>
      </c>
      <c r="BG17" s="99"/>
      <c r="BH17" s="71">
        <f>BH5*((BJ7/3)+(6*BI5/(25.4*12))+(BG7/12))</f>
        <v>9.2965879265091864</v>
      </c>
      <c r="BI17" s="72">
        <f>BI5</f>
        <v>16</v>
      </c>
      <c r="BJ17" s="73">
        <f t="shared" si="8"/>
        <v>4.465152925302724</v>
      </c>
      <c r="BK17" s="75"/>
      <c r="BL17" s="74"/>
      <c r="BM17" s="99" t="s">
        <v>5</v>
      </c>
      <c r="BN17" s="99"/>
      <c r="BO17" s="71">
        <f>BO5*((BQ7/3)+(6*BP5/(25.4*12))+(BN7/12))</f>
        <v>9.2965879265091864</v>
      </c>
      <c r="BP17" s="72">
        <f>BP5</f>
        <v>16</v>
      </c>
      <c r="BQ17" s="73">
        <f t="shared" si="9"/>
        <v>4.465152925302724</v>
      </c>
      <c r="BR17" s="75"/>
      <c r="BS17" s="74"/>
      <c r="BT17" s="99" t="s">
        <v>5</v>
      </c>
      <c r="BU17" s="99"/>
      <c r="BV17" s="71">
        <f>BV5*((BX7/3)+(6*BW5/(25.4*12))+(BU7/12))</f>
        <v>9.2965879265091864</v>
      </c>
      <c r="BW17" s="72">
        <f>BW5</f>
        <v>16</v>
      </c>
      <c r="BX17" s="73">
        <f t="shared" si="10"/>
        <v>4.465152925302724</v>
      </c>
      <c r="BY17" s="75"/>
      <c r="BZ17" s="74"/>
      <c r="CA17" s="99" t="s">
        <v>5</v>
      </c>
      <c r="CB17" s="99"/>
      <c r="CC17" s="71">
        <f>CC5*((CE7/3)+(6*CD5/(25.4*12))+(CB7/12))</f>
        <v>9.2965879265091864</v>
      </c>
      <c r="CD17" s="72">
        <f>CD5</f>
        <v>16</v>
      </c>
      <c r="CE17" s="73">
        <f t="shared" si="11"/>
        <v>4.465152925302724</v>
      </c>
      <c r="CF17" s="75"/>
      <c r="CG17" s="74"/>
    </row>
    <row r="18" spans="2:91" x14ac:dyDescent="0.25">
      <c r="B18" s="99" t="s">
        <v>6</v>
      </c>
      <c r="C18" s="99"/>
      <c r="D18" s="71">
        <f>H4*((F7/3)+(6*I4/(25.4*12)))</f>
        <v>0</v>
      </c>
      <c r="E18" s="72">
        <f>I4</f>
        <v>10</v>
      </c>
      <c r="F18" s="73">
        <f t="shared" si="0"/>
        <v>0</v>
      </c>
      <c r="G18" s="75" t="s">
        <v>17</v>
      </c>
      <c r="H18" s="76">
        <f>IF(F7=0,0,((2*(H12-(2*H15)))+(2*(H13-(2*H15)))+(2*(MAX(6*H16/25.4,3)))-(5*3*H16/25.4))*H14/12)</f>
        <v>87.228346456692918</v>
      </c>
      <c r="I18" s="99" t="s">
        <v>6</v>
      </c>
      <c r="J18" s="99"/>
      <c r="K18" s="71">
        <f>O4*((M7/3)+(6*P4/(25.4*12)))</f>
        <v>0</v>
      </c>
      <c r="L18" s="72">
        <f>P4</f>
        <v>16</v>
      </c>
      <c r="M18" s="73">
        <f t="shared" si="1"/>
        <v>0</v>
      </c>
      <c r="N18" s="75" t="s">
        <v>17</v>
      </c>
      <c r="O18" s="76">
        <f>IF(M7=0,0,((2*(O12-(2*O15)))+(2*(O13-(2*O15)))+(2*(MAX(6*O16/25.4,3)))-(5*3*O16/25.4))*O14/12)</f>
        <v>84.220472440944874</v>
      </c>
      <c r="P18" s="99" t="s">
        <v>6</v>
      </c>
      <c r="Q18" s="99"/>
      <c r="R18" s="71">
        <f>V4*((T7/3)+(6*W4/(25.4*12)))</f>
        <v>0</v>
      </c>
      <c r="S18" s="72">
        <f>W4</f>
        <v>16</v>
      </c>
      <c r="T18" s="73">
        <f t="shared" si="2"/>
        <v>0</v>
      </c>
      <c r="U18" s="75" t="s">
        <v>17</v>
      </c>
      <c r="V18" s="76">
        <f>IF(T7=0,0,((2*(V12-(2*V15)))+(2*(V13-(2*V15)))+(2*(MAX(6*V16/25.4,3)))-(5*3*V16/25.4))*V14/12)</f>
        <v>96.251968503937007</v>
      </c>
      <c r="W18" s="99" t="s">
        <v>6</v>
      </c>
      <c r="X18" s="99"/>
      <c r="Y18" s="71">
        <f>AC4*((AA7/3)+(6*AD4/(25.4*12)))</f>
        <v>0</v>
      </c>
      <c r="Z18" s="72">
        <f>AD4</f>
        <v>16</v>
      </c>
      <c r="AA18" s="73">
        <f t="shared" si="3"/>
        <v>0</v>
      </c>
      <c r="AB18" s="75" t="s">
        <v>17</v>
      </c>
      <c r="AC18" s="76">
        <f>IF(AA7=0,0,((2*(AC12-(2*AC15)))+(2*(AC13-(2*AC15)))+(2*(MAX(6*AC16/25.4,3)))-(5*3*AC16/25.4))*AC14/12)</f>
        <v>30.078740157480315</v>
      </c>
      <c r="AD18" s="99" t="s">
        <v>6</v>
      </c>
      <c r="AE18" s="99"/>
      <c r="AF18" s="71">
        <f>AJ4*((AH7/3)+(6*AK4/(25.4*12)))</f>
        <v>3.6482939632545932</v>
      </c>
      <c r="AG18" s="72">
        <f>AK4</f>
        <v>16</v>
      </c>
      <c r="AH18" s="73">
        <f t="shared" si="4"/>
        <v>1.752276275034101</v>
      </c>
      <c r="AI18" s="75" t="s">
        <v>17</v>
      </c>
      <c r="AJ18" s="76">
        <f>IF(AH7=0,0,((2*(AJ12-(2*AJ15)))+(2*(AJ13-(2*AJ15)))+(2*(MAX(6*AJ16/25.4,3)))-(5*3*AJ16/25.4))*AJ14/12)</f>
        <v>30.078740157480315</v>
      </c>
      <c r="AK18" s="99" t="s">
        <v>6</v>
      </c>
      <c r="AL18" s="99"/>
      <c r="AM18" s="71">
        <f>AQ4*((AO7/3)+(6*AR4/(25.4*12)))</f>
        <v>3.6482939632545932</v>
      </c>
      <c r="AN18" s="72">
        <f>AR4</f>
        <v>16</v>
      </c>
      <c r="AO18" s="73">
        <f t="shared" si="5"/>
        <v>1.752276275034101</v>
      </c>
      <c r="AP18" s="75" t="s">
        <v>17</v>
      </c>
      <c r="AQ18" s="76">
        <f>IF(AO7=0,0,((2*(AQ12-(2*AQ15)))+(2*(AQ13-(2*AQ15)))+(2*(MAX(6*AQ16/25.4,3)))-(5*3*AQ16/25.4))*AQ14/12)</f>
        <v>30.078740157480315</v>
      </c>
      <c r="AR18" s="99" t="s">
        <v>6</v>
      </c>
      <c r="AS18" s="99"/>
      <c r="AT18" s="71">
        <f>AX4*((AV7/3)+(6*AY4/(25.4*12)))</f>
        <v>3.6482939632545932</v>
      </c>
      <c r="AU18" s="72">
        <f>AY4</f>
        <v>16</v>
      </c>
      <c r="AV18" s="73">
        <f t="shared" si="6"/>
        <v>1.752276275034101</v>
      </c>
      <c r="AW18" s="75" t="s">
        <v>17</v>
      </c>
      <c r="AX18" s="76">
        <f>IF(AV7=0,0,((2*(AX12-(2*AX15)))+(2*(AX13-(2*AX15)))+(2*(MAX(6*AX16/25.4,3)))-(5*3*AX16/25.4))*AX14/12)</f>
        <v>30.078740157480315</v>
      </c>
      <c r="AY18" s="99" t="s">
        <v>6</v>
      </c>
      <c r="AZ18" s="99"/>
      <c r="BA18" s="71">
        <f>BE4*((BC7/3)+(6*BF4/(25.4*12)))</f>
        <v>3.6482939632545932</v>
      </c>
      <c r="BB18" s="72">
        <f>BF4</f>
        <v>16</v>
      </c>
      <c r="BC18" s="73">
        <f t="shared" si="7"/>
        <v>1.752276275034101</v>
      </c>
      <c r="BD18" s="75" t="s">
        <v>17</v>
      </c>
      <c r="BE18" s="76">
        <f>IF(BC7=0,0,((2*(BE12-(2*BE15)))+(2*(BE13-(2*BE15)))+(2*(MAX(6*BE16/25.4,3)))-(5*3*BE16/25.4))*BE14/12)</f>
        <v>30.078740157480315</v>
      </c>
      <c r="BF18" s="99" t="s">
        <v>6</v>
      </c>
      <c r="BG18" s="99"/>
      <c r="BH18" s="71">
        <f>BL4*((BJ7/3)+(6*BM4/(25.4*12)))</f>
        <v>3.6482939632545932</v>
      </c>
      <c r="BI18" s="72">
        <f>BM4</f>
        <v>16</v>
      </c>
      <c r="BJ18" s="73">
        <f t="shared" si="8"/>
        <v>1.752276275034101</v>
      </c>
      <c r="BK18" s="75" t="s">
        <v>17</v>
      </c>
      <c r="BL18" s="76">
        <f>IF(BJ7=0,0,((2*(BL12-(2*BL15)))+(2*(BL13-(2*BL15)))+(2*(MAX(6*BL16/25.4,3)))-(5*3*BL16/25.4))*BL14/12)</f>
        <v>30.078740157480315</v>
      </c>
      <c r="BM18" s="99" t="s">
        <v>6</v>
      </c>
      <c r="BN18" s="99"/>
      <c r="BO18" s="71">
        <f>BS4*((BQ7/3)+(6*BT4/(25.4*12)))</f>
        <v>3.6482939632545932</v>
      </c>
      <c r="BP18" s="72">
        <f>BT4</f>
        <v>16</v>
      </c>
      <c r="BQ18" s="73">
        <f t="shared" si="9"/>
        <v>1.752276275034101</v>
      </c>
      <c r="BR18" s="75" t="s">
        <v>17</v>
      </c>
      <c r="BS18" s="76">
        <f>IF(BQ7=0,0,((2*(BS12-(2*BS15)))+(2*(BS13-(2*BS15)))+(2*(MAX(6*BS16/25.4,3)))-(5*3*BS16/25.4))*BS14/12)</f>
        <v>30.078740157480315</v>
      </c>
      <c r="BT18" s="99" t="s">
        <v>6</v>
      </c>
      <c r="BU18" s="99"/>
      <c r="BV18" s="71">
        <f>BZ4*((BX7/3)+(6*CA4/(25.4*12)))</f>
        <v>3.6482939632545932</v>
      </c>
      <c r="BW18" s="72">
        <f>CA4</f>
        <v>16</v>
      </c>
      <c r="BX18" s="73">
        <f t="shared" si="10"/>
        <v>1.752276275034101</v>
      </c>
      <c r="BY18" s="75" t="s">
        <v>17</v>
      </c>
      <c r="BZ18" s="76">
        <f>IF(BX7=0,0,((2*(BZ12-(2*BZ15)))+(2*(BZ13-(2*BZ15)))+(2*(MAX(6*BZ16/25.4,3)))-(5*3*BZ16/25.4))*BZ14/12)</f>
        <v>30.078740157480315</v>
      </c>
      <c r="CA18" s="99" t="s">
        <v>6</v>
      </c>
      <c r="CB18" s="99"/>
      <c r="CC18" s="71">
        <f>CG4*((CE7/3)+(6*CH4/(25.4*12)))</f>
        <v>3.6482939632545932</v>
      </c>
      <c r="CD18" s="72">
        <f>CH4</f>
        <v>16</v>
      </c>
      <c r="CE18" s="73">
        <f t="shared" si="11"/>
        <v>1.752276275034101</v>
      </c>
      <c r="CF18" s="75" t="s">
        <v>17</v>
      </c>
      <c r="CG18" s="76">
        <f>IF(CE7=0,0,((2*(CG12-(2*CG15)))+(2*(CG13-(2*CG15)))+(2*(MAX(6*CG16/25.4,3)))-(5*3*CG16/25.4))*CG14/12)</f>
        <v>30.078740157480315</v>
      </c>
    </row>
    <row r="19" spans="2:91" x14ac:dyDescent="0.25">
      <c r="B19" s="99" t="s">
        <v>6</v>
      </c>
      <c r="C19" s="99"/>
      <c r="D19" s="71">
        <f>H5*((F7/3)+(6*I5/(25.4*12)))</f>
        <v>3.6482939632545932</v>
      </c>
      <c r="E19" s="72">
        <f>I5</f>
        <v>16</v>
      </c>
      <c r="F19" s="73">
        <f t="shared" si="0"/>
        <v>1.752276275034101</v>
      </c>
      <c r="I19" s="99" t="s">
        <v>6</v>
      </c>
      <c r="J19" s="99"/>
      <c r="K19" s="71">
        <f>O5*((M7/3)+(6*P5/(25.4*12)))</f>
        <v>3.6482939632545932</v>
      </c>
      <c r="L19" s="72">
        <f>P5</f>
        <v>16</v>
      </c>
      <c r="M19" s="73">
        <f t="shared" si="1"/>
        <v>1.752276275034101</v>
      </c>
      <c r="P19" s="99" t="s">
        <v>6</v>
      </c>
      <c r="Q19" s="99"/>
      <c r="R19" s="71">
        <f>V5*((T7/3)+(6*W5/(25.4*12)))</f>
        <v>3.6482939632545932</v>
      </c>
      <c r="S19" s="72">
        <f>W5</f>
        <v>16</v>
      </c>
      <c r="T19" s="73">
        <f t="shared" si="2"/>
        <v>1.752276275034101</v>
      </c>
      <c r="W19" s="99" t="s">
        <v>6</v>
      </c>
      <c r="X19" s="99"/>
      <c r="Y19" s="71">
        <f>AC5*((AA7/3)+(6*AD5/(25.4*12)))</f>
        <v>7.2965879265091864</v>
      </c>
      <c r="Z19" s="72">
        <f>AD5</f>
        <v>16</v>
      </c>
      <c r="AA19" s="73">
        <f t="shared" si="3"/>
        <v>3.504552550068202</v>
      </c>
      <c r="AD19" s="99" t="s">
        <v>6</v>
      </c>
      <c r="AE19" s="99"/>
      <c r="AF19" s="71">
        <f>AJ5*((AH7/3)+(6*AK5/(25.4*12)))</f>
        <v>7.2965879265091864</v>
      </c>
      <c r="AG19" s="72">
        <f>AK5</f>
        <v>16</v>
      </c>
      <c r="AH19" s="73">
        <f t="shared" si="4"/>
        <v>3.504552550068202</v>
      </c>
      <c r="AK19" s="99" t="s">
        <v>6</v>
      </c>
      <c r="AL19" s="99"/>
      <c r="AM19" s="71">
        <f>AQ5*((AO7/3)+(6*AR5/(25.4*12)))</f>
        <v>7.2965879265091864</v>
      </c>
      <c r="AN19" s="72">
        <f>AR5</f>
        <v>16</v>
      </c>
      <c r="AO19" s="73">
        <f t="shared" si="5"/>
        <v>3.504552550068202</v>
      </c>
      <c r="AR19" s="99" t="s">
        <v>6</v>
      </c>
      <c r="AS19" s="99"/>
      <c r="AT19" s="71">
        <f>AX5*((AV7/3)+(6*AY5/(25.4*12)))</f>
        <v>7.2965879265091864</v>
      </c>
      <c r="AU19" s="72">
        <f>AY5</f>
        <v>16</v>
      </c>
      <c r="AV19" s="73">
        <f t="shared" si="6"/>
        <v>3.504552550068202</v>
      </c>
      <c r="AY19" s="99" t="s">
        <v>6</v>
      </c>
      <c r="AZ19" s="99"/>
      <c r="BA19" s="71">
        <f>BE5*((BC7/3)+(6*BF5/(25.4*12)))</f>
        <v>7.2965879265091864</v>
      </c>
      <c r="BB19" s="72">
        <f>BF5</f>
        <v>16</v>
      </c>
      <c r="BC19" s="73">
        <f t="shared" si="7"/>
        <v>3.504552550068202</v>
      </c>
      <c r="BF19" s="99" t="s">
        <v>6</v>
      </c>
      <c r="BG19" s="99"/>
      <c r="BH19" s="71">
        <f>BL5*((BJ7/3)+(6*BM5/(25.4*12)))</f>
        <v>7.2965879265091864</v>
      </c>
      <c r="BI19" s="72">
        <f>BM5</f>
        <v>16</v>
      </c>
      <c r="BJ19" s="73">
        <f t="shared" si="8"/>
        <v>3.504552550068202</v>
      </c>
      <c r="BM19" s="99" t="s">
        <v>6</v>
      </c>
      <c r="BN19" s="99"/>
      <c r="BO19" s="71">
        <f>BS5*((BQ7/3)+(6*BT5/(25.4*12)))</f>
        <v>7.2965879265091864</v>
      </c>
      <c r="BP19" s="72">
        <f>BT5</f>
        <v>16</v>
      </c>
      <c r="BQ19" s="73">
        <f t="shared" si="9"/>
        <v>3.504552550068202</v>
      </c>
      <c r="BT19" s="99" t="s">
        <v>6</v>
      </c>
      <c r="BU19" s="99"/>
      <c r="BV19" s="71">
        <f>BZ5*((BX7/3)+(6*CA5/(25.4*12)))</f>
        <v>7.2965879265091864</v>
      </c>
      <c r="BW19" s="72">
        <f>CA5</f>
        <v>16</v>
      </c>
      <c r="BX19" s="73">
        <f t="shared" si="10"/>
        <v>3.504552550068202</v>
      </c>
      <c r="CA19" s="99" t="s">
        <v>6</v>
      </c>
      <c r="CB19" s="99"/>
      <c r="CC19" s="71">
        <f>CG5*((CE7/3)+(6*CH5/(25.4*12)))</f>
        <v>7.2965879265091864</v>
      </c>
      <c r="CD19" s="72">
        <f>CH5</f>
        <v>16</v>
      </c>
      <c r="CE19" s="73">
        <f t="shared" si="11"/>
        <v>3.504552550068202</v>
      </c>
    </row>
    <row r="20" spans="2:91" x14ac:dyDescent="0.25">
      <c r="B20" s="99" t="s">
        <v>7</v>
      </c>
      <c r="C20" s="99"/>
      <c r="D20" s="71">
        <f>H7*(F7-(2*F7/8)+(2*6*I7/(25.4*12)))</f>
        <v>8.1299212598425203</v>
      </c>
      <c r="E20" s="72">
        <f>I7</f>
        <v>16</v>
      </c>
      <c r="F20" s="73">
        <f t="shared" si="0"/>
        <v>3.9048027064159196</v>
      </c>
      <c r="I20" s="99" t="s">
        <v>7</v>
      </c>
      <c r="J20" s="99"/>
      <c r="K20" s="71">
        <f>O7*(M7-(2*M7/8)+(2*6*P7/(25.4*12)))</f>
        <v>8.1299212598425203</v>
      </c>
      <c r="L20" s="72">
        <f>P7</f>
        <v>16</v>
      </c>
      <c r="M20" s="73">
        <f t="shared" si="1"/>
        <v>3.9048027064159196</v>
      </c>
      <c r="P20" s="99" t="s">
        <v>7</v>
      </c>
      <c r="Q20" s="99"/>
      <c r="R20" s="71">
        <f>V7*(T7-(2*T7/8)+(2*6*W7/(25.4*12)))</f>
        <v>8.1299212598425203</v>
      </c>
      <c r="S20" s="72">
        <f>W7</f>
        <v>16</v>
      </c>
      <c r="T20" s="73">
        <f t="shared" si="2"/>
        <v>3.9048027064159196</v>
      </c>
      <c r="W20" s="99" t="s">
        <v>7</v>
      </c>
      <c r="X20" s="99"/>
      <c r="Y20" s="71">
        <f>AC7*(AA7-(2*AA7/8)+(2*6*AD7/(25.4*12)))</f>
        <v>16.259842519685041</v>
      </c>
      <c r="Z20" s="72">
        <f>AD7</f>
        <v>16</v>
      </c>
      <c r="AA20" s="73">
        <f t="shared" si="3"/>
        <v>7.8096054128318393</v>
      </c>
      <c r="AD20" s="99" t="s">
        <v>7</v>
      </c>
      <c r="AE20" s="99"/>
      <c r="AF20" s="71">
        <f>AJ7*(AH7-(2*AH7/8)+(2*6*AK7/(25.4*12)))</f>
        <v>16.259842519685041</v>
      </c>
      <c r="AG20" s="72">
        <f>AK7</f>
        <v>16</v>
      </c>
      <c r="AH20" s="73">
        <f t="shared" si="4"/>
        <v>7.8096054128318393</v>
      </c>
      <c r="AK20" s="99" t="s">
        <v>7</v>
      </c>
      <c r="AL20" s="99"/>
      <c r="AM20" s="71">
        <f>AQ7*(AO7-(2*AO7/8)+(2*6*AR7/(25.4*12)))</f>
        <v>16.259842519685041</v>
      </c>
      <c r="AN20" s="72">
        <f>AR7</f>
        <v>16</v>
      </c>
      <c r="AO20" s="73">
        <f t="shared" si="5"/>
        <v>7.8096054128318393</v>
      </c>
      <c r="AR20" s="99" t="s">
        <v>7</v>
      </c>
      <c r="AS20" s="99"/>
      <c r="AT20" s="71">
        <f>AX7*(AV7-(2*AV7/8)+(2*6*AY7/(25.4*12)))</f>
        <v>16.259842519685041</v>
      </c>
      <c r="AU20" s="72">
        <f>AY7</f>
        <v>16</v>
      </c>
      <c r="AV20" s="73">
        <f t="shared" si="6"/>
        <v>7.8096054128318393</v>
      </c>
      <c r="AY20" s="99" t="s">
        <v>7</v>
      </c>
      <c r="AZ20" s="99"/>
      <c r="BA20" s="71">
        <f>BE7*(BC7-(2*BC7/8)+(2*6*BF7/(25.4*12)))</f>
        <v>16.259842519685041</v>
      </c>
      <c r="BB20" s="72">
        <f>BF7</f>
        <v>16</v>
      </c>
      <c r="BC20" s="73">
        <f t="shared" si="7"/>
        <v>7.8096054128318393</v>
      </c>
      <c r="BF20" s="99" t="s">
        <v>7</v>
      </c>
      <c r="BG20" s="99"/>
      <c r="BH20" s="71">
        <f>BL7*(BJ7-(2*BJ7/8)+(2*6*BM7/(25.4*12)))</f>
        <v>16.259842519685041</v>
      </c>
      <c r="BI20" s="72">
        <f>BM7</f>
        <v>16</v>
      </c>
      <c r="BJ20" s="73">
        <f t="shared" si="8"/>
        <v>7.8096054128318393</v>
      </c>
      <c r="BM20" s="99" t="s">
        <v>7</v>
      </c>
      <c r="BN20" s="99"/>
      <c r="BO20" s="71">
        <f>BS7*(BQ7-(2*BQ7/8)+(2*6*BT7/(25.4*12)))</f>
        <v>16.259842519685041</v>
      </c>
      <c r="BP20" s="72">
        <f>BT7</f>
        <v>16</v>
      </c>
      <c r="BQ20" s="73">
        <f t="shared" si="9"/>
        <v>7.8096054128318393</v>
      </c>
      <c r="BT20" s="99" t="s">
        <v>7</v>
      </c>
      <c r="BU20" s="99"/>
      <c r="BV20" s="71">
        <f>BZ7*(BX7-(2*BX7/8)+(2*6*CA7/(25.4*12)))</f>
        <v>16.259842519685041</v>
      </c>
      <c r="BW20" s="72">
        <f>CA7</f>
        <v>16</v>
      </c>
      <c r="BX20" s="73">
        <f t="shared" si="10"/>
        <v>7.8096054128318393</v>
      </c>
      <c r="CA20" s="99" t="s">
        <v>7</v>
      </c>
      <c r="CB20" s="99"/>
      <c r="CC20" s="71">
        <f>CG7*(CE7-(2*CE7/8)+(2*6*CH7/(25.4*12)))</f>
        <v>16.259842519685041</v>
      </c>
      <c r="CD20" s="72">
        <f>CH7</f>
        <v>16</v>
      </c>
      <c r="CE20" s="73">
        <f t="shared" si="11"/>
        <v>7.8096054128318393</v>
      </c>
    </row>
    <row r="21" spans="2:91" x14ac:dyDescent="0.25">
      <c r="B21" s="99" t="s">
        <v>7</v>
      </c>
      <c r="C21" s="99"/>
      <c r="D21" s="71">
        <f>H8*(F7-(2*F7/8)+(2*6*I8/(25.4*12)))</f>
        <v>0</v>
      </c>
      <c r="E21" s="72">
        <f>I8</f>
        <v>16</v>
      </c>
      <c r="F21" s="73">
        <f t="shared" si="0"/>
        <v>0</v>
      </c>
      <c r="H21" s="74"/>
      <c r="I21" s="99" t="s">
        <v>7</v>
      </c>
      <c r="J21" s="99"/>
      <c r="K21" s="71">
        <f>O8*(M7-(2*M7/8)+(2*6*P8/(25.4*12)))</f>
        <v>0</v>
      </c>
      <c r="L21" s="72">
        <f>P8</f>
        <v>16</v>
      </c>
      <c r="M21" s="73">
        <f t="shared" si="1"/>
        <v>0</v>
      </c>
      <c r="P21" s="99" t="s">
        <v>7</v>
      </c>
      <c r="Q21" s="99"/>
      <c r="R21" s="71">
        <f>V8*(T7-(2*T7/8)+(2*6*W8/(25.4*12)))</f>
        <v>0</v>
      </c>
      <c r="S21" s="72">
        <f>W8</f>
        <v>16</v>
      </c>
      <c r="T21" s="73">
        <f t="shared" si="2"/>
        <v>0</v>
      </c>
      <c r="W21" s="99" t="s">
        <v>7</v>
      </c>
      <c r="X21" s="99"/>
      <c r="Y21" s="71">
        <f>AC8*(AA7-(2*AA7/8)+(2*6*AD8/(25.4*12)))</f>
        <v>8.1299212598425203</v>
      </c>
      <c r="Z21" s="72">
        <f>AD8</f>
        <v>16</v>
      </c>
      <c r="AA21" s="73">
        <f t="shared" si="3"/>
        <v>3.9048027064159196</v>
      </c>
      <c r="AD21" s="99" t="s">
        <v>7</v>
      </c>
      <c r="AE21" s="99"/>
      <c r="AF21" s="71">
        <f>AJ8*(AH7-(2*AH7/8)+(2*6*AK8/(25.4*12)))</f>
        <v>8.1299212598425203</v>
      </c>
      <c r="AG21" s="72">
        <f>AK8</f>
        <v>16</v>
      </c>
      <c r="AH21" s="73">
        <f t="shared" si="4"/>
        <v>3.9048027064159196</v>
      </c>
      <c r="AK21" s="99" t="s">
        <v>7</v>
      </c>
      <c r="AL21" s="99"/>
      <c r="AM21" s="71">
        <f>AQ8*(AO7-(2*AO7/8)+(2*6*AR8/(25.4*12)))</f>
        <v>8.1299212598425203</v>
      </c>
      <c r="AN21" s="72">
        <f>AR8</f>
        <v>16</v>
      </c>
      <c r="AO21" s="73">
        <f t="shared" si="5"/>
        <v>3.9048027064159196</v>
      </c>
      <c r="AR21" s="99" t="s">
        <v>7</v>
      </c>
      <c r="AS21" s="99"/>
      <c r="AT21" s="71">
        <f>AX8*(AV7-(2*AV7/8)+(2*6*AY8/(25.4*12)))</f>
        <v>8.1299212598425203</v>
      </c>
      <c r="AU21" s="72">
        <f>AY8</f>
        <v>16</v>
      </c>
      <c r="AV21" s="73">
        <f t="shared" si="6"/>
        <v>3.9048027064159196</v>
      </c>
      <c r="AY21" s="99" t="s">
        <v>7</v>
      </c>
      <c r="AZ21" s="99"/>
      <c r="BA21" s="71">
        <f>BE8*(BC7-(2*BC7/8)+(2*6*BF8/(25.4*12)))</f>
        <v>8.1299212598425203</v>
      </c>
      <c r="BB21" s="72">
        <f>BF8</f>
        <v>16</v>
      </c>
      <c r="BC21" s="73">
        <f t="shared" si="7"/>
        <v>3.9048027064159196</v>
      </c>
      <c r="BF21" s="99" t="s">
        <v>7</v>
      </c>
      <c r="BG21" s="99"/>
      <c r="BH21" s="71">
        <f>BL8*(BJ7-(2*BJ7/8)+(2*6*BM8/(25.4*12)))</f>
        <v>8.1299212598425203</v>
      </c>
      <c r="BI21" s="72">
        <f>BM8</f>
        <v>16</v>
      </c>
      <c r="BJ21" s="73">
        <f t="shared" si="8"/>
        <v>3.9048027064159196</v>
      </c>
      <c r="BM21" s="99" t="s">
        <v>7</v>
      </c>
      <c r="BN21" s="99"/>
      <c r="BO21" s="71">
        <f>BS8*(BQ7-(2*BQ7/8)+(2*6*BT8/(25.4*12)))</f>
        <v>8.1299212598425203</v>
      </c>
      <c r="BP21" s="72">
        <f>BT8</f>
        <v>16</v>
      </c>
      <c r="BQ21" s="73">
        <f t="shared" si="9"/>
        <v>3.9048027064159196</v>
      </c>
      <c r="BT21" s="99" t="s">
        <v>7</v>
      </c>
      <c r="BU21" s="99"/>
      <c r="BV21" s="71">
        <f>BZ8*(BX7-(2*BX7/8)+(2*6*CA8/(25.4*12)))</f>
        <v>8.1299212598425203</v>
      </c>
      <c r="BW21" s="72">
        <f>CA8</f>
        <v>16</v>
      </c>
      <c r="BX21" s="73">
        <f t="shared" si="10"/>
        <v>3.9048027064159196</v>
      </c>
      <c r="CA21" s="99" t="s">
        <v>7</v>
      </c>
      <c r="CB21" s="99"/>
      <c r="CC21" s="71">
        <f>CG8*(CE7-(2*CE7/8)+(2*6*CH8/(25.4*12)))</f>
        <v>8.1299212598425203</v>
      </c>
      <c r="CD21" s="72">
        <f>CH8</f>
        <v>16</v>
      </c>
      <c r="CE21" s="73">
        <f t="shared" si="11"/>
        <v>3.9048027064159196</v>
      </c>
    </row>
    <row r="22" spans="2:91" x14ac:dyDescent="0.25">
      <c r="B22" s="70"/>
      <c r="C22" s="70"/>
      <c r="D22" s="71"/>
      <c r="E22" s="72"/>
      <c r="F22" s="73"/>
      <c r="H22" s="74"/>
      <c r="I22" s="70"/>
      <c r="J22" s="70"/>
      <c r="K22" s="71">
        <v>1</v>
      </c>
      <c r="L22" s="72"/>
      <c r="M22" s="73"/>
      <c r="P22" s="70"/>
      <c r="Q22" s="70"/>
      <c r="R22" s="71">
        <v>2</v>
      </c>
      <c r="S22" s="72"/>
      <c r="T22" s="73"/>
      <c r="W22" s="70"/>
      <c r="X22" s="70"/>
      <c r="Y22" s="71">
        <v>3</v>
      </c>
      <c r="Z22" s="72"/>
      <c r="AA22" s="73"/>
      <c r="AD22" s="70"/>
      <c r="AF22" s="70">
        <v>4</v>
      </c>
      <c r="AG22" s="72"/>
      <c r="AH22" s="73"/>
      <c r="AK22" s="70"/>
      <c r="AL22" s="70"/>
      <c r="AM22" s="71">
        <v>5</v>
      </c>
      <c r="AN22" s="72"/>
      <c r="AO22" s="73"/>
      <c r="AR22" s="70"/>
      <c r="AS22" s="70"/>
      <c r="AT22" s="71">
        <v>6</v>
      </c>
      <c r="AU22" s="72"/>
      <c r="AV22" s="73"/>
      <c r="AY22" s="70"/>
      <c r="AZ22" s="70"/>
      <c r="BA22" s="71">
        <v>7</v>
      </c>
      <c r="BB22" s="72"/>
      <c r="BC22" s="73"/>
      <c r="BF22" s="70"/>
      <c r="BG22" s="70"/>
      <c r="BH22" s="71">
        <v>8</v>
      </c>
      <c r="BI22" s="72"/>
      <c r="BJ22" s="73"/>
      <c r="BM22" s="70"/>
      <c r="BN22" s="70"/>
      <c r="BO22" s="71">
        <v>9</v>
      </c>
      <c r="BP22" s="72"/>
      <c r="BQ22" s="73"/>
      <c r="BT22" s="70"/>
      <c r="BU22" s="70"/>
      <c r="BV22" s="71">
        <v>10</v>
      </c>
      <c r="BW22" s="72"/>
      <c r="BX22" s="73"/>
      <c r="CA22" s="70"/>
      <c r="CB22" s="70"/>
      <c r="CC22" s="71">
        <v>11</v>
      </c>
      <c r="CD22" s="72"/>
      <c r="CE22" s="73"/>
      <c r="CJ22" s="49">
        <v>12</v>
      </c>
    </row>
    <row r="23" spans="2:91" x14ac:dyDescent="0.25">
      <c r="B23" s="70"/>
      <c r="C23" s="70"/>
      <c r="D23" s="71"/>
      <c r="E23" s="72"/>
      <c r="F23" s="73"/>
      <c r="H23" s="99" t="s">
        <v>3</v>
      </c>
      <c r="I23" s="99"/>
      <c r="J23" s="70">
        <f>F4*((12*G4/304.8)+MAX((8*G4/304.8),0.5,($E$2*G4/304.8)))</f>
        <v>0</v>
      </c>
      <c r="K23" s="72">
        <f>IF($E$44=K22,G4,0)</f>
        <v>0</v>
      </c>
      <c r="L23" s="73">
        <f>IF($E$44=K22,(J23*K23*K23/533),0)</f>
        <v>0</v>
      </c>
      <c r="M23" s="73"/>
      <c r="O23" s="99" t="s">
        <v>3</v>
      </c>
      <c r="P23" s="99"/>
      <c r="Q23" s="70">
        <f>M4*((12*N4/304.8)+MAX((8*N4/304.8),0.5,($E$2*N4/304.8)))</f>
        <v>0</v>
      </c>
      <c r="R23" s="72">
        <f>IF($E$44=R22,N4,0)</f>
        <v>16</v>
      </c>
      <c r="S23" s="73">
        <f>IF($E$44=R22,(Q23*R23*R23/533),0)</f>
        <v>0</v>
      </c>
      <c r="T23" s="73"/>
      <c r="V23" s="99" t="s">
        <v>3</v>
      </c>
      <c r="W23" s="99"/>
      <c r="X23" s="70">
        <f>T4*((12*U4/304.8)+MAX((8*U4/304.8),0.5,($E$2*U4/304.8)))</f>
        <v>0</v>
      </c>
      <c r="Y23" s="72">
        <f>IF($E$44=Y22,U4,0)</f>
        <v>0</v>
      </c>
      <c r="Z23" s="73">
        <f>IF($E$44=Y22,(X23*Y23*Y23/533),0)</f>
        <v>0</v>
      </c>
      <c r="AA23" s="73"/>
      <c r="AC23" s="99" t="s">
        <v>3</v>
      </c>
      <c r="AD23" s="99"/>
      <c r="AE23" s="70">
        <f>AA4*((12*AB4/304.8)+MAX((8*AB4/304.8),0.5,($E$2*AB4/304.8)))</f>
        <v>1.7167628937006851</v>
      </c>
      <c r="AF23" s="72">
        <f>IF($E$44=AF22,AB4,0)</f>
        <v>0</v>
      </c>
      <c r="AG23" s="73">
        <f>IF($E$44=AF22,(AE23*AF23*AF23/533),0)</f>
        <v>0</v>
      </c>
      <c r="AH23" s="73"/>
      <c r="AJ23" s="99" t="s">
        <v>3</v>
      </c>
      <c r="AK23" s="99"/>
      <c r="AL23" s="70">
        <f>AH4*((12*AI4/304.8)+MAX((8*AI4/304.8),0.5,($E$2*AI4/304.8)))</f>
        <v>1.7167628937006851</v>
      </c>
      <c r="AM23" s="72">
        <f>IF($E$44=AM22,AI4,0)</f>
        <v>0</v>
      </c>
      <c r="AN23" s="73">
        <f>IF($E$44=AM22,(AL23*AM23*AM23/533),0)</f>
        <v>0</v>
      </c>
      <c r="AO23" s="73"/>
      <c r="AQ23" s="99" t="s">
        <v>3</v>
      </c>
      <c r="AR23" s="99"/>
      <c r="AS23" s="70">
        <f>AO4*((12*AP4/304.8)+MAX((8*AP4/304.8),0.5,($E$2*AP4/304.8)))</f>
        <v>1.7167628937006851</v>
      </c>
      <c r="AT23" s="72">
        <f>IF($E$44=AT22,AP4,0)</f>
        <v>0</v>
      </c>
      <c r="AU23" s="73">
        <f>IF($E$44=AT22,(AS23*AT23*AT23/533),0)</f>
        <v>0</v>
      </c>
      <c r="AV23" s="73"/>
      <c r="AX23" s="99" t="s">
        <v>3</v>
      </c>
      <c r="AY23" s="99"/>
      <c r="AZ23" s="70">
        <f>AV4*((12*AW4/304.8)+MAX((8*AW4/304.8),0.5,($E$2*AW4/304.8)))</f>
        <v>1.7167628937006851</v>
      </c>
      <c r="BA23" s="72">
        <f>IF($E$44=BA22,AW4,0)</f>
        <v>0</v>
      </c>
      <c r="BB23" s="73">
        <f>IF($E$44=BA22,(AZ23*BA23*BA23/533),0)</f>
        <v>0</v>
      </c>
      <c r="BC23" s="73"/>
      <c r="BE23" s="99" t="s">
        <v>3</v>
      </c>
      <c r="BF23" s="99"/>
      <c r="BG23" s="70">
        <f>BC4*((12*BD4/304.8)+MAX((8*BD4/304.8),0.5,($E$2*BD4/304.8)))</f>
        <v>1.7167628937006851</v>
      </c>
      <c r="BH23" s="72">
        <f>IF($E$44=BH22,BD4,0)</f>
        <v>0</v>
      </c>
      <c r="BI23" s="73">
        <f>IF($E$44=BH22,(BG23*BH23*BH23/533),0)</f>
        <v>0</v>
      </c>
      <c r="BJ23" s="73"/>
      <c r="BL23" s="99" t="s">
        <v>3</v>
      </c>
      <c r="BM23" s="99"/>
      <c r="BN23" s="70">
        <f>BJ4*((12*BK4/304.8)+MAX((8*BK4/304.8),0.5,($E$2*BK4/304.8)))</f>
        <v>1.7167628937006851</v>
      </c>
      <c r="BO23" s="72">
        <f>IF($E$44=BO22,BK4,0)</f>
        <v>0</v>
      </c>
      <c r="BP23" s="73">
        <f>IF($E$44=BO22,(BN23*BO23*BO23/533),0)</f>
        <v>0</v>
      </c>
      <c r="BQ23" s="73"/>
      <c r="BS23" s="99" t="s">
        <v>3</v>
      </c>
      <c r="BT23" s="99"/>
      <c r="BU23" s="70">
        <f>BQ4*((12*BR4/304.8)+MAX((8*BR4/304.8),0.5,($E$2*BR4/304.8)))</f>
        <v>1.7167628937006851</v>
      </c>
      <c r="BV23" s="72">
        <f>IF($E$44=BV22,BR4,0)</f>
        <v>0</v>
      </c>
      <c r="BW23" s="73">
        <f>IF($E$44=BV22,(BU23*BV23*BV23/533),0)</f>
        <v>0</v>
      </c>
      <c r="BX23" s="73"/>
      <c r="BZ23" s="99" t="s">
        <v>3</v>
      </c>
      <c r="CA23" s="99"/>
      <c r="CB23" s="70">
        <f>BX4*((12*BY4/304.8)+MAX((8*BY4/304.8),0.5,($E$2*BY4/304.8)))</f>
        <v>1.7167628937006851</v>
      </c>
      <c r="CC23" s="72">
        <f>IF($E$44=CC22,BY4,0)</f>
        <v>0</v>
      </c>
      <c r="CD23" s="73">
        <f>IF($E$44=CC22,(CB23*CC23*CC23/533),0)</f>
        <v>0</v>
      </c>
      <c r="CE23" s="73"/>
      <c r="CG23" s="99" t="s">
        <v>3</v>
      </c>
      <c r="CH23" s="99"/>
      <c r="CI23" s="70">
        <f>CE4*((12*CF4/304.8)+MAX((8*CF4/304.8),0.5,($E$2*CF4/304.8)))</f>
        <v>1.7167628937006851</v>
      </c>
      <c r="CJ23" s="72">
        <f>IF($E$44=CJ22,CF4,0)</f>
        <v>0</v>
      </c>
      <c r="CK23" s="73">
        <f>IF($E$44=CJ22,(CI23*CJ23*CJ23/533),0)</f>
        <v>0</v>
      </c>
      <c r="CL23" s="77">
        <f>SUM(CJ23,CC23,BV23,BO23,BH23,BA23,AT23,AM23,AF23,Y23,R23,K23)</f>
        <v>16</v>
      </c>
      <c r="CM23" s="77">
        <f>SUM(CK23,CD23,BW23,BP23,BI23,BB23,AU23,AN23,AG23,Z23,S23,L23)</f>
        <v>0</v>
      </c>
    </row>
    <row r="24" spans="2:91" x14ac:dyDescent="0.25">
      <c r="B24" s="70"/>
      <c r="C24" s="70"/>
      <c r="D24" s="71"/>
      <c r="E24" s="72"/>
      <c r="F24" s="73"/>
      <c r="H24" s="99" t="s">
        <v>3</v>
      </c>
      <c r="I24" s="99"/>
      <c r="J24" s="70">
        <f>F5*((12*G5/304.8)+MAX((8*G5/304.8),0.5,($E$2*G5/304.8)))</f>
        <v>3.4335257874013703</v>
      </c>
      <c r="K24" s="72">
        <f>IF($E$44=K22,G5,0)</f>
        <v>0</v>
      </c>
      <c r="L24" s="73">
        <f>IF($E$44=K22,(J24*K24*K24/533),0)</f>
        <v>0</v>
      </c>
      <c r="M24" s="73"/>
      <c r="O24" s="99" t="s">
        <v>3</v>
      </c>
      <c r="P24" s="99"/>
      <c r="Q24" s="70">
        <f>M5*((12*N5/304.8)+MAX((8*N5/304.8),0.5,($E$2*N5/304.8)))</f>
        <v>3.4335257874013703</v>
      </c>
      <c r="R24" s="72">
        <f>IF($E$44=R22,N5,0)</f>
        <v>16</v>
      </c>
      <c r="S24" s="73">
        <f>IF($E$44=R22,(Q24*R24*R24/533),0)</f>
        <v>1.6491230798775811</v>
      </c>
      <c r="T24" s="73"/>
      <c r="V24" s="99" t="s">
        <v>3</v>
      </c>
      <c r="W24" s="99"/>
      <c r="X24" s="70">
        <f>T5*((12*U5/304.8)+MAX((8*U5/304.8),0.5,($E$2*U5/304.8)))</f>
        <v>3.4335257874013703</v>
      </c>
      <c r="Y24" s="72">
        <f>IF($E$44=Y22,U5,0)</f>
        <v>0</v>
      </c>
      <c r="Z24" s="73">
        <f>IF($E$44=Y22,(X24*Y24*Y24/533),0)</f>
        <v>0</v>
      </c>
      <c r="AA24" s="73"/>
      <c r="AC24" s="99" t="s">
        <v>3</v>
      </c>
      <c r="AD24" s="99"/>
      <c r="AE24" s="70">
        <f>AA5*((12*AB5/304.8)+MAX((8*AB5/304.8),0.5,($E$2*AB5/304.8)))</f>
        <v>3.4335257874013703</v>
      </c>
      <c r="AF24" s="72">
        <f>IF($E$44=AF22,AB5,0)</f>
        <v>0</v>
      </c>
      <c r="AG24" s="73">
        <f>IF($E$44=AF22,(AE24*AF24*AF24/533),0)</f>
        <v>0</v>
      </c>
      <c r="AH24" s="73"/>
      <c r="AJ24" s="99" t="s">
        <v>3</v>
      </c>
      <c r="AK24" s="99"/>
      <c r="AL24" s="70">
        <f>AH5*((12*AI5/304.8)+MAX((8*AI5/304.8),0.5,($E$2*AI5/304.8)))</f>
        <v>3.4335257874013703</v>
      </c>
      <c r="AM24" s="72">
        <f>IF($E$44=AM22,AI5,0)</f>
        <v>0</v>
      </c>
      <c r="AN24" s="73">
        <f>IF($E$44=AM22,(AL24*AM24*AM24/533),0)</f>
        <v>0</v>
      </c>
      <c r="AO24" s="73"/>
      <c r="AQ24" s="99" t="s">
        <v>3</v>
      </c>
      <c r="AR24" s="99"/>
      <c r="AS24" s="70">
        <f>AO5*((12*AP5/304.8)+MAX((8*AP5/304.8),0.5,($E$2*AP5/304.8)))</f>
        <v>3.4335257874013703</v>
      </c>
      <c r="AT24" s="72">
        <f>IF($E$44=AT22,AP5,0)</f>
        <v>0</v>
      </c>
      <c r="AU24" s="73">
        <f>IF($E$44=AT22,(AS24*AT24*AT24/533),0)</f>
        <v>0</v>
      </c>
      <c r="AV24" s="73"/>
      <c r="AX24" s="99" t="s">
        <v>3</v>
      </c>
      <c r="AY24" s="99"/>
      <c r="AZ24" s="70">
        <f>AV5*((12*AW5/304.8)+MAX((8*AW5/304.8),0.5,($E$2*AW5/304.8)))</f>
        <v>3.4335257874013703</v>
      </c>
      <c r="BA24" s="72">
        <f>IF($E$44=BA22,AW5,0)</f>
        <v>0</v>
      </c>
      <c r="BB24" s="73">
        <f>IF($E$44=BA22,(AZ24*BA24*BA24/533),0)</f>
        <v>0</v>
      </c>
      <c r="BC24" s="73"/>
      <c r="BE24" s="99" t="s">
        <v>3</v>
      </c>
      <c r="BF24" s="99"/>
      <c r="BG24" s="70">
        <f>BC5*((12*BD5/304.8)+MAX((8*BD5/304.8),0.5,($E$2*BD5/304.8)))</f>
        <v>3.4335257874013703</v>
      </c>
      <c r="BH24" s="72">
        <f>IF($E$44=BH22,BD5,0)</f>
        <v>0</v>
      </c>
      <c r="BI24" s="73">
        <f>IF($E$44=BH22,(BG24*BH24*BH24/533),0)</f>
        <v>0</v>
      </c>
      <c r="BJ24" s="73"/>
      <c r="BL24" s="99" t="s">
        <v>3</v>
      </c>
      <c r="BM24" s="99"/>
      <c r="BN24" s="70">
        <f>BJ5*((12*BK5/304.8)+MAX((8*BK5/304.8),0.5,($E$2*BK5/304.8)))</f>
        <v>3.4335257874013703</v>
      </c>
      <c r="BO24" s="72">
        <f>IF($E$44=BO22,BK5,0)</f>
        <v>0</v>
      </c>
      <c r="BP24" s="73">
        <f>IF($E$44=BO22,(BN24*BO24*BO24/533),0)</f>
        <v>0</v>
      </c>
      <c r="BQ24" s="73"/>
      <c r="BS24" s="99" t="s">
        <v>3</v>
      </c>
      <c r="BT24" s="99"/>
      <c r="BU24" s="70">
        <f>BQ5*((12*BR5/304.8)+MAX((8*BR5/304.8),0.5,($E$2*BR5/304.8)))</f>
        <v>3.4335257874013703</v>
      </c>
      <c r="BV24" s="72">
        <f>IF($E$44=BV22,BR5,0)</f>
        <v>0</v>
      </c>
      <c r="BW24" s="73">
        <f>IF($E$44=BV22,(BU24*BV24*BV24/533),0)</f>
        <v>0</v>
      </c>
      <c r="BX24" s="73"/>
      <c r="BZ24" s="99" t="s">
        <v>3</v>
      </c>
      <c r="CA24" s="99"/>
      <c r="CB24" s="70">
        <f>BX5*((12*BY5/304.8)+MAX((8*BY5/304.8),0.5,($E$2*BY5/304.8)))</f>
        <v>3.4335257874013703</v>
      </c>
      <c r="CC24" s="72">
        <f>IF($E$44=CC22,BY5,0)</f>
        <v>0</v>
      </c>
      <c r="CD24" s="73">
        <f>IF($E$44=CC22,(CB24*CC24*CC24/533),0)</f>
        <v>0</v>
      </c>
      <c r="CE24" s="73"/>
      <c r="CG24" s="99" t="s">
        <v>3</v>
      </c>
      <c r="CH24" s="99"/>
      <c r="CI24" s="70">
        <f>CE5*((12*CF5/304.8)+MAX((8*CF5/304.8),0.5,($E$2*CF5/304.8)))</f>
        <v>3.4335257874013703</v>
      </c>
      <c r="CJ24" s="72">
        <f>IF($E$44=CJ22,CF5,0)</f>
        <v>0</v>
      </c>
      <c r="CK24" s="73">
        <f>IF($E$44=CJ22,(CI24*CJ24*CJ24/533),0)</f>
        <v>0</v>
      </c>
      <c r="CL24" s="77">
        <f t="shared" ref="CL24:CM28" si="12">SUM(CJ24,CC24,BV24,BO24,BH24,BA24,AT24,AM24,AF24,Y24,R24,K24)</f>
        <v>16</v>
      </c>
      <c r="CM24" s="77">
        <f t="shared" si="12"/>
        <v>1.6491230798775811</v>
      </c>
    </row>
    <row r="25" spans="2:91" x14ac:dyDescent="0.25">
      <c r="B25" s="70"/>
      <c r="C25" s="70"/>
      <c r="D25" s="71"/>
      <c r="E25" s="72"/>
      <c r="F25" s="73"/>
      <c r="H25" s="99" t="s">
        <v>4</v>
      </c>
      <c r="I25" s="99"/>
      <c r="J25" s="70">
        <f>D7*((12*E7/304.8)+MAX((8*E7/304.8),0.5,($E$2*E7/304.8)))</f>
        <v>3.4335257874013703</v>
      </c>
      <c r="K25" s="72">
        <f>IF($E$44=K22,E7,0)</f>
        <v>0</v>
      </c>
      <c r="L25" s="73">
        <f>IF($E$44=K22,(J25*K25*K25/533),0)</f>
        <v>0</v>
      </c>
      <c r="M25" s="73"/>
      <c r="O25" s="99" t="s">
        <v>4</v>
      </c>
      <c r="P25" s="99"/>
      <c r="Q25" s="70">
        <f>K7*((12*L7/304.8)+MAX((8*L7/304.8),0.5,($E$2*L7/304.8)))</f>
        <v>3.4335257874013703</v>
      </c>
      <c r="R25" s="72">
        <f>IF($E$44=R22,L7,0)</f>
        <v>16</v>
      </c>
      <c r="S25" s="73">
        <f>IF($E$44=R22,(Q25*R25*R25/533),0)</f>
        <v>1.6491230798775811</v>
      </c>
      <c r="T25" s="73"/>
      <c r="V25" s="99" t="s">
        <v>4</v>
      </c>
      <c r="W25" s="99"/>
      <c r="X25" s="70">
        <f>R7*((12*S7/304.8)+MAX((8*S7/304.8),0.5,($E$2*S7/304.8)))</f>
        <v>3.4335257874013703</v>
      </c>
      <c r="Y25" s="72">
        <f>IF($E$44=Y22,S7,0)</f>
        <v>0</v>
      </c>
      <c r="Z25" s="73">
        <f>IF($E$44=Y22,(X25*Y25*Y25/533),0)</f>
        <v>0</v>
      </c>
      <c r="AA25" s="73"/>
      <c r="AC25" s="99" t="s">
        <v>4</v>
      </c>
      <c r="AD25" s="99"/>
      <c r="AE25" s="70">
        <f>Y7*((12*Z7/304.8)+MAX((8*Z7/304.8),0.5,($E$2*Z7/304.8)))</f>
        <v>0</v>
      </c>
      <c r="AF25" s="72">
        <f>IF($E$44=AF22,Z7,0)</f>
        <v>0</v>
      </c>
      <c r="AG25" s="73">
        <f>IF($E$44=AF22,(AE25*AF25*AF25/533),0)</f>
        <v>0</v>
      </c>
      <c r="AH25" s="73"/>
      <c r="AJ25" s="99" t="s">
        <v>4</v>
      </c>
      <c r="AK25" s="99"/>
      <c r="AL25" s="70">
        <f>AF7*((12*AG7/304.8)+MAX((8*AG7/304.8),0.5,($E$2*AG7/304.8)))</f>
        <v>3.4335257874013703</v>
      </c>
      <c r="AM25" s="72">
        <f>IF($E$44=AM22,AG7,0)</f>
        <v>0</v>
      </c>
      <c r="AN25" s="73">
        <f>IF($E$44=AM22,(AL25*AM25*AM25/533),0)</f>
        <v>0</v>
      </c>
      <c r="AO25" s="73"/>
      <c r="AQ25" s="99" t="s">
        <v>4</v>
      </c>
      <c r="AR25" s="99"/>
      <c r="AS25" s="70">
        <f>AM7*((12*AN7/304.8)+MAX((8*AN7/304.8),0.5,($E$2*AN7/304.8)))</f>
        <v>3.4335257874013703</v>
      </c>
      <c r="AT25" s="72">
        <f>IF($E$44=AT22,AN7,0)</f>
        <v>0</v>
      </c>
      <c r="AU25" s="73">
        <f>IF($E$44=AT22,(AS25*AT25*AT25/533),0)</f>
        <v>0</v>
      </c>
      <c r="AV25" s="73"/>
      <c r="AX25" s="99" t="s">
        <v>4</v>
      </c>
      <c r="AY25" s="99"/>
      <c r="AZ25" s="70">
        <f>AT7*((12*AU7/304.8)+MAX((8*AU7/304.8),0.5,($E$2*AU7/304.8)))</f>
        <v>3.4335257874013703</v>
      </c>
      <c r="BA25" s="72">
        <f>IF($E$44=BA22,AU7,0)</f>
        <v>0</v>
      </c>
      <c r="BB25" s="73">
        <f>IF($E$44=BA22,(AZ25*BA25*BA25/533),0)</f>
        <v>0</v>
      </c>
      <c r="BC25" s="73"/>
      <c r="BE25" s="99" t="s">
        <v>4</v>
      </c>
      <c r="BF25" s="99"/>
      <c r="BG25" s="70">
        <f>BA7*((12*BB7/304.8)+MAX((8*BB7/304.8),0.5,($E$2*BB7/304.8)))</f>
        <v>3.4335257874013703</v>
      </c>
      <c r="BH25" s="72">
        <f>IF($E$44=BH22,BB7,0)</f>
        <v>0</v>
      </c>
      <c r="BI25" s="73">
        <f>IF($E$44=BH22,(BG25*BH25*BH25/533),0)</f>
        <v>0</v>
      </c>
      <c r="BJ25" s="73"/>
      <c r="BL25" s="99" t="s">
        <v>4</v>
      </c>
      <c r="BM25" s="99"/>
      <c r="BN25" s="70">
        <f>BH7*((12*BI7/304.8)+MAX((8*BI7/304.8),0.5,($E$2*BI7/304.8)))</f>
        <v>3.4335257874013703</v>
      </c>
      <c r="BO25" s="72">
        <f>IF($E$44=BO22,BI7,0)</f>
        <v>0</v>
      </c>
      <c r="BP25" s="73">
        <f>IF($E$44=BO22,(BN25*BO25*BO25/533),0)</f>
        <v>0</v>
      </c>
      <c r="BQ25" s="73"/>
      <c r="BS25" s="99" t="s">
        <v>4</v>
      </c>
      <c r="BT25" s="99"/>
      <c r="BU25" s="70">
        <f>BO7*((12*BP7/304.8)+MAX((8*BP7/304.8),0.5,($E$2*BP7/304.8)))</f>
        <v>3.4335257874013703</v>
      </c>
      <c r="BV25" s="72">
        <f>IF($E$44=BV22,BP7,0)</f>
        <v>0</v>
      </c>
      <c r="BW25" s="73">
        <f>IF($E$44=BV22,(BU25*BV25*BV25/533),0)</f>
        <v>0</v>
      </c>
      <c r="BX25" s="73"/>
      <c r="BZ25" s="99" t="s">
        <v>4</v>
      </c>
      <c r="CA25" s="99"/>
      <c r="CB25" s="70">
        <f>BV7*((12*BW7/304.8)+MAX((8*BW7/304.8),0.5,($E$2*BW7/304.8)))</f>
        <v>3.4335257874013703</v>
      </c>
      <c r="CC25" s="72">
        <f>IF($E$44=CC22,BW7,0)</f>
        <v>0</v>
      </c>
      <c r="CD25" s="73">
        <f>IF($E$44=CC22,(CB25*CC25*CC25/533),0)</f>
        <v>0</v>
      </c>
      <c r="CE25" s="73"/>
      <c r="CG25" s="99" t="s">
        <v>4</v>
      </c>
      <c r="CH25" s="99"/>
      <c r="CI25" s="70">
        <f>CC7*((12*CD7/304.8)+MAX((8*CD7/304.8),0.5,($E$2*CD7/304.8)))</f>
        <v>3.4335257874013703</v>
      </c>
      <c r="CJ25" s="72">
        <f>IF($E$44=CJ22,CD7,0)</f>
        <v>0</v>
      </c>
      <c r="CK25" s="73">
        <f>IF($E$44=CJ22,(CI25*CJ25*CJ25/533),0)</f>
        <v>0</v>
      </c>
      <c r="CL25" s="77">
        <f t="shared" si="12"/>
        <v>16</v>
      </c>
      <c r="CM25" s="77">
        <f t="shared" si="12"/>
        <v>1.6491230798775811</v>
      </c>
    </row>
    <row r="26" spans="2:91" x14ac:dyDescent="0.25">
      <c r="B26" s="70"/>
      <c r="C26" s="70"/>
      <c r="D26" s="71"/>
      <c r="E26" s="72"/>
      <c r="F26" s="73"/>
      <c r="H26" s="99" t="s">
        <v>4</v>
      </c>
      <c r="I26" s="99"/>
      <c r="J26" s="70">
        <f>D8*((12*E8/304.8)+MAX((8*E8/304.8),0.5,($E$2*E8/304.8)))</f>
        <v>2.5751443405510277</v>
      </c>
      <c r="K26" s="72">
        <f>IF($E$44=K22,E8,0)</f>
        <v>0</v>
      </c>
      <c r="L26" s="73">
        <f>IF($E$44=K22,(J26*K26*K26/533),0)</f>
        <v>0</v>
      </c>
      <c r="M26" s="73"/>
      <c r="O26" s="99" t="s">
        <v>4</v>
      </c>
      <c r="P26" s="99"/>
      <c r="Q26" s="70">
        <f>K8*((12*L8/304.8)+MAX((8*L8/304.8),0.5,($E$2*L8/304.8)))</f>
        <v>2.5751443405510277</v>
      </c>
      <c r="R26" s="72">
        <f>IF($E$44=R22,L8,0)</f>
        <v>12</v>
      </c>
      <c r="S26" s="73">
        <f>IF($E$44=R22,(Q26*R26*R26/533),0)</f>
        <v>0.69572379932335471</v>
      </c>
      <c r="T26" s="73"/>
      <c r="V26" s="99" t="s">
        <v>4</v>
      </c>
      <c r="W26" s="99"/>
      <c r="X26" s="70">
        <f>R8*((12*S8/304.8)+MAX((8*S8/304.8),0.5,($E$2*S8/304.8)))</f>
        <v>2.5751443405510277</v>
      </c>
      <c r="Y26" s="72">
        <f>IF($E$44=Y22,S8,0)</f>
        <v>0</v>
      </c>
      <c r="Z26" s="73">
        <f>IF($E$44=Y22,(X26*Y26*Y26/533),0)</f>
        <v>0</v>
      </c>
      <c r="AA26" s="73"/>
      <c r="AC26" s="99" t="s">
        <v>4</v>
      </c>
      <c r="AD26" s="99"/>
      <c r="AE26" s="70">
        <f>Y8*((12*Z8/304.8)+MAX((8*Z8/304.8),0.5,($E$2*Z8/304.8)))</f>
        <v>0</v>
      </c>
      <c r="AF26" s="72">
        <f>IF($E$44=AF22,Z8,0)</f>
        <v>0</v>
      </c>
      <c r="AG26" s="73">
        <f>IF($E$44=AF22,(AE26*AF26*AF26/533),0)</f>
        <v>0</v>
      </c>
      <c r="AH26" s="73"/>
      <c r="AJ26" s="99" t="s">
        <v>4</v>
      </c>
      <c r="AK26" s="99"/>
      <c r="AL26" s="70">
        <f>AF8*((12*AG8/304.8)+MAX((8*AG8/304.8),0.5,($E$2*AG8/304.8)))</f>
        <v>1.7167628937006851</v>
      </c>
      <c r="AM26" s="72">
        <f>IF($E$44=AM22,AG8,0)</f>
        <v>0</v>
      </c>
      <c r="AN26" s="73">
        <f>IF($E$44=AM22,(AL26*AM26*AM26/533),0)</f>
        <v>0</v>
      </c>
      <c r="AO26" s="73"/>
      <c r="AQ26" s="99" t="s">
        <v>4</v>
      </c>
      <c r="AR26" s="99"/>
      <c r="AS26" s="70">
        <f>AM8*((12*AN8/304.8)+MAX((8*AN8/304.8),0.5,($E$2*AN8/304.8)))</f>
        <v>1.7167628937006851</v>
      </c>
      <c r="AT26" s="72">
        <f>IF($E$44=AT22,AN8,0)</f>
        <v>0</v>
      </c>
      <c r="AU26" s="73">
        <f>IF($E$44=AT22,(AS26*AT26*AT26/533),0)</f>
        <v>0</v>
      </c>
      <c r="AV26" s="73"/>
      <c r="AX26" s="99" t="s">
        <v>4</v>
      </c>
      <c r="AY26" s="99"/>
      <c r="AZ26" s="70">
        <f>AT8*((12*AU8/304.8)+MAX((8*AU8/304.8),0.5,($E$2*AU8/304.8)))</f>
        <v>1.7167628937006851</v>
      </c>
      <c r="BA26" s="72">
        <f>IF($E$44=BA22,AU8,0)</f>
        <v>0</v>
      </c>
      <c r="BB26" s="73">
        <f>IF($E$44=BA22,(AZ26*BA26*BA26/533),0)</f>
        <v>0</v>
      </c>
      <c r="BC26" s="73"/>
      <c r="BE26" s="99" t="s">
        <v>4</v>
      </c>
      <c r="BF26" s="99"/>
      <c r="BG26" s="70">
        <f>BA8*((12*BB8/304.8)+MAX((8*BB8/304.8),0.5,($E$2*BB8/304.8)))</f>
        <v>1.7167628937006851</v>
      </c>
      <c r="BH26" s="72">
        <f>IF($E$44=BH22,BB8,0)</f>
        <v>0</v>
      </c>
      <c r="BI26" s="73">
        <f>IF($E$44=BH22,(BG26*BH26*BH26/533),0)</f>
        <v>0</v>
      </c>
      <c r="BJ26" s="73"/>
      <c r="BL26" s="99" t="s">
        <v>4</v>
      </c>
      <c r="BM26" s="99"/>
      <c r="BN26" s="70">
        <f>BH8*((12*BI8/304.8)+MAX((8*BI8/304.8),0.5,($E$2*BI8/304.8)))</f>
        <v>1.7167628937006851</v>
      </c>
      <c r="BO26" s="72">
        <f>IF($E$44=BO22,BI8,0)</f>
        <v>0</v>
      </c>
      <c r="BP26" s="73">
        <f>IF($E$44=BO22,(BN26*BO26*BO26/533),0)</f>
        <v>0</v>
      </c>
      <c r="BQ26" s="73"/>
      <c r="BS26" s="99" t="s">
        <v>4</v>
      </c>
      <c r="BT26" s="99"/>
      <c r="BU26" s="70">
        <f>BO8*((12*BP8/304.8)+MAX((8*BP8/304.8),0.5,($E$2*BP8/304.8)))</f>
        <v>1.7167628937006851</v>
      </c>
      <c r="BV26" s="72">
        <f>IF($E$44=BV22,BP8,0)</f>
        <v>0</v>
      </c>
      <c r="BW26" s="73">
        <f>IF($E$44=BV22,(BU26*BV26*BV26/533),0)</f>
        <v>0</v>
      </c>
      <c r="BX26" s="73"/>
      <c r="BZ26" s="99" t="s">
        <v>4</v>
      </c>
      <c r="CA26" s="99"/>
      <c r="CB26" s="70">
        <f>BV8*((12*BW8/304.8)+MAX((8*BW8/304.8),0.5,($E$2*BW8/304.8)))</f>
        <v>1.7167628937006851</v>
      </c>
      <c r="CC26" s="72">
        <f>IF($E$44=CC22,BW8,0)</f>
        <v>0</v>
      </c>
      <c r="CD26" s="73">
        <f>IF($E$44=CC22,(CB26*CC26*CC26/533),0)</f>
        <v>0</v>
      </c>
      <c r="CE26" s="73"/>
      <c r="CG26" s="99" t="s">
        <v>4</v>
      </c>
      <c r="CH26" s="99"/>
      <c r="CI26" s="70">
        <f>CC8*((12*CD8/304.8)+MAX((8*CD8/304.8),0.5,($E$2*CD8/304.8)))</f>
        <v>1.7167628937006851</v>
      </c>
      <c r="CJ26" s="72">
        <f>IF($E$44=CJ22,CD8,0)</f>
        <v>0</v>
      </c>
      <c r="CK26" s="73">
        <f>IF($E$44=CJ22,(CI26*CJ26*CJ26/533),0)</f>
        <v>0</v>
      </c>
      <c r="CL26" s="77">
        <f t="shared" si="12"/>
        <v>12</v>
      </c>
      <c r="CM26" s="77">
        <f t="shared" si="12"/>
        <v>0.69572379932335471</v>
      </c>
    </row>
    <row r="27" spans="2:91" x14ac:dyDescent="0.25">
      <c r="B27" s="70"/>
      <c r="C27" s="70"/>
      <c r="D27" s="71"/>
      <c r="E27" s="72"/>
      <c r="F27" s="73"/>
      <c r="H27" s="99" t="s">
        <v>5</v>
      </c>
      <c r="I27" s="99"/>
      <c r="J27" s="70">
        <f>H4*((12*I4/304.8)+MAX((8*I4/304.8),0.5,($E$2*I4/304.8)))</f>
        <v>0</v>
      </c>
      <c r="K27" s="72">
        <f>IF($E$44=K22,I4,0)</f>
        <v>0</v>
      </c>
      <c r="L27" s="73">
        <f>IF($E$44=K22,(J27*K27*K27/533),0)</f>
        <v>0</v>
      </c>
      <c r="M27" s="73"/>
      <c r="O27" s="99" t="s">
        <v>5</v>
      </c>
      <c r="P27" s="99"/>
      <c r="Q27" s="70">
        <f>O4*((12*P4/304.8)+MAX((8*P4/304.8),0.5,($E$2*P4/304.8)))</f>
        <v>0</v>
      </c>
      <c r="R27" s="72">
        <f>IF($E$44=R22,P4,0)</f>
        <v>16</v>
      </c>
      <c r="S27" s="73">
        <f>IF($E$44=R22,(Q27*R27*R27/533),0)</f>
        <v>0</v>
      </c>
      <c r="T27" s="73"/>
      <c r="V27" s="99" t="s">
        <v>5</v>
      </c>
      <c r="W27" s="99"/>
      <c r="X27" s="70">
        <f>V4*((12*W4/304.8)+MAX((8*W4/304.8),0.5,($E$2*W4/304.8)))</f>
        <v>0</v>
      </c>
      <c r="Y27" s="72">
        <f>IF($E$44=Y22,W4,0)</f>
        <v>0</v>
      </c>
      <c r="Z27" s="73">
        <f>IF($E$44=Y22,(X27*Y27*Y27/533),0)</f>
        <v>0</v>
      </c>
      <c r="AA27" s="73"/>
      <c r="AC27" s="99" t="s">
        <v>5</v>
      </c>
      <c r="AD27" s="99"/>
      <c r="AE27" s="70">
        <f>AC4*((12*AD4/304.8)+MAX((8*AD4/304.8),0.5,($E$2*AD4/304.8)))</f>
        <v>0</v>
      </c>
      <c r="AF27" s="72">
        <f>IF($E$44=AF22,AD4,0)</f>
        <v>0</v>
      </c>
      <c r="AG27" s="73">
        <f>IF($E$44=AF22,(AE27*AF27*AF27/533),0)</f>
        <v>0</v>
      </c>
      <c r="AH27" s="73"/>
      <c r="AJ27" s="99" t="s">
        <v>5</v>
      </c>
      <c r="AK27" s="99"/>
      <c r="AL27" s="70">
        <f>AJ4*((12*AK4/304.8)+MAX((8*AK4/304.8),0.5,($E$2*AK4/304.8)))</f>
        <v>1.7167628937006851</v>
      </c>
      <c r="AM27" s="72">
        <f>IF($E$44=AM22,AK4,0)</f>
        <v>0</v>
      </c>
      <c r="AN27" s="73">
        <f>IF($E$44=AM22,(AL27*AM27*AM27/533),0)</f>
        <v>0</v>
      </c>
      <c r="AO27" s="73"/>
      <c r="AQ27" s="99" t="s">
        <v>5</v>
      </c>
      <c r="AR27" s="99"/>
      <c r="AS27" s="70">
        <f>AQ4*((12*AR4/304.8)+MAX((8*AR4/304.8),0.5,($E$2*AR4/304.8)))</f>
        <v>1.7167628937006851</v>
      </c>
      <c r="AT27" s="72">
        <f>IF($E$44=AT22,AR4,0)</f>
        <v>0</v>
      </c>
      <c r="AU27" s="73">
        <f>IF($E$44=AT22,(AS27*AT27*AT27/533),0)</f>
        <v>0</v>
      </c>
      <c r="AV27" s="73"/>
      <c r="AX27" s="99" t="s">
        <v>5</v>
      </c>
      <c r="AY27" s="99"/>
      <c r="AZ27" s="70">
        <f>AX4*((12*AY4/304.8)+MAX((8*AY4/304.8),0.5,($E$2*AY4/304.8)))</f>
        <v>1.7167628937006851</v>
      </c>
      <c r="BA27" s="72">
        <f>IF($E$44=BA22,AY4,0)</f>
        <v>0</v>
      </c>
      <c r="BB27" s="73">
        <f>IF($E$44=BA22,(AZ27*BA27*BA27/533),0)</f>
        <v>0</v>
      </c>
      <c r="BC27" s="73"/>
      <c r="BE27" s="99" t="s">
        <v>5</v>
      </c>
      <c r="BF27" s="99"/>
      <c r="BG27" s="70">
        <f>BE4*((12*BF4/304.8)+MAX((8*BF4/304.8),0.5,($E$2*BF4/304.8)))</f>
        <v>1.7167628937006851</v>
      </c>
      <c r="BH27" s="72">
        <f>IF($E$44=BH22,BF4,0)</f>
        <v>0</v>
      </c>
      <c r="BI27" s="73">
        <f>IF($E$44=BH22,(BG27*BH27*BH27/533),0)</f>
        <v>0</v>
      </c>
      <c r="BJ27" s="73"/>
      <c r="BL27" s="99" t="s">
        <v>5</v>
      </c>
      <c r="BM27" s="99"/>
      <c r="BN27" s="70">
        <f>BL4*((12*BM4/304.8)+MAX((8*BM4/304.8),0.5,($E$2*BM4/304.8)))</f>
        <v>1.7167628937006851</v>
      </c>
      <c r="BO27" s="72">
        <f>IF($E$44=BO22,BM4,0)</f>
        <v>0</v>
      </c>
      <c r="BP27" s="73">
        <f>IF($E$44=BO22,(BN27*BO27*BO27/533),0)</f>
        <v>0</v>
      </c>
      <c r="BQ27" s="73"/>
      <c r="BS27" s="99" t="s">
        <v>5</v>
      </c>
      <c r="BT27" s="99"/>
      <c r="BU27" s="70">
        <f>BS4*((12*BT4/304.8)+MAX((8*BT4/304.8),0.5,($E$2*BT4/304.8)))</f>
        <v>1.7167628937006851</v>
      </c>
      <c r="BV27" s="72">
        <f>IF($E$44=BV22,BT4,0)</f>
        <v>0</v>
      </c>
      <c r="BW27" s="73">
        <f>IF($E$44=BV22,(BU27*BV27*BV27/533),0)</f>
        <v>0</v>
      </c>
      <c r="BX27" s="73"/>
      <c r="BZ27" s="99" t="s">
        <v>5</v>
      </c>
      <c r="CA27" s="99"/>
      <c r="CB27" s="70">
        <f>BZ4*((12*CA4/304.8)+MAX((8*CA4/304.8),0.5,($E$2*CA4/304.8)))</f>
        <v>1.7167628937006851</v>
      </c>
      <c r="CC27" s="72">
        <f>IF($E$44=CC22,CA4,0)</f>
        <v>0</v>
      </c>
      <c r="CD27" s="73">
        <f>IF($E$44=CC22,(CB27*CC27*CC27/533),0)</f>
        <v>0</v>
      </c>
      <c r="CE27" s="73"/>
      <c r="CG27" s="99" t="s">
        <v>5</v>
      </c>
      <c r="CH27" s="99"/>
      <c r="CI27" s="70">
        <f>CG4*((12*CH4/304.8)+MAX((8*CH4/304.8),0.5,($E$2*CH4/304.8)))</f>
        <v>1.7167628937006851</v>
      </c>
      <c r="CJ27" s="72">
        <f>IF($E$44=CJ22,CH4,0)</f>
        <v>0</v>
      </c>
      <c r="CK27" s="73">
        <f>IF($E$44=CJ22,(CI27*CJ27*CJ27/533),0)</f>
        <v>0</v>
      </c>
      <c r="CL27" s="77">
        <f t="shared" si="12"/>
        <v>16</v>
      </c>
      <c r="CM27" s="77">
        <f t="shared" si="12"/>
        <v>0</v>
      </c>
    </row>
    <row r="28" spans="2:91" x14ac:dyDescent="0.25">
      <c r="B28" s="70"/>
      <c r="C28" s="70"/>
      <c r="D28" s="71"/>
      <c r="E28" s="72"/>
      <c r="F28" s="73"/>
      <c r="H28" s="99" t="s">
        <v>5</v>
      </c>
      <c r="I28" s="99"/>
      <c r="J28" s="70">
        <f>H5*((12*I5/304.8)+MAX((8*I5/304.8),0.5,($E$2*I5/304.8)))</f>
        <v>1.7167628937006851</v>
      </c>
      <c r="K28" s="72">
        <f>IF($E$44=K22,I5,0)</f>
        <v>0</v>
      </c>
      <c r="L28" s="73">
        <f>IF($E$44=K22,(J28*K28*K28/533),0)</f>
        <v>0</v>
      </c>
      <c r="M28" s="73"/>
      <c r="O28" s="99" t="s">
        <v>5</v>
      </c>
      <c r="P28" s="99"/>
      <c r="Q28" s="70">
        <f>O5*((12*P5/304.8)+MAX((8*P5/304.8),0.5,($E$2*P5/304.8)))</f>
        <v>1.7167628937006851</v>
      </c>
      <c r="R28" s="72">
        <f>IF($E$44=R22,P5,0)</f>
        <v>16</v>
      </c>
      <c r="S28" s="73">
        <f>IF($E$44=R22,(Q28*R28*R28/533),0)</f>
        <v>0.82456153993879056</v>
      </c>
      <c r="T28" s="73"/>
      <c r="V28" s="99" t="s">
        <v>5</v>
      </c>
      <c r="W28" s="99"/>
      <c r="X28" s="70">
        <f>V5*((12*W5/304.8)+MAX((8*W5/304.8),0.5,($E$2*W5/304.8)))</f>
        <v>1.7167628937006851</v>
      </c>
      <c r="Y28" s="72">
        <f>IF($E$44=Y22,W5,0)</f>
        <v>0</v>
      </c>
      <c r="Z28" s="73">
        <f>IF($E$44=Y22,(X28*Y28*Y28/533),0)</f>
        <v>0</v>
      </c>
      <c r="AA28" s="73"/>
      <c r="AC28" s="99" t="s">
        <v>5</v>
      </c>
      <c r="AD28" s="99"/>
      <c r="AE28" s="70">
        <f>AC5*((12*AD5/304.8)+MAX((8*AD5/304.8),0.5,($E$2*AD5/304.8)))</f>
        <v>3.4335257874013703</v>
      </c>
      <c r="AF28" s="72">
        <f>IF($E$44=AF22,AD5,0)</f>
        <v>0</v>
      </c>
      <c r="AG28" s="73">
        <f>IF($E$44=AF22,(AE28*AF28*AF28/533),0)</f>
        <v>0</v>
      </c>
      <c r="AH28" s="73"/>
      <c r="AJ28" s="99" t="s">
        <v>5</v>
      </c>
      <c r="AK28" s="99"/>
      <c r="AL28" s="70">
        <f>AJ5*((12*AK5/304.8)+MAX((8*AK5/304.8),0.5,($E$2*AK5/304.8)))</f>
        <v>3.4335257874013703</v>
      </c>
      <c r="AM28" s="72">
        <f>IF($E$44=AM22,AK5,0)</f>
        <v>0</v>
      </c>
      <c r="AN28" s="73">
        <f>IF($E$44=AM22,(AL28*AM28*AM28/533),0)</f>
        <v>0</v>
      </c>
      <c r="AO28" s="73"/>
      <c r="AQ28" s="99" t="s">
        <v>5</v>
      </c>
      <c r="AR28" s="99"/>
      <c r="AS28" s="70">
        <f>AQ5*((12*AR5/304.8)+MAX((8*AR5/304.8),0.5,($E$2*AR5/304.8)))</f>
        <v>3.4335257874013703</v>
      </c>
      <c r="AT28" s="72">
        <f>IF($E$44=AT22,AR5,0)</f>
        <v>0</v>
      </c>
      <c r="AU28" s="73">
        <f>IF($E$44=AT22,(AS28*AT28*AT28/533),0)</f>
        <v>0</v>
      </c>
      <c r="AV28" s="73"/>
      <c r="AX28" s="99" t="s">
        <v>5</v>
      </c>
      <c r="AY28" s="99"/>
      <c r="AZ28" s="70">
        <f>AX5*((12*AY5/304.8)+MAX((8*AY5/304.8),0.5,($E$2*AY5/304.8)))</f>
        <v>3.4335257874013703</v>
      </c>
      <c r="BA28" s="72">
        <f>IF($E$44=BA22,AY5,0)</f>
        <v>0</v>
      </c>
      <c r="BB28" s="73">
        <f>IF($E$44=BA22,(AZ28*BA28*BA28/533),0)</f>
        <v>0</v>
      </c>
      <c r="BC28" s="73"/>
      <c r="BE28" s="99" t="s">
        <v>5</v>
      </c>
      <c r="BF28" s="99"/>
      <c r="BG28" s="70">
        <f>BE5*((12*BF5/304.8)+MAX((8*BF5/304.8),0.5,($E$2*BF5/304.8)))</f>
        <v>3.4335257874013703</v>
      </c>
      <c r="BH28" s="72">
        <f>IF($E$44=BH22,BF5,0)</f>
        <v>0</v>
      </c>
      <c r="BI28" s="73">
        <f>IF($E$44=BH22,(BG28*BH28*BH28/533),0)</f>
        <v>0</v>
      </c>
      <c r="BJ28" s="73"/>
      <c r="BL28" s="99" t="s">
        <v>5</v>
      </c>
      <c r="BM28" s="99"/>
      <c r="BN28" s="70">
        <f>BL5*((12*BM5/304.8)+MAX((8*BM5/304.8),0.5,($E$2*BM5/304.8)))</f>
        <v>3.4335257874013703</v>
      </c>
      <c r="BO28" s="72">
        <f>IF($E$44=BO22,BM5,0)</f>
        <v>0</v>
      </c>
      <c r="BP28" s="73">
        <f>IF($E$44=BO22,(BN28*BO28*BO28/533),0)</f>
        <v>0</v>
      </c>
      <c r="BQ28" s="73"/>
      <c r="BS28" s="99" t="s">
        <v>5</v>
      </c>
      <c r="BT28" s="99"/>
      <c r="BU28" s="70">
        <f>BS5*((12*BT5/304.8)+MAX((8*BT5/304.8),0.5,($E$2*BT5/304.8)))</f>
        <v>3.4335257874013703</v>
      </c>
      <c r="BV28" s="72">
        <f>IF($E$44=BV22,BT5,0)</f>
        <v>0</v>
      </c>
      <c r="BW28" s="73">
        <f>IF($E$44=BV22,(BU28*BV28*BV28/533),0)</f>
        <v>0</v>
      </c>
      <c r="BX28" s="73"/>
      <c r="BZ28" s="99" t="s">
        <v>5</v>
      </c>
      <c r="CA28" s="99"/>
      <c r="CB28" s="70">
        <f>BZ5*((12*CA5/304.8)+MAX((8*CA5/304.8),0.5,($E$2*CA5/304.8)))</f>
        <v>3.4335257874013703</v>
      </c>
      <c r="CC28" s="72">
        <f>IF($E$44=CC22,CA5,0)</f>
        <v>0</v>
      </c>
      <c r="CD28" s="73">
        <f>IF($E$44=CC22,(CB28*CC28*CC28/533),0)</f>
        <v>0</v>
      </c>
      <c r="CE28" s="73"/>
      <c r="CG28" s="99" t="s">
        <v>5</v>
      </c>
      <c r="CH28" s="99"/>
      <c r="CI28" s="70">
        <f>CG5*((12*CH5/304.8)+MAX((8*CH5/304.8),0.5,($E$2*CH5/304.8)))</f>
        <v>3.4335257874013703</v>
      </c>
      <c r="CJ28" s="72">
        <f>IF($E$44=CJ22,CH5,0)</f>
        <v>0</v>
      </c>
      <c r="CK28" s="73">
        <f>IF($E$44=CJ22,(CI28*CJ28*CJ28/533),0)</f>
        <v>0</v>
      </c>
      <c r="CL28" s="77">
        <f t="shared" si="12"/>
        <v>16</v>
      </c>
      <c r="CM28" s="77">
        <f t="shared" si="12"/>
        <v>0.82456153993879056</v>
      </c>
    </row>
    <row r="29" spans="2:91" x14ac:dyDescent="0.25">
      <c r="H29" s="74"/>
      <c r="M29" s="78"/>
      <c r="T29" s="78"/>
      <c r="AA29" s="78"/>
      <c r="AH29" s="78"/>
      <c r="AO29" s="78"/>
      <c r="AV29" s="78"/>
      <c r="BC29" s="78"/>
      <c r="BJ29" s="78"/>
      <c r="BQ29" s="78"/>
      <c r="BX29" s="78"/>
      <c r="CE29" s="78"/>
    </row>
    <row r="30" spans="2:91" x14ac:dyDescent="0.25">
      <c r="E30" s="49" t="s">
        <v>11</v>
      </c>
      <c r="F30" s="49" t="s">
        <v>12</v>
      </c>
      <c r="G30" s="49" t="s">
        <v>13</v>
      </c>
      <c r="H30" s="74"/>
      <c r="L30" s="49" t="s">
        <v>11</v>
      </c>
      <c r="M30" s="49" t="s">
        <v>12</v>
      </c>
      <c r="N30" s="49" t="s">
        <v>13</v>
      </c>
      <c r="S30" s="49" t="s">
        <v>11</v>
      </c>
      <c r="T30" s="49" t="s">
        <v>12</v>
      </c>
      <c r="U30" s="49" t="s">
        <v>13</v>
      </c>
      <c r="Z30" s="49" t="s">
        <v>11</v>
      </c>
      <c r="AA30" s="49" t="s">
        <v>12</v>
      </c>
      <c r="AB30" s="49" t="s">
        <v>13</v>
      </c>
      <c r="AG30" s="49" t="s">
        <v>11</v>
      </c>
      <c r="AH30" s="49" t="s">
        <v>12</v>
      </c>
      <c r="AI30" s="49" t="s">
        <v>13</v>
      </c>
      <c r="AN30" s="49" t="s">
        <v>11</v>
      </c>
      <c r="AO30" s="49" t="s">
        <v>12</v>
      </c>
      <c r="AP30" s="49" t="s">
        <v>13</v>
      </c>
      <c r="AU30" s="49" t="s">
        <v>11</v>
      </c>
      <c r="AV30" s="49" t="s">
        <v>12</v>
      </c>
      <c r="AW30" s="49" t="s">
        <v>13</v>
      </c>
      <c r="BB30" s="49" t="s">
        <v>11</v>
      </c>
      <c r="BC30" s="49" t="s">
        <v>12</v>
      </c>
      <c r="BD30" s="49" t="s">
        <v>13</v>
      </c>
      <c r="BI30" s="49" t="s">
        <v>11</v>
      </c>
      <c r="BJ30" s="49" t="s">
        <v>12</v>
      </c>
      <c r="BK30" s="49" t="s">
        <v>13</v>
      </c>
      <c r="BP30" s="49" t="s">
        <v>11</v>
      </c>
      <c r="BQ30" s="49" t="s">
        <v>12</v>
      </c>
      <c r="BR30" s="49" t="s">
        <v>13</v>
      </c>
      <c r="BW30" s="49" t="s">
        <v>11</v>
      </c>
      <c r="BX30" s="49" t="s">
        <v>12</v>
      </c>
      <c r="BY30" s="49" t="s">
        <v>13</v>
      </c>
      <c r="CD30" s="49" t="s">
        <v>11</v>
      </c>
      <c r="CE30" s="49" t="s">
        <v>12</v>
      </c>
      <c r="CF30" s="49" t="s">
        <v>13</v>
      </c>
    </row>
    <row r="31" spans="2:91" x14ac:dyDescent="0.25">
      <c r="E31" s="49">
        <v>8</v>
      </c>
      <c r="F31" s="79">
        <f>SUMIF($E$12:$E$21,E31,$F$12:$F$21)</f>
        <v>0</v>
      </c>
      <c r="G31" s="49">
        <f>IF(E31=$H$16,$H$18*E31*E31/533,0)</f>
        <v>0</v>
      </c>
      <c r="L31" s="49">
        <v>8</v>
      </c>
      <c r="M31" s="79">
        <f>SUMIF($L$12:$L$21,L31,$M$12:$M$21)</f>
        <v>0</v>
      </c>
      <c r="N31" s="49">
        <f>IF(L31=$O$16,$O$18*L31*L31/533,0)</f>
        <v>0</v>
      </c>
      <c r="S31" s="49">
        <v>8</v>
      </c>
      <c r="T31" s="79">
        <f>SUMIF($S$12:$S$21,S31,$T$12:$T$21)</f>
        <v>0</v>
      </c>
      <c r="U31" s="49">
        <f>IF(S31=$V$16,$V$18*S31*S31/533,0)</f>
        <v>0</v>
      </c>
      <c r="Z31" s="49">
        <v>8</v>
      </c>
      <c r="AA31" s="79">
        <f>SUMIF($Z$12:$Z$21,Z31,$AA$12:$AA$21)</f>
        <v>0</v>
      </c>
      <c r="AB31" s="49">
        <f>IF(Z31=$AC$16,$AC$18*Z31*Z31/533,0)</f>
        <v>0</v>
      </c>
      <c r="AG31" s="49">
        <v>8</v>
      </c>
      <c r="AH31" s="79">
        <f>SUMIF($AG$12:$AG$21,AG31,$AH$12:$AH$21)</f>
        <v>0</v>
      </c>
      <c r="AI31" s="49">
        <f>IF(AG31=$AJ$16,$AJ$18*AG31*AG31/533,0)</f>
        <v>0</v>
      </c>
      <c r="AN31" s="49">
        <v>8</v>
      </c>
      <c r="AO31" s="79">
        <f>SUMIF($AN$12:$AN$21,AN31,$AO$12:$AO$21)</f>
        <v>0</v>
      </c>
      <c r="AP31" s="49">
        <f>IF(AN31=$AQ$16,$AQ$18*AN31*AN31/533,0)</f>
        <v>0</v>
      </c>
      <c r="AU31" s="49">
        <v>8</v>
      </c>
      <c r="AV31" s="79">
        <f>SUMIF($AU$12:$AU$21,AU31,$AV$12:$AV$21)</f>
        <v>0</v>
      </c>
      <c r="AW31" s="49">
        <f>IF(AU31=$AX$16,$AX$18*AU31*AU31/533,0)</f>
        <v>0</v>
      </c>
      <c r="BB31" s="49">
        <v>8</v>
      </c>
      <c r="BC31" s="79">
        <f>SUMIF($BB$12:$BB$21,BB31,$BC$12:$BC$21)</f>
        <v>0</v>
      </c>
      <c r="BD31" s="49">
        <f>IF(BB31=$BE$16,$BE$18*BB31*BB31/533,0)</f>
        <v>0</v>
      </c>
      <c r="BI31" s="49">
        <v>8</v>
      </c>
      <c r="BJ31" s="79">
        <f>SUMIF($BI$12:$BI$21,BI31,$BJ$12:$BJ$21)</f>
        <v>0</v>
      </c>
      <c r="BK31" s="49">
        <f>IF(BI31=$BL$16,$BL$18*BI31*BI31/533,0)</f>
        <v>0</v>
      </c>
      <c r="BP31" s="49">
        <v>8</v>
      </c>
      <c r="BQ31" s="79">
        <f>SUMIF($BP$12:$BP$21,BP31,$BQ$12:$BQ$21)</f>
        <v>0</v>
      </c>
      <c r="BR31" s="49">
        <f>IF(BP31=$BS$16,$BS$18*BP31*BP31/533,0)</f>
        <v>0</v>
      </c>
      <c r="BW31" s="49">
        <v>8</v>
      </c>
      <c r="BX31" s="79">
        <f>SUMIF($BW$12:$BW$21,BW31,$BX$12:$BX$21)</f>
        <v>0</v>
      </c>
      <c r="BY31" s="49">
        <f>IF(BW31=$BZ$16,$BZ$18*BW31*BW31/533,0)</f>
        <v>0</v>
      </c>
      <c r="CD31" s="49">
        <v>8</v>
      </c>
      <c r="CE31" s="79">
        <f>SUMIF($CD$12:$CD$21,CD31,$CE$12:$CE$21)</f>
        <v>0</v>
      </c>
      <c r="CF31" s="49">
        <f>IF(CD31=$CG$16,$CG$18*CD31*CD31/533,0)</f>
        <v>0</v>
      </c>
    </row>
    <row r="32" spans="2:91" x14ac:dyDescent="0.25">
      <c r="E32" s="49">
        <v>10</v>
      </c>
      <c r="F32" s="79">
        <f t="shared" ref="F32:F41" si="13">SUMIF($E$12:$E$21,E32,$F$12:$F$21)</f>
        <v>0</v>
      </c>
      <c r="G32" s="49">
        <f t="shared" ref="G32:G41" si="14">IF(E32=$H$16,$H$18*E32*E32/533,0)</f>
        <v>16.365543425270719</v>
      </c>
      <c r="H32" s="74"/>
      <c r="L32" s="49">
        <v>10</v>
      </c>
      <c r="M32" s="79">
        <f t="shared" ref="M32:M41" si="15">SUMIF($L$12:$L$21,L32,$M$12:$M$21)</f>
        <v>0</v>
      </c>
      <c r="N32" s="49">
        <f t="shared" ref="N32:N41" si="16">IF(L32=$O$16,$O$18*L32*L32/533,0)</f>
        <v>15.801214341640689</v>
      </c>
      <c r="S32" s="49">
        <v>10</v>
      </c>
      <c r="T32" s="79">
        <f t="shared" ref="T32:T41" si="17">SUMIF($S$12:$S$21,S32,$T$12:$T$21)</f>
        <v>0</v>
      </c>
      <c r="U32" s="49">
        <f t="shared" ref="U32:U41" si="18">IF(S32=$V$16,$V$18*S32*S32/533,0)</f>
        <v>18.058530676160789</v>
      </c>
      <c r="Z32" s="49">
        <v>10</v>
      </c>
      <c r="AA32" s="79">
        <f t="shared" ref="AA32:AA41" si="19">SUMIF($Z$12:$Z$21,Z32,$AA$12:$AA$21)</f>
        <v>0</v>
      </c>
      <c r="AB32" s="49">
        <f t="shared" ref="AB32:AB41" si="20">IF(Z32=$AC$16,$AC$18*Z32*Z32/533,0)</f>
        <v>5.6432908363002472</v>
      </c>
      <c r="AG32" s="49">
        <v>10</v>
      </c>
      <c r="AH32" s="79">
        <f t="shared" ref="AH32:AH41" si="21">SUMIF($AG$12:$AG$21,AG32,$AH$12:$AH$21)</f>
        <v>0</v>
      </c>
      <c r="AI32" s="49">
        <f t="shared" ref="AI32:AI41" si="22">IF(AG32=$AJ$16,$AJ$18*AG32*AG32/533,0)</f>
        <v>5.6432908363002472</v>
      </c>
      <c r="AN32" s="49">
        <v>10</v>
      </c>
      <c r="AO32" s="79">
        <f t="shared" ref="AO32:AO41" si="23">SUMIF($AN$12:$AN$21,AN32,$AO$12:$AO$21)</f>
        <v>0</v>
      </c>
      <c r="AP32" s="49">
        <f t="shared" ref="AP32:AP41" si="24">IF(AN32=$AQ$16,$AQ$18*AN32*AN32/533,0)</f>
        <v>5.6432908363002472</v>
      </c>
      <c r="AU32" s="49">
        <v>10</v>
      </c>
      <c r="AV32" s="79">
        <f t="shared" ref="AV32:AV41" si="25">SUMIF($AU$12:$AU$21,AU32,$AV$12:$AV$21)</f>
        <v>0</v>
      </c>
      <c r="AW32" s="49">
        <f t="shared" ref="AW32:AW41" si="26">IF(AU32=$AX$16,$AX$18*AU32*AU32/533,0)</f>
        <v>5.6432908363002472</v>
      </c>
      <c r="BB32" s="49">
        <v>10</v>
      </c>
      <c r="BC32" s="79">
        <f t="shared" ref="BC32:BC41" si="27">SUMIF($BB$12:$BB$21,BB32,$BC$12:$BC$21)</f>
        <v>0</v>
      </c>
      <c r="BD32" s="49">
        <f t="shared" ref="BD32:BD41" si="28">IF(BB32=$BE$16,$BE$18*BB32*BB32/533,0)</f>
        <v>5.6432908363002472</v>
      </c>
      <c r="BI32" s="49">
        <v>10</v>
      </c>
      <c r="BJ32" s="79">
        <f t="shared" ref="BJ32:BJ41" si="29">SUMIF($BI$12:$BI$21,BI32,$BJ$12:$BJ$21)</f>
        <v>0</v>
      </c>
      <c r="BK32" s="49">
        <f t="shared" ref="BK32:BK41" si="30">IF(BI32=$BL$16,$BL$18*BI32*BI32/533,0)</f>
        <v>5.6432908363002472</v>
      </c>
      <c r="BP32" s="49">
        <v>10</v>
      </c>
      <c r="BQ32" s="79">
        <f t="shared" ref="BQ32:BQ41" si="31">SUMIF($BP$12:$BP$21,BP32,$BQ$12:$BQ$21)</f>
        <v>0</v>
      </c>
      <c r="BR32" s="49">
        <f t="shared" ref="BR32:BR41" si="32">IF(BP32=$BS$16,$BS$18*BP32*BP32/533,0)</f>
        <v>5.6432908363002472</v>
      </c>
      <c r="BW32" s="49">
        <v>10</v>
      </c>
      <c r="BX32" s="79">
        <f t="shared" ref="BX32:BX41" si="33">SUMIF($BW$12:$BW$21,BW32,$BX$12:$BX$21)</f>
        <v>0</v>
      </c>
      <c r="BY32" s="49">
        <f t="shared" ref="BY32:BY41" si="34">IF(BW32=$BZ$16,$BZ$18*BW32*BW32/533,0)</f>
        <v>5.6432908363002472</v>
      </c>
      <c r="CD32" s="49">
        <v>10</v>
      </c>
      <c r="CE32" s="79">
        <f t="shared" ref="CE32:CE41" si="35">SUMIF($CD$12:$CD$21,CD32,$CE$12:$CE$21)</f>
        <v>0</v>
      </c>
      <c r="CF32" s="49">
        <f t="shared" ref="CF32:CF41" si="36">IF(CD32=$CG$16,$CG$18*CD32*CD32/533,0)</f>
        <v>5.6432908363002472</v>
      </c>
    </row>
    <row r="33" spans="4:84" x14ac:dyDescent="0.25">
      <c r="E33" s="49">
        <v>12</v>
      </c>
      <c r="F33" s="79">
        <f t="shared" si="13"/>
        <v>6.0991009100175386</v>
      </c>
      <c r="G33" s="49">
        <f t="shared" si="14"/>
        <v>0</v>
      </c>
      <c r="H33" s="74"/>
      <c r="L33" s="49">
        <v>12</v>
      </c>
      <c r="M33" s="79">
        <f t="shared" si="15"/>
        <v>5.943714821763602</v>
      </c>
      <c r="N33" s="49">
        <f t="shared" si="16"/>
        <v>0</v>
      </c>
      <c r="S33" s="49">
        <v>12</v>
      </c>
      <c r="T33" s="79">
        <f t="shared" si="17"/>
        <v>5.943714821763602</v>
      </c>
      <c r="U33" s="49">
        <f t="shared" si="18"/>
        <v>0</v>
      </c>
      <c r="Z33" s="49">
        <v>12</v>
      </c>
      <c r="AA33" s="79">
        <f t="shared" si="19"/>
        <v>0</v>
      </c>
      <c r="AB33" s="49">
        <f t="shared" si="20"/>
        <v>0</v>
      </c>
      <c r="AG33" s="49">
        <v>12</v>
      </c>
      <c r="AH33" s="79">
        <f t="shared" si="21"/>
        <v>0</v>
      </c>
      <c r="AI33" s="49">
        <f t="shared" si="22"/>
        <v>0</v>
      </c>
      <c r="AN33" s="49">
        <v>12</v>
      </c>
      <c r="AO33" s="79">
        <f t="shared" si="23"/>
        <v>0</v>
      </c>
      <c r="AP33" s="49">
        <f t="shared" si="24"/>
        <v>0</v>
      </c>
      <c r="AU33" s="49">
        <v>12</v>
      </c>
      <c r="AV33" s="79">
        <f t="shared" si="25"/>
        <v>0</v>
      </c>
      <c r="AW33" s="49">
        <f t="shared" si="26"/>
        <v>0</v>
      </c>
      <c r="BB33" s="49">
        <v>12</v>
      </c>
      <c r="BC33" s="79">
        <f t="shared" si="27"/>
        <v>0</v>
      </c>
      <c r="BD33" s="49">
        <f t="shared" si="28"/>
        <v>0</v>
      </c>
      <c r="BI33" s="49">
        <v>12</v>
      </c>
      <c r="BJ33" s="79">
        <f t="shared" si="29"/>
        <v>0</v>
      </c>
      <c r="BK33" s="49">
        <f t="shared" si="30"/>
        <v>0</v>
      </c>
      <c r="BP33" s="49">
        <v>12</v>
      </c>
      <c r="BQ33" s="79">
        <f t="shared" si="31"/>
        <v>0</v>
      </c>
      <c r="BR33" s="49">
        <f t="shared" si="32"/>
        <v>0</v>
      </c>
      <c r="BW33" s="49">
        <v>12</v>
      </c>
      <c r="BX33" s="79">
        <f t="shared" si="33"/>
        <v>0</v>
      </c>
      <c r="BY33" s="49">
        <f t="shared" si="34"/>
        <v>0</v>
      </c>
      <c r="CD33" s="49">
        <v>12</v>
      </c>
      <c r="CE33" s="79">
        <f t="shared" si="35"/>
        <v>0</v>
      </c>
      <c r="CF33" s="49">
        <f t="shared" si="36"/>
        <v>0</v>
      </c>
    </row>
    <row r="34" spans="4:84" x14ac:dyDescent="0.25">
      <c r="E34" s="49">
        <v>14</v>
      </c>
      <c r="F34" s="79">
        <f t="shared" si="13"/>
        <v>0</v>
      </c>
      <c r="G34" s="49">
        <f t="shared" si="14"/>
        <v>0</v>
      </c>
      <c r="H34" s="74"/>
      <c r="L34" s="49">
        <v>14</v>
      </c>
      <c r="M34" s="79">
        <f t="shared" si="15"/>
        <v>0</v>
      </c>
      <c r="N34" s="49">
        <f t="shared" si="16"/>
        <v>0</v>
      </c>
      <c r="S34" s="49">
        <v>14</v>
      </c>
      <c r="T34" s="79">
        <f t="shared" si="17"/>
        <v>0</v>
      </c>
      <c r="U34" s="49">
        <f t="shared" si="18"/>
        <v>0</v>
      </c>
      <c r="Z34" s="49">
        <v>14</v>
      </c>
      <c r="AA34" s="79">
        <f t="shared" si="19"/>
        <v>0</v>
      </c>
      <c r="AB34" s="49">
        <f t="shared" si="20"/>
        <v>0</v>
      </c>
      <c r="AG34" s="49">
        <v>14</v>
      </c>
      <c r="AH34" s="79">
        <f t="shared" si="21"/>
        <v>0</v>
      </c>
      <c r="AI34" s="49">
        <f t="shared" si="22"/>
        <v>0</v>
      </c>
      <c r="AN34" s="49">
        <v>14</v>
      </c>
      <c r="AO34" s="79">
        <f t="shared" si="23"/>
        <v>0</v>
      </c>
      <c r="AP34" s="49">
        <f t="shared" si="24"/>
        <v>0</v>
      </c>
      <c r="AU34" s="49">
        <v>14</v>
      </c>
      <c r="AV34" s="79">
        <f t="shared" si="25"/>
        <v>0</v>
      </c>
      <c r="AW34" s="49">
        <f t="shared" si="26"/>
        <v>0</v>
      </c>
      <c r="BB34" s="49">
        <v>14</v>
      </c>
      <c r="BC34" s="79">
        <f t="shared" si="27"/>
        <v>0</v>
      </c>
      <c r="BD34" s="49">
        <f t="shared" si="28"/>
        <v>0</v>
      </c>
      <c r="BI34" s="49">
        <v>14</v>
      </c>
      <c r="BJ34" s="79">
        <f t="shared" si="29"/>
        <v>0</v>
      </c>
      <c r="BK34" s="49">
        <f t="shared" si="30"/>
        <v>0</v>
      </c>
      <c r="BP34" s="49">
        <v>14</v>
      </c>
      <c r="BQ34" s="79">
        <f t="shared" si="31"/>
        <v>0</v>
      </c>
      <c r="BR34" s="49">
        <f t="shared" si="32"/>
        <v>0</v>
      </c>
      <c r="BW34" s="49">
        <v>14</v>
      </c>
      <c r="BX34" s="79">
        <f t="shared" si="33"/>
        <v>0</v>
      </c>
      <c r="BY34" s="49">
        <f t="shared" si="34"/>
        <v>0</v>
      </c>
      <c r="CD34" s="49">
        <v>14</v>
      </c>
      <c r="CE34" s="79">
        <f t="shared" si="35"/>
        <v>0</v>
      </c>
      <c r="CF34" s="49">
        <f t="shared" si="36"/>
        <v>0</v>
      </c>
    </row>
    <row r="35" spans="4:84" x14ac:dyDescent="0.25">
      <c r="E35" s="49">
        <v>16</v>
      </c>
      <c r="F35" s="79">
        <f t="shared" si="13"/>
        <v>30.343920304520793</v>
      </c>
      <c r="G35" s="49">
        <f t="shared" si="14"/>
        <v>0</v>
      </c>
      <c r="L35" s="49">
        <v>16</v>
      </c>
      <c r="M35" s="79">
        <f t="shared" si="15"/>
        <v>29.02286369926086</v>
      </c>
      <c r="N35" s="49">
        <f t="shared" si="16"/>
        <v>0</v>
      </c>
      <c r="S35" s="49">
        <v>16</v>
      </c>
      <c r="T35" s="79">
        <f t="shared" si="17"/>
        <v>29.02286369926086</v>
      </c>
      <c r="U35" s="49">
        <f t="shared" si="18"/>
        <v>0</v>
      </c>
      <c r="Z35" s="49">
        <v>16</v>
      </c>
      <c r="AA35" s="79">
        <f t="shared" si="19"/>
        <v>31.068866860685567</v>
      </c>
      <c r="AB35" s="49">
        <f t="shared" si="20"/>
        <v>0</v>
      </c>
      <c r="AG35" s="49">
        <v>16</v>
      </c>
      <c r="AH35" s="79">
        <f t="shared" si="21"/>
        <v>55.368778715043362</v>
      </c>
      <c r="AI35" s="49">
        <f t="shared" si="22"/>
        <v>0</v>
      </c>
      <c r="AN35" s="49">
        <v>16</v>
      </c>
      <c r="AO35" s="79">
        <f t="shared" si="23"/>
        <v>55.368778715043362</v>
      </c>
      <c r="AP35" s="49">
        <f t="shared" si="24"/>
        <v>0</v>
      </c>
      <c r="AU35" s="49">
        <v>16</v>
      </c>
      <c r="AV35" s="79">
        <f t="shared" si="25"/>
        <v>55.368778715043362</v>
      </c>
      <c r="AW35" s="49">
        <f t="shared" si="26"/>
        <v>0</v>
      </c>
      <c r="BB35" s="49">
        <v>16</v>
      </c>
      <c r="BC35" s="79">
        <f t="shared" si="27"/>
        <v>55.368778715043362</v>
      </c>
      <c r="BD35" s="49">
        <f t="shared" si="28"/>
        <v>0</v>
      </c>
      <c r="BI35" s="49">
        <v>16</v>
      </c>
      <c r="BJ35" s="79">
        <f t="shared" si="29"/>
        <v>55.368778715043362</v>
      </c>
      <c r="BK35" s="49">
        <f t="shared" si="30"/>
        <v>0</v>
      </c>
      <c r="BP35" s="49">
        <v>16</v>
      </c>
      <c r="BQ35" s="79">
        <f t="shared" si="31"/>
        <v>55.368778715043362</v>
      </c>
      <c r="BR35" s="49">
        <f t="shared" si="32"/>
        <v>0</v>
      </c>
      <c r="BW35" s="49">
        <v>16</v>
      </c>
      <c r="BX35" s="79">
        <f t="shared" si="33"/>
        <v>55.368778715043362</v>
      </c>
      <c r="BY35" s="49">
        <f t="shared" si="34"/>
        <v>0</v>
      </c>
      <c r="CD35" s="49">
        <v>16</v>
      </c>
      <c r="CE35" s="79">
        <f t="shared" si="35"/>
        <v>55.368778715043362</v>
      </c>
      <c r="CF35" s="49">
        <f t="shared" si="36"/>
        <v>0</v>
      </c>
    </row>
    <row r="36" spans="4:84" x14ac:dyDescent="0.25">
      <c r="E36" s="49">
        <v>18</v>
      </c>
      <c r="F36" s="79">
        <f t="shared" si="13"/>
        <v>0</v>
      </c>
      <c r="G36" s="49">
        <f t="shared" si="14"/>
        <v>0</v>
      </c>
      <c r="H36" s="74"/>
      <c r="L36" s="49">
        <v>18</v>
      </c>
      <c r="M36" s="79">
        <f t="shared" si="15"/>
        <v>0</v>
      </c>
      <c r="N36" s="49">
        <f t="shared" si="16"/>
        <v>0</v>
      </c>
      <c r="S36" s="49">
        <v>18</v>
      </c>
      <c r="T36" s="79">
        <f t="shared" si="17"/>
        <v>0</v>
      </c>
      <c r="U36" s="49">
        <f t="shared" si="18"/>
        <v>0</v>
      </c>
      <c r="Z36" s="49">
        <v>18</v>
      </c>
      <c r="AA36" s="79">
        <f t="shared" si="19"/>
        <v>0</v>
      </c>
      <c r="AB36" s="49">
        <f t="shared" si="20"/>
        <v>0</v>
      </c>
      <c r="AG36" s="49">
        <v>18</v>
      </c>
      <c r="AH36" s="79">
        <f t="shared" si="21"/>
        <v>0</v>
      </c>
      <c r="AI36" s="49">
        <f t="shared" si="22"/>
        <v>0</v>
      </c>
      <c r="AN36" s="49">
        <v>18</v>
      </c>
      <c r="AO36" s="79">
        <f t="shared" si="23"/>
        <v>0</v>
      </c>
      <c r="AP36" s="49">
        <f t="shared" si="24"/>
        <v>0</v>
      </c>
      <c r="AU36" s="49">
        <v>18</v>
      </c>
      <c r="AV36" s="79">
        <f t="shared" si="25"/>
        <v>0</v>
      </c>
      <c r="AW36" s="49">
        <f t="shared" si="26"/>
        <v>0</v>
      </c>
      <c r="BB36" s="49">
        <v>18</v>
      </c>
      <c r="BC36" s="79">
        <f t="shared" si="27"/>
        <v>0</v>
      </c>
      <c r="BD36" s="49">
        <f t="shared" si="28"/>
        <v>0</v>
      </c>
      <c r="BI36" s="49">
        <v>18</v>
      </c>
      <c r="BJ36" s="79">
        <f t="shared" si="29"/>
        <v>0</v>
      </c>
      <c r="BK36" s="49">
        <f t="shared" si="30"/>
        <v>0</v>
      </c>
      <c r="BP36" s="49">
        <v>18</v>
      </c>
      <c r="BQ36" s="79">
        <f t="shared" si="31"/>
        <v>0</v>
      </c>
      <c r="BR36" s="49">
        <f t="shared" si="32"/>
        <v>0</v>
      </c>
      <c r="BW36" s="49">
        <v>18</v>
      </c>
      <c r="BX36" s="79">
        <f t="shared" si="33"/>
        <v>0</v>
      </c>
      <c r="BY36" s="49">
        <f t="shared" si="34"/>
        <v>0</v>
      </c>
      <c r="CD36" s="49">
        <v>18</v>
      </c>
      <c r="CE36" s="79">
        <f t="shared" si="35"/>
        <v>0</v>
      </c>
      <c r="CF36" s="49">
        <f t="shared" si="36"/>
        <v>0</v>
      </c>
    </row>
    <row r="37" spans="4:84" x14ac:dyDescent="0.25">
      <c r="E37" s="49">
        <v>20</v>
      </c>
      <c r="F37" s="79">
        <f t="shared" si="13"/>
        <v>0</v>
      </c>
      <c r="G37" s="49">
        <f t="shared" si="14"/>
        <v>0</v>
      </c>
      <c r="H37" s="74"/>
      <c r="L37" s="49">
        <v>20</v>
      </c>
      <c r="M37" s="79">
        <f t="shared" si="15"/>
        <v>0</v>
      </c>
      <c r="N37" s="49">
        <f t="shared" si="16"/>
        <v>0</v>
      </c>
      <c r="S37" s="49">
        <v>20</v>
      </c>
      <c r="T37" s="79">
        <f t="shared" si="17"/>
        <v>0</v>
      </c>
      <c r="U37" s="49">
        <f t="shared" si="18"/>
        <v>0</v>
      </c>
      <c r="Z37" s="49">
        <v>20</v>
      </c>
      <c r="AA37" s="79">
        <f t="shared" si="19"/>
        <v>0</v>
      </c>
      <c r="AB37" s="49">
        <f t="shared" si="20"/>
        <v>0</v>
      </c>
      <c r="AG37" s="49">
        <v>20</v>
      </c>
      <c r="AH37" s="79">
        <f t="shared" si="21"/>
        <v>0</v>
      </c>
      <c r="AI37" s="49">
        <f t="shared" si="22"/>
        <v>0</v>
      </c>
      <c r="AN37" s="49">
        <v>20</v>
      </c>
      <c r="AO37" s="79">
        <f t="shared" si="23"/>
        <v>0</v>
      </c>
      <c r="AP37" s="49">
        <f t="shared" si="24"/>
        <v>0</v>
      </c>
      <c r="AU37" s="49">
        <v>20</v>
      </c>
      <c r="AV37" s="79">
        <f t="shared" si="25"/>
        <v>0</v>
      </c>
      <c r="AW37" s="49">
        <f t="shared" si="26"/>
        <v>0</v>
      </c>
      <c r="BB37" s="49">
        <v>20</v>
      </c>
      <c r="BC37" s="79">
        <f t="shared" si="27"/>
        <v>0</v>
      </c>
      <c r="BD37" s="49">
        <f t="shared" si="28"/>
        <v>0</v>
      </c>
      <c r="BI37" s="49">
        <v>20</v>
      </c>
      <c r="BJ37" s="79">
        <f t="shared" si="29"/>
        <v>0</v>
      </c>
      <c r="BK37" s="49">
        <f t="shared" si="30"/>
        <v>0</v>
      </c>
      <c r="BP37" s="49">
        <v>20</v>
      </c>
      <c r="BQ37" s="79">
        <f t="shared" si="31"/>
        <v>0</v>
      </c>
      <c r="BR37" s="49">
        <f t="shared" si="32"/>
        <v>0</v>
      </c>
      <c r="BW37" s="49">
        <v>20</v>
      </c>
      <c r="BX37" s="79">
        <f t="shared" si="33"/>
        <v>0</v>
      </c>
      <c r="BY37" s="49">
        <f t="shared" si="34"/>
        <v>0</v>
      </c>
      <c r="CD37" s="49">
        <v>20</v>
      </c>
      <c r="CE37" s="79">
        <f t="shared" si="35"/>
        <v>0</v>
      </c>
      <c r="CF37" s="49">
        <f t="shared" si="36"/>
        <v>0</v>
      </c>
    </row>
    <row r="38" spans="4:84" x14ac:dyDescent="0.25">
      <c r="E38" s="49">
        <v>22</v>
      </c>
      <c r="F38" s="79">
        <f t="shared" si="13"/>
        <v>0</v>
      </c>
      <c r="G38" s="49">
        <f t="shared" si="14"/>
        <v>0</v>
      </c>
      <c r="H38" s="74"/>
      <c r="L38" s="49">
        <v>22</v>
      </c>
      <c r="M38" s="79">
        <f t="shared" si="15"/>
        <v>0</v>
      </c>
      <c r="N38" s="49">
        <f t="shared" si="16"/>
        <v>0</v>
      </c>
      <c r="S38" s="49">
        <v>22</v>
      </c>
      <c r="T38" s="79">
        <f t="shared" si="17"/>
        <v>0</v>
      </c>
      <c r="U38" s="49">
        <f t="shared" si="18"/>
        <v>0</v>
      </c>
      <c r="Z38" s="49">
        <v>22</v>
      </c>
      <c r="AA38" s="79">
        <f t="shared" si="19"/>
        <v>0</v>
      </c>
      <c r="AB38" s="49">
        <f t="shared" si="20"/>
        <v>0</v>
      </c>
      <c r="AG38" s="49">
        <v>22</v>
      </c>
      <c r="AH38" s="79">
        <f t="shared" si="21"/>
        <v>0</v>
      </c>
      <c r="AI38" s="49">
        <f t="shared" si="22"/>
        <v>0</v>
      </c>
      <c r="AN38" s="49">
        <v>22</v>
      </c>
      <c r="AO38" s="79">
        <f t="shared" si="23"/>
        <v>0</v>
      </c>
      <c r="AP38" s="49">
        <f t="shared" si="24"/>
        <v>0</v>
      </c>
      <c r="AU38" s="49">
        <v>22</v>
      </c>
      <c r="AV38" s="79">
        <f t="shared" si="25"/>
        <v>0</v>
      </c>
      <c r="AW38" s="49">
        <f t="shared" si="26"/>
        <v>0</v>
      </c>
      <c r="BB38" s="49">
        <v>22</v>
      </c>
      <c r="BC38" s="79">
        <f t="shared" si="27"/>
        <v>0</v>
      </c>
      <c r="BD38" s="49">
        <f t="shared" si="28"/>
        <v>0</v>
      </c>
      <c r="BI38" s="49">
        <v>22</v>
      </c>
      <c r="BJ38" s="79">
        <f t="shared" si="29"/>
        <v>0</v>
      </c>
      <c r="BK38" s="49">
        <f t="shared" si="30"/>
        <v>0</v>
      </c>
      <c r="BP38" s="49">
        <v>22</v>
      </c>
      <c r="BQ38" s="79">
        <f t="shared" si="31"/>
        <v>0</v>
      </c>
      <c r="BR38" s="49">
        <f t="shared" si="32"/>
        <v>0</v>
      </c>
      <c r="BW38" s="49">
        <v>22</v>
      </c>
      <c r="BX38" s="79">
        <f t="shared" si="33"/>
        <v>0</v>
      </c>
      <c r="BY38" s="49">
        <f t="shared" si="34"/>
        <v>0</v>
      </c>
      <c r="CD38" s="49">
        <v>22</v>
      </c>
      <c r="CE38" s="79">
        <f t="shared" si="35"/>
        <v>0</v>
      </c>
      <c r="CF38" s="49">
        <f t="shared" si="36"/>
        <v>0</v>
      </c>
    </row>
    <row r="39" spans="4:84" x14ac:dyDescent="0.25">
      <c r="E39" s="49">
        <v>25</v>
      </c>
      <c r="F39" s="79">
        <f t="shared" si="13"/>
        <v>0</v>
      </c>
      <c r="G39" s="49">
        <f t="shared" si="14"/>
        <v>0</v>
      </c>
      <c r="L39" s="49">
        <v>25</v>
      </c>
      <c r="M39" s="79">
        <f t="shared" si="15"/>
        <v>0</v>
      </c>
      <c r="N39" s="49">
        <f t="shared" si="16"/>
        <v>0</v>
      </c>
      <c r="S39" s="49">
        <v>25</v>
      </c>
      <c r="T39" s="79">
        <f t="shared" si="17"/>
        <v>0</v>
      </c>
      <c r="U39" s="49">
        <f t="shared" si="18"/>
        <v>0</v>
      </c>
      <c r="Z39" s="49">
        <v>25</v>
      </c>
      <c r="AA39" s="79">
        <f t="shared" si="19"/>
        <v>0</v>
      </c>
      <c r="AB39" s="49">
        <f t="shared" si="20"/>
        <v>0</v>
      </c>
      <c r="AG39" s="49">
        <v>25</v>
      </c>
      <c r="AH39" s="79">
        <f t="shared" si="21"/>
        <v>0</v>
      </c>
      <c r="AI39" s="49">
        <f t="shared" si="22"/>
        <v>0</v>
      </c>
      <c r="AN39" s="49">
        <v>25</v>
      </c>
      <c r="AO39" s="79">
        <f t="shared" si="23"/>
        <v>0</v>
      </c>
      <c r="AP39" s="49">
        <f t="shared" si="24"/>
        <v>0</v>
      </c>
      <c r="AU39" s="49">
        <v>25</v>
      </c>
      <c r="AV39" s="79">
        <f t="shared" si="25"/>
        <v>0</v>
      </c>
      <c r="AW39" s="49">
        <f t="shared" si="26"/>
        <v>0</v>
      </c>
      <c r="BB39" s="49">
        <v>25</v>
      </c>
      <c r="BC39" s="79">
        <f t="shared" si="27"/>
        <v>0</v>
      </c>
      <c r="BD39" s="49">
        <f t="shared" si="28"/>
        <v>0</v>
      </c>
      <c r="BI39" s="49">
        <v>25</v>
      </c>
      <c r="BJ39" s="79">
        <f t="shared" si="29"/>
        <v>0</v>
      </c>
      <c r="BK39" s="49">
        <f t="shared" si="30"/>
        <v>0</v>
      </c>
      <c r="BP39" s="49">
        <v>25</v>
      </c>
      <c r="BQ39" s="79">
        <f t="shared" si="31"/>
        <v>0</v>
      </c>
      <c r="BR39" s="49">
        <f t="shared" si="32"/>
        <v>0</v>
      </c>
      <c r="BW39" s="49">
        <v>25</v>
      </c>
      <c r="BX39" s="79">
        <f t="shared" si="33"/>
        <v>0</v>
      </c>
      <c r="BY39" s="49">
        <f t="shared" si="34"/>
        <v>0</v>
      </c>
      <c r="CD39" s="49">
        <v>25</v>
      </c>
      <c r="CE39" s="79">
        <f t="shared" si="35"/>
        <v>0</v>
      </c>
      <c r="CF39" s="49">
        <f t="shared" si="36"/>
        <v>0</v>
      </c>
    </row>
    <row r="40" spans="4:84" x14ac:dyDescent="0.25">
      <c r="E40" s="49">
        <v>28</v>
      </c>
      <c r="F40" s="79">
        <f t="shared" si="13"/>
        <v>0</v>
      </c>
      <c r="G40" s="49">
        <f t="shared" si="14"/>
        <v>0</v>
      </c>
      <c r="L40" s="49">
        <v>28</v>
      </c>
      <c r="M40" s="79">
        <f t="shared" si="15"/>
        <v>0</v>
      </c>
      <c r="N40" s="49">
        <f t="shared" si="16"/>
        <v>0</v>
      </c>
      <c r="S40" s="49">
        <v>28</v>
      </c>
      <c r="T40" s="79">
        <f t="shared" si="17"/>
        <v>0</v>
      </c>
      <c r="U40" s="49">
        <f t="shared" si="18"/>
        <v>0</v>
      </c>
      <c r="Z40" s="49">
        <v>28</v>
      </c>
      <c r="AA40" s="79">
        <f t="shared" si="19"/>
        <v>0</v>
      </c>
      <c r="AB40" s="49">
        <f t="shared" si="20"/>
        <v>0</v>
      </c>
      <c r="AG40" s="49">
        <v>28</v>
      </c>
      <c r="AH40" s="79">
        <f t="shared" si="21"/>
        <v>0</v>
      </c>
      <c r="AI40" s="49">
        <f t="shared" si="22"/>
        <v>0</v>
      </c>
      <c r="AN40" s="49">
        <v>28</v>
      </c>
      <c r="AO40" s="79">
        <f t="shared" si="23"/>
        <v>0</v>
      </c>
      <c r="AP40" s="49">
        <f t="shared" si="24"/>
        <v>0</v>
      </c>
      <c r="AU40" s="49">
        <v>28</v>
      </c>
      <c r="AV40" s="79">
        <f t="shared" si="25"/>
        <v>0</v>
      </c>
      <c r="AW40" s="49">
        <f t="shared" si="26"/>
        <v>0</v>
      </c>
      <c r="BB40" s="49">
        <v>28</v>
      </c>
      <c r="BC40" s="79">
        <f t="shared" si="27"/>
        <v>0</v>
      </c>
      <c r="BD40" s="49">
        <f t="shared" si="28"/>
        <v>0</v>
      </c>
      <c r="BI40" s="49">
        <v>28</v>
      </c>
      <c r="BJ40" s="79">
        <f t="shared" si="29"/>
        <v>0</v>
      </c>
      <c r="BK40" s="49">
        <f t="shared" si="30"/>
        <v>0</v>
      </c>
      <c r="BP40" s="49">
        <v>28</v>
      </c>
      <c r="BQ40" s="79">
        <f t="shared" si="31"/>
        <v>0</v>
      </c>
      <c r="BR40" s="49">
        <f t="shared" si="32"/>
        <v>0</v>
      </c>
      <c r="BW40" s="49">
        <v>28</v>
      </c>
      <c r="BX40" s="79">
        <f t="shared" si="33"/>
        <v>0</v>
      </c>
      <c r="BY40" s="49">
        <f t="shared" si="34"/>
        <v>0</v>
      </c>
      <c r="CD40" s="49">
        <v>28</v>
      </c>
      <c r="CE40" s="79">
        <f t="shared" si="35"/>
        <v>0</v>
      </c>
      <c r="CF40" s="49">
        <f t="shared" si="36"/>
        <v>0</v>
      </c>
    </row>
    <row r="41" spans="4:84" x14ac:dyDescent="0.25">
      <c r="E41" s="49">
        <v>32</v>
      </c>
      <c r="F41" s="79">
        <f t="shared" si="13"/>
        <v>0</v>
      </c>
      <c r="G41" s="49">
        <f t="shared" si="14"/>
        <v>0</v>
      </c>
      <c r="L41" s="49">
        <v>32</v>
      </c>
      <c r="M41" s="79">
        <f t="shared" si="15"/>
        <v>0</v>
      </c>
      <c r="N41" s="49">
        <f t="shared" si="16"/>
        <v>0</v>
      </c>
      <c r="S41" s="49">
        <v>32</v>
      </c>
      <c r="T41" s="79">
        <f t="shared" si="17"/>
        <v>0</v>
      </c>
      <c r="U41" s="49">
        <f t="shared" si="18"/>
        <v>0</v>
      </c>
      <c r="Z41" s="49">
        <v>32</v>
      </c>
      <c r="AA41" s="79">
        <f t="shared" si="19"/>
        <v>0</v>
      </c>
      <c r="AB41" s="49">
        <f t="shared" si="20"/>
        <v>0</v>
      </c>
      <c r="AG41" s="49">
        <v>32</v>
      </c>
      <c r="AH41" s="79">
        <f t="shared" si="21"/>
        <v>0</v>
      </c>
      <c r="AI41" s="49">
        <f t="shared" si="22"/>
        <v>0</v>
      </c>
      <c r="AN41" s="49">
        <v>32</v>
      </c>
      <c r="AO41" s="79">
        <f t="shared" si="23"/>
        <v>0</v>
      </c>
      <c r="AP41" s="49">
        <f t="shared" si="24"/>
        <v>0</v>
      </c>
      <c r="AU41" s="49">
        <v>32</v>
      </c>
      <c r="AV41" s="79">
        <f t="shared" si="25"/>
        <v>0</v>
      </c>
      <c r="AW41" s="49">
        <f t="shared" si="26"/>
        <v>0</v>
      </c>
      <c r="BB41" s="49">
        <v>32</v>
      </c>
      <c r="BC41" s="79">
        <f t="shared" si="27"/>
        <v>0</v>
      </c>
      <c r="BD41" s="49">
        <f t="shared" si="28"/>
        <v>0</v>
      </c>
      <c r="BI41" s="49">
        <v>32</v>
      </c>
      <c r="BJ41" s="79">
        <f t="shared" si="29"/>
        <v>0</v>
      </c>
      <c r="BK41" s="49">
        <f t="shared" si="30"/>
        <v>0</v>
      </c>
      <c r="BP41" s="49">
        <v>32</v>
      </c>
      <c r="BQ41" s="79">
        <f t="shared" si="31"/>
        <v>0</v>
      </c>
      <c r="BR41" s="49">
        <f t="shared" si="32"/>
        <v>0</v>
      </c>
      <c r="BW41" s="49">
        <v>32</v>
      </c>
      <c r="BX41" s="79">
        <f t="shared" si="33"/>
        <v>0</v>
      </c>
      <c r="BY41" s="49">
        <f t="shared" si="34"/>
        <v>0</v>
      </c>
      <c r="CD41" s="49">
        <v>32</v>
      </c>
      <c r="CE41" s="79">
        <f t="shared" si="35"/>
        <v>0</v>
      </c>
      <c r="CF41" s="49">
        <f t="shared" si="36"/>
        <v>0</v>
      </c>
    </row>
    <row r="44" spans="4:84" x14ac:dyDescent="0.25">
      <c r="E44" s="49">
        <f>'Beam Estimating V1.1 (721.7.23)'!C3</f>
        <v>2</v>
      </c>
    </row>
    <row r="45" spans="4:84" x14ac:dyDescent="0.25">
      <c r="E45" s="49" t="s">
        <v>12</v>
      </c>
    </row>
    <row r="46" spans="4:84" x14ac:dyDescent="0.25">
      <c r="D46" s="49" t="s">
        <v>11</v>
      </c>
      <c r="E46" s="49">
        <v>1</v>
      </c>
      <c r="F46" s="49">
        <v>2</v>
      </c>
      <c r="G46" s="49">
        <v>3</v>
      </c>
      <c r="H46" s="49">
        <v>4</v>
      </c>
      <c r="I46" s="49">
        <v>5</v>
      </c>
      <c r="J46" s="49">
        <v>6</v>
      </c>
      <c r="K46" s="49">
        <v>7</v>
      </c>
      <c r="L46" s="49">
        <v>8</v>
      </c>
      <c r="M46" s="49">
        <v>9</v>
      </c>
      <c r="N46" s="49">
        <v>10</v>
      </c>
      <c r="O46" s="49">
        <v>11</v>
      </c>
      <c r="P46" s="49">
        <v>12</v>
      </c>
      <c r="Q46" s="49" t="s">
        <v>19</v>
      </c>
    </row>
    <row r="47" spans="4:84" x14ac:dyDescent="0.25">
      <c r="D47" s="49">
        <v>8</v>
      </c>
      <c r="E47" s="80">
        <f>IF($E$46&lt;=$E$44,F31,0)</f>
        <v>0</v>
      </c>
      <c r="F47" s="80">
        <f>IF($F$46&lt;=$E$44,M31,0)</f>
        <v>0</v>
      </c>
      <c r="G47" s="80">
        <f>IF($G$46&lt;=$E$44,T31,0)</f>
        <v>0</v>
      </c>
      <c r="H47" s="80">
        <f>IF($H$46&lt;=$E$44,AA31,0)</f>
        <v>0</v>
      </c>
      <c r="I47" s="80">
        <f>IF($I$46&lt;=$E$44,AH31,0)</f>
        <v>0</v>
      </c>
      <c r="J47" s="80">
        <f>IF($J$46&lt;=$E$44,AO31,0)</f>
        <v>0</v>
      </c>
      <c r="K47" s="81">
        <f>IF($K$46&lt;=$E$44,AV31,0)</f>
        <v>0</v>
      </c>
      <c r="L47" s="81">
        <f>IF($L$46&lt;=$E$44,BC31,0)</f>
        <v>0</v>
      </c>
      <c r="M47" s="81">
        <f>IF($M$46&lt;=$E$44,BJ31,0)</f>
        <v>0</v>
      </c>
      <c r="N47" s="81">
        <f>IF($N$46&lt;=$E$44,BQ31,0)</f>
        <v>0</v>
      </c>
      <c r="O47" s="81">
        <f>IF($O$46&lt;=$E$44,BX31,0)</f>
        <v>0</v>
      </c>
      <c r="P47" s="81">
        <f>IF($P$46&lt;=$E$44,CE31,0)</f>
        <v>0</v>
      </c>
      <c r="Q47" s="82">
        <f>SUM(E47:P47)</f>
        <v>0</v>
      </c>
      <c r="R47" s="49">
        <f>SUMIF($CL$23:$CL$28,D47,$CM$23:$CM$28)</f>
        <v>0</v>
      </c>
      <c r="S47" s="82">
        <f>SUM(Q47:R47)</f>
        <v>0</v>
      </c>
    </row>
    <row r="48" spans="4:84" x14ac:dyDescent="0.25">
      <c r="D48" s="49">
        <v>10</v>
      </c>
      <c r="E48" s="80">
        <f t="shared" ref="E48:E57" si="37">IF($E$46&lt;=$E$44,F32,0)</f>
        <v>0</v>
      </c>
      <c r="F48" s="80">
        <f t="shared" ref="F48:F57" si="38">IF($F$46&lt;=$E$44,M32,0)</f>
        <v>0</v>
      </c>
      <c r="G48" s="80">
        <f t="shared" ref="G48:G57" si="39">IF($G$46&lt;=$E$44,T32,0)</f>
        <v>0</v>
      </c>
      <c r="H48" s="80">
        <f t="shared" ref="H48:H57" si="40">IF($H$46&lt;=$E$44,AA32,0)</f>
        <v>0</v>
      </c>
      <c r="I48" s="80">
        <f t="shared" ref="I48:I57" si="41">IF($I$46&lt;=$E$44,AH32,0)</f>
        <v>0</v>
      </c>
      <c r="J48" s="80">
        <f t="shared" ref="J48:J57" si="42">IF($J$46&lt;=$E$44,AO32,0)</f>
        <v>0</v>
      </c>
      <c r="K48" s="81">
        <f t="shared" ref="K48:K57" si="43">IF($K$46&lt;=$E$44,AV32,0)</f>
        <v>0</v>
      </c>
      <c r="L48" s="81">
        <f t="shared" ref="L48:L57" si="44">IF($L$46&lt;=$E$44,BC32,0)</f>
        <v>0</v>
      </c>
      <c r="M48" s="81">
        <f t="shared" ref="M48:M57" si="45">IF($M$46&lt;=$E$44,BJ32,0)</f>
        <v>0</v>
      </c>
      <c r="N48" s="81">
        <f t="shared" ref="N48:N57" si="46">IF($N$46&lt;=$E$44,BQ32,0)</f>
        <v>0</v>
      </c>
      <c r="O48" s="81">
        <f t="shared" ref="O48:O57" si="47">IF($O$46&lt;=$E$44,BX32,0)</f>
        <v>0</v>
      </c>
      <c r="P48" s="81">
        <f t="shared" ref="P48:P57" si="48">IF($P$46&lt;=$E$44,CE32,0)</f>
        <v>0</v>
      </c>
      <c r="Q48" s="82">
        <f t="shared" ref="Q48:Q57" si="49">SUM(E48:P48)</f>
        <v>0</v>
      </c>
      <c r="R48" s="49">
        <f t="shared" ref="R48:R57" si="50">SUMIF($CL$23:$CL$28,D48,$CM$23:$CM$28)</f>
        <v>0</v>
      </c>
      <c r="S48" s="82">
        <f t="shared" ref="S48:S57" si="51">SUM(Q48:R48)</f>
        <v>0</v>
      </c>
    </row>
    <row r="49" spans="4:26" x14ac:dyDescent="0.25">
      <c r="D49" s="49">
        <v>12</v>
      </c>
      <c r="E49" s="80">
        <f t="shared" si="37"/>
        <v>6.0991009100175386</v>
      </c>
      <c r="F49" s="80">
        <f t="shared" si="38"/>
        <v>5.943714821763602</v>
      </c>
      <c r="G49" s="80">
        <f t="shared" si="39"/>
        <v>0</v>
      </c>
      <c r="H49" s="80">
        <f t="shared" si="40"/>
        <v>0</v>
      </c>
      <c r="I49" s="80">
        <f t="shared" si="41"/>
        <v>0</v>
      </c>
      <c r="J49" s="80">
        <f t="shared" si="42"/>
        <v>0</v>
      </c>
      <c r="K49" s="81">
        <f t="shared" si="43"/>
        <v>0</v>
      </c>
      <c r="L49" s="81">
        <f t="shared" si="44"/>
        <v>0</v>
      </c>
      <c r="M49" s="81">
        <f t="shared" si="45"/>
        <v>0</v>
      </c>
      <c r="N49" s="81">
        <f t="shared" si="46"/>
        <v>0</v>
      </c>
      <c r="O49" s="81">
        <f t="shared" si="47"/>
        <v>0</v>
      </c>
      <c r="P49" s="81">
        <f t="shared" si="48"/>
        <v>0</v>
      </c>
      <c r="Q49" s="82">
        <f t="shared" si="49"/>
        <v>12.04281573178114</v>
      </c>
      <c r="R49" s="49">
        <f t="shared" si="50"/>
        <v>0.69572379932335471</v>
      </c>
      <c r="S49" s="82">
        <f t="shared" si="51"/>
        <v>12.738539531104495</v>
      </c>
    </row>
    <row r="50" spans="4:26" x14ac:dyDescent="0.25">
      <c r="D50" s="49">
        <v>14</v>
      </c>
      <c r="E50" s="80">
        <f t="shared" si="37"/>
        <v>0</v>
      </c>
      <c r="F50" s="80">
        <f t="shared" si="38"/>
        <v>0</v>
      </c>
      <c r="G50" s="80">
        <f t="shared" si="39"/>
        <v>0</v>
      </c>
      <c r="H50" s="80">
        <f t="shared" si="40"/>
        <v>0</v>
      </c>
      <c r="I50" s="80">
        <f t="shared" si="41"/>
        <v>0</v>
      </c>
      <c r="J50" s="80">
        <f t="shared" si="42"/>
        <v>0</v>
      </c>
      <c r="K50" s="81">
        <f t="shared" si="43"/>
        <v>0</v>
      </c>
      <c r="L50" s="81">
        <f t="shared" si="44"/>
        <v>0</v>
      </c>
      <c r="M50" s="81">
        <f t="shared" si="45"/>
        <v>0</v>
      </c>
      <c r="N50" s="81">
        <f t="shared" si="46"/>
        <v>0</v>
      </c>
      <c r="O50" s="81">
        <f t="shared" si="47"/>
        <v>0</v>
      </c>
      <c r="P50" s="81">
        <f t="shared" si="48"/>
        <v>0</v>
      </c>
      <c r="Q50" s="82">
        <f t="shared" si="49"/>
        <v>0</v>
      </c>
      <c r="R50" s="49">
        <f t="shared" si="50"/>
        <v>0</v>
      </c>
      <c r="S50" s="82">
        <f t="shared" si="51"/>
        <v>0</v>
      </c>
    </row>
    <row r="51" spans="4:26" x14ac:dyDescent="0.25">
      <c r="D51" s="49">
        <v>16</v>
      </c>
      <c r="E51" s="80">
        <f t="shared" si="37"/>
        <v>30.343920304520793</v>
      </c>
      <c r="F51" s="80">
        <f t="shared" si="38"/>
        <v>29.02286369926086</v>
      </c>
      <c r="G51" s="80">
        <f t="shared" si="39"/>
        <v>0</v>
      </c>
      <c r="H51" s="80">
        <f t="shared" si="40"/>
        <v>0</v>
      </c>
      <c r="I51" s="80">
        <f t="shared" si="41"/>
        <v>0</v>
      </c>
      <c r="J51" s="80">
        <f t="shared" si="42"/>
        <v>0</v>
      </c>
      <c r="K51" s="81">
        <f t="shared" si="43"/>
        <v>0</v>
      </c>
      <c r="L51" s="81">
        <f t="shared" si="44"/>
        <v>0</v>
      </c>
      <c r="M51" s="81">
        <f t="shared" si="45"/>
        <v>0</v>
      </c>
      <c r="N51" s="81">
        <f t="shared" si="46"/>
        <v>0</v>
      </c>
      <c r="O51" s="81">
        <f t="shared" si="47"/>
        <v>0</v>
      </c>
      <c r="P51" s="81">
        <f t="shared" si="48"/>
        <v>0</v>
      </c>
      <c r="Q51" s="82">
        <f t="shared" si="49"/>
        <v>59.366784003781653</v>
      </c>
      <c r="R51" s="49">
        <f t="shared" si="50"/>
        <v>4.1228076996939524</v>
      </c>
      <c r="S51" s="82">
        <f t="shared" si="51"/>
        <v>63.489591703475604</v>
      </c>
    </row>
    <row r="52" spans="4:26" x14ac:dyDescent="0.25">
      <c r="D52" s="49">
        <v>18</v>
      </c>
      <c r="E52" s="80">
        <f t="shared" si="37"/>
        <v>0</v>
      </c>
      <c r="F52" s="80">
        <f t="shared" si="38"/>
        <v>0</v>
      </c>
      <c r="G52" s="80">
        <f t="shared" si="39"/>
        <v>0</v>
      </c>
      <c r="H52" s="80">
        <f t="shared" si="40"/>
        <v>0</v>
      </c>
      <c r="I52" s="80">
        <f t="shared" si="41"/>
        <v>0</v>
      </c>
      <c r="J52" s="80">
        <f t="shared" si="42"/>
        <v>0</v>
      </c>
      <c r="K52" s="81">
        <f t="shared" si="43"/>
        <v>0</v>
      </c>
      <c r="L52" s="81">
        <f t="shared" si="44"/>
        <v>0</v>
      </c>
      <c r="M52" s="81">
        <f t="shared" si="45"/>
        <v>0</v>
      </c>
      <c r="N52" s="81">
        <f t="shared" si="46"/>
        <v>0</v>
      </c>
      <c r="O52" s="81">
        <f t="shared" si="47"/>
        <v>0</v>
      </c>
      <c r="P52" s="81">
        <f t="shared" si="48"/>
        <v>0</v>
      </c>
      <c r="Q52" s="82">
        <f t="shared" si="49"/>
        <v>0</v>
      </c>
      <c r="R52" s="49">
        <f t="shared" si="50"/>
        <v>0</v>
      </c>
      <c r="S52" s="82">
        <f t="shared" si="51"/>
        <v>0</v>
      </c>
    </row>
    <row r="53" spans="4:26" x14ac:dyDescent="0.25">
      <c r="D53" s="49">
        <v>20</v>
      </c>
      <c r="E53" s="80">
        <f t="shared" si="37"/>
        <v>0</v>
      </c>
      <c r="F53" s="80">
        <f t="shared" si="38"/>
        <v>0</v>
      </c>
      <c r="G53" s="80">
        <f t="shared" si="39"/>
        <v>0</v>
      </c>
      <c r="H53" s="80">
        <f t="shared" si="40"/>
        <v>0</v>
      </c>
      <c r="I53" s="80">
        <f t="shared" si="41"/>
        <v>0</v>
      </c>
      <c r="J53" s="80">
        <f t="shared" si="42"/>
        <v>0</v>
      </c>
      <c r="K53" s="81">
        <f t="shared" si="43"/>
        <v>0</v>
      </c>
      <c r="L53" s="81">
        <f t="shared" si="44"/>
        <v>0</v>
      </c>
      <c r="M53" s="81">
        <f t="shared" si="45"/>
        <v>0</v>
      </c>
      <c r="N53" s="81">
        <f t="shared" si="46"/>
        <v>0</v>
      </c>
      <c r="O53" s="81">
        <f t="shared" si="47"/>
        <v>0</v>
      </c>
      <c r="P53" s="81">
        <f t="shared" si="48"/>
        <v>0</v>
      </c>
      <c r="Q53" s="82">
        <f t="shared" si="49"/>
        <v>0</v>
      </c>
      <c r="R53" s="49">
        <f t="shared" si="50"/>
        <v>0</v>
      </c>
      <c r="S53" s="82">
        <f t="shared" si="51"/>
        <v>0</v>
      </c>
    </row>
    <row r="54" spans="4:26" x14ac:dyDescent="0.25">
      <c r="D54" s="49">
        <v>22</v>
      </c>
      <c r="E54" s="80">
        <f t="shared" si="37"/>
        <v>0</v>
      </c>
      <c r="F54" s="80">
        <f t="shared" si="38"/>
        <v>0</v>
      </c>
      <c r="G54" s="80">
        <f t="shared" si="39"/>
        <v>0</v>
      </c>
      <c r="H54" s="80">
        <f t="shared" si="40"/>
        <v>0</v>
      </c>
      <c r="I54" s="80">
        <f t="shared" si="41"/>
        <v>0</v>
      </c>
      <c r="J54" s="80">
        <f t="shared" si="42"/>
        <v>0</v>
      </c>
      <c r="K54" s="81">
        <f t="shared" si="43"/>
        <v>0</v>
      </c>
      <c r="L54" s="81">
        <f t="shared" si="44"/>
        <v>0</v>
      </c>
      <c r="M54" s="81">
        <f t="shared" si="45"/>
        <v>0</v>
      </c>
      <c r="N54" s="81">
        <f t="shared" si="46"/>
        <v>0</v>
      </c>
      <c r="O54" s="81">
        <f t="shared" si="47"/>
        <v>0</v>
      </c>
      <c r="P54" s="81">
        <f t="shared" si="48"/>
        <v>0</v>
      </c>
      <c r="Q54" s="82">
        <f t="shared" si="49"/>
        <v>0</v>
      </c>
      <c r="R54" s="49">
        <f t="shared" si="50"/>
        <v>0</v>
      </c>
      <c r="S54" s="82">
        <f t="shared" si="51"/>
        <v>0</v>
      </c>
    </row>
    <row r="55" spans="4:26" x14ac:dyDescent="0.25">
      <c r="D55" s="49">
        <v>25</v>
      </c>
      <c r="E55" s="80">
        <f t="shared" si="37"/>
        <v>0</v>
      </c>
      <c r="F55" s="80">
        <f t="shared" si="38"/>
        <v>0</v>
      </c>
      <c r="G55" s="80">
        <f t="shared" si="39"/>
        <v>0</v>
      </c>
      <c r="H55" s="80">
        <f t="shared" si="40"/>
        <v>0</v>
      </c>
      <c r="I55" s="80">
        <f t="shared" si="41"/>
        <v>0</v>
      </c>
      <c r="J55" s="80">
        <f t="shared" si="42"/>
        <v>0</v>
      </c>
      <c r="K55" s="81">
        <f t="shared" si="43"/>
        <v>0</v>
      </c>
      <c r="L55" s="81">
        <f t="shared" si="44"/>
        <v>0</v>
      </c>
      <c r="M55" s="81">
        <f t="shared" si="45"/>
        <v>0</v>
      </c>
      <c r="N55" s="81">
        <f t="shared" si="46"/>
        <v>0</v>
      </c>
      <c r="O55" s="81">
        <f t="shared" si="47"/>
        <v>0</v>
      </c>
      <c r="P55" s="81">
        <f t="shared" si="48"/>
        <v>0</v>
      </c>
      <c r="Q55" s="82">
        <f t="shared" si="49"/>
        <v>0</v>
      </c>
      <c r="R55" s="49">
        <f t="shared" si="50"/>
        <v>0</v>
      </c>
      <c r="S55" s="82">
        <f t="shared" si="51"/>
        <v>0</v>
      </c>
    </row>
    <row r="56" spans="4:26" x14ac:dyDescent="0.25">
      <c r="D56" s="49">
        <v>28</v>
      </c>
      <c r="E56" s="80">
        <f t="shared" si="37"/>
        <v>0</v>
      </c>
      <c r="F56" s="80">
        <f t="shared" si="38"/>
        <v>0</v>
      </c>
      <c r="G56" s="80">
        <f t="shared" si="39"/>
        <v>0</v>
      </c>
      <c r="H56" s="80">
        <f t="shared" si="40"/>
        <v>0</v>
      </c>
      <c r="I56" s="80">
        <f t="shared" si="41"/>
        <v>0</v>
      </c>
      <c r="J56" s="80">
        <f t="shared" si="42"/>
        <v>0</v>
      </c>
      <c r="K56" s="81">
        <f t="shared" si="43"/>
        <v>0</v>
      </c>
      <c r="L56" s="81">
        <f t="shared" si="44"/>
        <v>0</v>
      </c>
      <c r="M56" s="81">
        <f t="shared" si="45"/>
        <v>0</v>
      </c>
      <c r="N56" s="81">
        <f t="shared" si="46"/>
        <v>0</v>
      </c>
      <c r="O56" s="81">
        <f t="shared" si="47"/>
        <v>0</v>
      </c>
      <c r="P56" s="81">
        <f t="shared" si="48"/>
        <v>0</v>
      </c>
      <c r="Q56" s="82">
        <f t="shared" si="49"/>
        <v>0</v>
      </c>
      <c r="R56" s="49">
        <f t="shared" si="50"/>
        <v>0</v>
      </c>
      <c r="S56" s="82">
        <f t="shared" si="51"/>
        <v>0</v>
      </c>
    </row>
    <row r="57" spans="4:26" x14ac:dyDescent="0.25">
      <c r="D57" s="49">
        <v>32</v>
      </c>
      <c r="E57" s="80">
        <f t="shared" si="37"/>
        <v>0</v>
      </c>
      <c r="F57" s="80">
        <f t="shared" si="38"/>
        <v>0</v>
      </c>
      <c r="G57" s="80">
        <f t="shared" si="39"/>
        <v>0</v>
      </c>
      <c r="H57" s="80">
        <f t="shared" si="40"/>
        <v>0</v>
      </c>
      <c r="I57" s="80">
        <f t="shared" si="41"/>
        <v>0</v>
      </c>
      <c r="J57" s="80">
        <f t="shared" si="42"/>
        <v>0</v>
      </c>
      <c r="K57" s="81">
        <f t="shared" si="43"/>
        <v>0</v>
      </c>
      <c r="L57" s="81">
        <f t="shared" si="44"/>
        <v>0</v>
      </c>
      <c r="M57" s="81">
        <f t="shared" si="45"/>
        <v>0</v>
      </c>
      <c r="N57" s="81">
        <f t="shared" si="46"/>
        <v>0</v>
      </c>
      <c r="O57" s="81">
        <f t="shared" si="47"/>
        <v>0</v>
      </c>
      <c r="P57" s="81">
        <f t="shared" si="48"/>
        <v>0</v>
      </c>
      <c r="Q57" s="82">
        <f t="shared" si="49"/>
        <v>0</v>
      </c>
      <c r="R57" s="49">
        <f t="shared" si="50"/>
        <v>0</v>
      </c>
      <c r="S57" s="82">
        <f t="shared" si="51"/>
        <v>0</v>
      </c>
    </row>
    <row r="59" spans="4:26" x14ac:dyDescent="0.25">
      <c r="D59" s="49" t="s">
        <v>11</v>
      </c>
      <c r="E59" s="49">
        <v>1</v>
      </c>
      <c r="F59" s="49">
        <v>2</v>
      </c>
      <c r="G59" s="49">
        <v>3</v>
      </c>
      <c r="H59" s="49">
        <v>4</v>
      </c>
      <c r="I59" s="49">
        <v>5</v>
      </c>
      <c r="J59" s="49">
        <v>6</v>
      </c>
      <c r="K59" s="49">
        <v>7</v>
      </c>
      <c r="L59" s="49">
        <v>8</v>
      </c>
      <c r="M59" s="49">
        <v>9</v>
      </c>
      <c r="N59" s="49">
        <v>10</v>
      </c>
      <c r="O59" s="49">
        <v>11</v>
      </c>
      <c r="P59" s="49">
        <v>12</v>
      </c>
      <c r="Q59" s="49" t="s">
        <v>19</v>
      </c>
    </row>
    <row r="60" spans="4:26" x14ac:dyDescent="0.25">
      <c r="D60" s="49">
        <v>8</v>
      </c>
      <c r="E60" s="80">
        <f>IF($E$59&lt;=$E$44,G31,0)</f>
        <v>0</v>
      </c>
      <c r="F60" s="80">
        <f>IF($F$59&lt;=$E$44,N31,0)</f>
        <v>0</v>
      </c>
      <c r="G60" s="80">
        <f>IF($G$59&lt;=$E$44,U31,0)</f>
        <v>0</v>
      </c>
      <c r="H60" s="80">
        <f>IF($H$59&lt;=$E$44,AB31,0)</f>
        <v>0</v>
      </c>
      <c r="I60" s="80">
        <f>IF($I$59&lt;=$E$44,AI31,0)</f>
        <v>0</v>
      </c>
      <c r="J60" s="80">
        <f>IF($J$59&lt;=$E$44,AP31,0)</f>
        <v>0</v>
      </c>
      <c r="K60" s="81">
        <f>IF($K$59&lt;=$E$44,AW31,0)</f>
        <v>0</v>
      </c>
      <c r="L60" s="81">
        <f>IF($L$59&lt;=$E$44,BD31,0)</f>
        <v>0</v>
      </c>
      <c r="M60" s="81">
        <f>IF($M$59&lt;=$E$44,BK31,0)</f>
        <v>0</v>
      </c>
      <c r="N60" s="81">
        <f>IF($N$59&lt;=$E$44,BR31,0)</f>
        <v>0</v>
      </c>
      <c r="O60" s="81">
        <f>IF($O$59&lt;=$E$44,BY31,0)</f>
        <v>0</v>
      </c>
      <c r="P60" s="81">
        <f>IF($P$59&lt;=$E$44,CF31,0)</f>
        <v>0</v>
      </c>
      <c r="Q60" s="82">
        <f>SUM(E60:P60)</f>
        <v>0</v>
      </c>
      <c r="S60" s="82">
        <f>SUM(Q60:R60)</f>
        <v>0</v>
      </c>
      <c r="V60" s="83" t="s">
        <v>21</v>
      </c>
      <c r="W60" s="102" t="s">
        <v>22</v>
      </c>
      <c r="X60" s="102"/>
      <c r="Y60" s="101" t="s">
        <v>23</v>
      </c>
      <c r="Z60" s="101"/>
    </row>
    <row r="61" spans="4:26" x14ac:dyDescent="0.25">
      <c r="D61" s="49">
        <v>10</v>
      </c>
      <c r="E61" s="80">
        <f t="shared" ref="E61:E70" si="52">IF($E$59&lt;=$E$44,G32,0)</f>
        <v>16.365543425270719</v>
      </c>
      <c r="F61" s="80">
        <f t="shared" ref="F61:F70" si="53">IF($F$59&lt;=$E$44,N32,0)</f>
        <v>15.801214341640689</v>
      </c>
      <c r="G61" s="80">
        <f t="shared" ref="G61:G70" si="54">IF($G$59&lt;=$E$44,U32,0)</f>
        <v>0</v>
      </c>
      <c r="H61" s="80">
        <f t="shared" ref="H61:H70" si="55">IF($H$59&lt;=$E$44,AB32,0)</f>
        <v>0</v>
      </c>
      <c r="I61" s="80">
        <f t="shared" ref="I61:I70" si="56">IF($I$59&lt;=$E$44,AI32,0)</f>
        <v>0</v>
      </c>
      <c r="J61" s="80">
        <f t="shared" ref="J61:J70" si="57">IF($J$59&lt;=$E$44,AP32,0)</f>
        <v>0</v>
      </c>
      <c r="K61" s="81">
        <f t="shared" ref="K61:K70" si="58">IF($K$59&lt;=$E$44,AW32,0)</f>
        <v>0</v>
      </c>
      <c r="L61" s="81">
        <f t="shared" ref="L61:L70" si="59">IF($L$59&lt;=$E$44,BD32,0)</f>
        <v>0</v>
      </c>
      <c r="M61" s="81">
        <f t="shared" ref="M61:M70" si="60">IF($M$59&lt;=$E$44,BK32,0)</f>
        <v>0</v>
      </c>
      <c r="N61" s="81">
        <f t="shared" ref="N61:N70" si="61">IF($N$59&lt;=$E$44,BR32,0)</f>
        <v>0</v>
      </c>
      <c r="O61" s="81">
        <f t="shared" ref="O61:O70" si="62">IF($O$59&lt;=$E$44,BY32,0)</f>
        <v>0</v>
      </c>
      <c r="P61" s="81">
        <f t="shared" ref="P61:P70" si="63">IF($P$59&lt;=$E$44,CF32,0)</f>
        <v>0</v>
      </c>
      <c r="Q61" s="82">
        <f t="shared" ref="Q61:Q70" si="64">SUM(E61:P61)</f>
        <v>32.16675776691141</v>
      </c>
      <c r="S61" s="82">
        <f t="shared" ref="S61:S70" si="65">SUM(Q61:R61)</f>
        <v>32.16675776691141</v>
      </c>
      <c r="V61" s="84">
        <v>8</v>
      </c>
      <c r="W61" s="100">
        <f>Calculation!S47</f>
        <v>0</v>
      </c>
      <c r="X61" s="100"/>
      <c r="Y61" s="100">
        <f>Calculation!S60</f>
        <v>0</v>
      </c>
      <c r="Z61" s="100"/>
    </row>
    <row r="62" spans="4:26" x14ac:dyDescent="0.25">
      <c r="D62" s="49">
        <v>12</v>
      </c>
      <c r="E62" s="80">
        <f t="shared" si="52"/>
        <v>0</v>
      </c>
      <c r="F62" s="80">
        <f t="shared" si="53"/>
        <v>0</v>
      </c>
      <c r="G62" s="80">
        <f t="shared" si="54"/>
        <v>0</v>
      </c>
      <c r="H62" s="80">
        <f t="shared" si="55"/>
        <v>0</v>
      </c>
      <c r="I62" s="80">
        <f t="shared" si="56"/>
        <v>0</v>
      </c>
      <c r="J62" s="80">
        <f t="shared" si="57"/>
        <v>0</v>
      </c>
      <c r="K62" s="81">
        <f t="shared" si="58"/>
        <v>0</v>
      </c>
      <c r="L62" s="81">
        <f t="shared" si="59"/>
        <v>0</v>
      </c>
      <c r="M62" s="81">
        <f t="shared" si="60"/>
        <v>0</v>
      </c>
      <c r="N62" s="81">
        <f t="shared" si="61"/>
        <v>0</v>
      </c>
      <c r="O62" s="81">
        <f t="shared" si="62"/>
        <v>0</v>
      </c>
      <c r="P62" s="81">
        <f t="shared" si="63"/>
        <v>0</v>
      </c>
      <c r="Q62" s="82">
        <f t="shared" si="64"/>
        <v>0</v>
      </c>
      <c r="S62" s="82">
        <f t="shared" si="65"/>
        <v>0</v>
      </c>
      <c r="V62" s="84">
        <v>10</v>
      </c>
      <c r="W62" s="100">
        <f>Calculation!S48</f>
        <v>0</v>
      </c>
      <c r="X62" s="100"/>
      <c r="Y62" s="100">
        <f>Calculation!S61</f>
        <v>32.16675776691141</v>
      </c>
      <c r="Z62" s="100"/>
    </row>
    <row r="63" spans="4:26" x14ac:dyDescent="0.25">
      <c r="D63" s="49">
        <v>14</v>
      </c>
      <c r="E63" s="80">
        <f t="shared" si="52"/>
        <v>0</v>
      </c>
      <c r="F63" s="80">
        <f t="shared" si="53"/>
        <v>0</v>
      </c>
      <c r="G63" s="80">
        <f t="shared" si="54"/>
        <v>0</v>
      </c>
      <c r="H63" s="80">
        <f t="shared" si="55"/>
        <v>0</v>
      </c>
      <c r="I63" s="80">
        <f t="shared" si="56"/>
        <v>0</v>
      </c>
      <c r="J63" s="80">
        <f t="shared" si="57"/>
        <v>0</v>
      </c>
      <c r="K63" s="81">
        <f t="shared" si="58"/>
        <v>0</v>
      </c>
      <c r="L63" s="81">
        <f t="shared" si="59"/>
        <v>0</v>
      </c>
      <c r="M63" s="81">
        <f t="shared" si="60"/>
        <v>0</v>
      </c>
      <c r="N63" s="81">
        <f t="shared" si="61"/>
        <v>0</v>
      </c>
      <c r="O63" s="81">
        <f t="shared" si="62"/>
        <v>0</v>
      </c>
      <c r="P63" s="81">
        <f t="shared" si="63"/>
        <v>0</v>
      </c>
      <c r="Q63" s="82">
        <f t="shared" si="64"/>
        <v>0</v>
      </c>
      <c r="S63" s="82">
        <f t="shared" si="65"/>
        <v>0</v>
      </c>
      <c r="V63" s="84">
        <v>12</v>
      </c>
      <c r="W63" s="100">
        <f>Calculation!S49</f>
        <v>12.738539531104495</v>
      </c>
      <c r="X63" s="100"/>
      <c r="Y63" s="100">
        <f>Calculation!S62</f>
        <v>0</v>
      </c>
      <c r="Z63" s="100"/>
    </row>
    <row r="64" spans="4:26" x14ac:dyDescent="0.25">
      <c r="D64" s="49">
        <v>16</v>
      </c>
      <c r="E64" s="80">
        <f t="shared" si="52"/>
        <v>0</v>
      </c>
      <c r="F64" s="80">
        <f t="shared" si="53"/>
        <v>0</v>
      </c>
      <c r="G64" s="80">
        <f t="shared" si="54"/>
        <v>0</v>
      </c>
      <c r="H64" s="80">
        <f t="shared" si="55"/>
        <v>0</v>
      </c>
      <c r="I64" s="80">
        <f t="shared" si="56"/>
        <v>0</v>
      </c>
      <c r="J64" s="80">
        <f t="shared" si="57"/>
        <v>0</v>
      </c>
      <c r="K64" s="81">
        <f t="shared" si="58"/>
        <v>0</v>
      </c>
      <c r="L64" s="81">
        <f t="shared" si="59"/>
        <v>0</v>
      </c>
      <c r="M64" s="81">
        <f t="shared" si="60"/>
        <v>0</v>
      </c>
      <c r="N64" s="81">
        <f t="shared" si="61"/>
        <v>0</v>
      </c>
      <c r="O64" s="81">
        <f t="shared" si="62"/>
        <v>0</v>
      </c>
      <c r="P64" s="81">
        <f t="shared" si="63"/>
        <v>0</v>
      </c>
      <c r="Q64" s="82">
        <f t="shared" si="64"/>
        <v>0</v>
      </c>
      <c r="S64" s="82">
        <f t="shared" si="65"/>
        <v>0</v>
      </c>
      <c r="V64" s="84">
        <v>14</v>
      </c>
      <c r="W64" s="100">
        <f>Calculation!S50</f>
        <v>0</v>
      </c>
      <c r="X64" s="100"/>
      <c r="Y64" s="100">
        <f>Calculation!S63</f>
        <v>0</v>
      </c>
      <c r="Z64" s="100"/>
    </row>
    <row r="65" spans="4:26" x14ac:dyDescent="0.25">
      <c r="D65" s="49">
        <v>18</v>
      </c>
      <c r="E65" s="80">
        <f t="shared" si="52"/>
        <v>0</v>
      </c>
      <c r="F65" s="80">
        <f t="shared" si="53"/>
        <v>0</v>
      </c>
      <c r="G65" s="80">
        <f t="shared" si="54"/>
        <v>0</v>
      </c>
      <c r="H65" s="80">
        <f t="shared" si="55"/>
        <v>0</v>
      </c>
      <c r="I65" s="80">
        <f t="shared" si="56"/>
        <v>0</v>
      </c>
      <c r="J65" s="80">
        <f t="shared" si="57"/>
        <v>0</v>
      </c>
      <c r="K65" s="81">
        <f t="shared" si="58"/>
        <v>0</v>
      </c>
      <c r="L65" s="81">
        <f t="shared" si="59"/>
        <v>0</v>
      </c>
      <c r="M65" s="81">
        <f t="shared" si="60"/>
        <v>0</v>
      </c>
      <c r="N65" s="81">
        <f t="shared" si="61"/>
        <v>0</v>
      </c>
      <c r="O65" s="81">
        <f t="shared" si="62"/>
        <v>0</v>
      </c>
      <c r="P65" s="81">
        <f t="shared" si="63"/>
        <v>0</v>
      </c>
      <c r="Q65" s="82">
        <f t="shared" si="64"/>
        <v>0</v>
      </c>
      <c r="S65" s="82">
        <f t="shared" si="65"/>
        <v>0</v>
      </c>
      <c r="V65" s="84">
        <v>16</v>
      </c>
      <c r="W65" s="100">
        <f>Calculation!S51</f>
        <v>63.489591703475604</v>
      </c>
      <c r="X65" s="100"/>
      <c r="Y65" s="100">
        <f>Calculation!S64</f>
        <v>0</v>
      </c>
      <c r="Z65" s="100"/>
    </row>
    <row r="66" spans="4:26" x14ac:dyDescent="0.25">
      <c r="D66" s="49">
        <v>20</v>
      </c>
      <c r="E66" s="80">
        <f t="shared" si="52"/>
        <v>0</v>
      </c>
      <c r="F66" s="80">
        <f t="shared" si="53"/>
        <v>0</v>
      </c>
      <c r="G66" s="80">
        <f t="shared" si="54"/>
        <v>0</v>
      </c>
      <c r="H66" s="80">
        <f t="shared" si="55"/>
        <v>0</v>
      </c>
      <c r="I66" s="80">
        <f t="shared" si="56"/>
        <v>0</v>
      </c>
      <c r="J66" s="80">
        <f t="shared" si="57"/>
        <v>0</v>
      </c>
      <c r="K66" s="81">
        <f t="shared" si="58"/>
        <v>0</v>
      </c>
      <c r="L66" s="81">
        <f t="shared" si="59"/>
        <v>0</v>
      </c>
      <c r="M66" s="81">
        <f t="shared" si="60"/>
        <v>0</v>
      </c>
      <c r="N66" s="81">
        <f t="shared" si="61"/>
        <v>0</v>
      </c>
      <c r="O66" s="81">
        <f t="shared" si="62"/>
        <v>0</v>
      </c>
      <c r="P66" s="81">
        <f t="shared" si="63"/>
        <v>0</v>
      </c>
      <c r="Q66" s="82">
        <f t="shared" si="64"/>
        <v>0</v>
      </c>
      <c r="S66" s="82">
        <f t="shared" si="65"/>
        <v>0</v>
      </c>
      <c r="V66" s="84">
        <v>18</v>
      </c>
      <c r="W66" s="100">
        <f>Calculation!S52</f>
        <v>0</v>
      </c>
      <c r="X66" s="100"/>
      <c r="Y66" s="100">
        <f>Calculation!S65</f>
        <v>0</v>
      </c>
      <c r="Z66" s="100"/>
    </row>
    <row r="67" spans="4:26" x14ac:dyDescent="0.25">
      <c r="D67" s="49">
        <v>22</v>
      </c>
      <c r="E67" s="80">
        <f t="shared" si="52"/>
        <v>0</v>
      </c>
      <c r="F67" s="80">
        <f t="shared" si="53"/>
        <v>0</v>
      </c>
      <c r="G67" s="80">
        <f t="shared" si="54"/>
        <v>0</v>
      </c>
      <c r="H67" s="80">
        <f t="shared" si="55"/>
        <v>0</v>
      </c>
      <c r="I67" s="80">
        <f t="shared" si="56"/>
        <v>0</v>
      </c>
      <c r="J67" s="80">
        <f t="shared" si="57"/>
        <v>0</v>
      </c>
      <c r="K67" s="81">
        <f t="shared" si="58"/>
        <v>0</v>
      </c>
      <c r="L67" s="81">
        <f t="shared" si="59"/>
        <v>0</v>
      </c>
      <c r="M67" s="81">
        <f t="shared" si="60"/>
        <v>0</v>
      </c>
      <c r="N67" s="81">
        <f t="shared" si="61"/>
        <v>0</v>
      </c>
      <c r="O67" s="81">
        <f t="shared" si="62"/>
        <v>0</v>
      </c>
      <c r="P67" s="81">
        <f t="shared" si="63"/>
        <v>0</v>
      </c>
      <c r="Q67" s="82">
        <f t="shared" si="64"/>
        <v>0</v>
      </c>
      <c r="S67" s="82">
        <f t="shared" si="65"/>
        <v>0</v>
      </c>
      <c r="V67" s="84">
        <v>20</v>
      </c>
      <c r="W67" s="100">
        <f>Calculation!S53</f>
        <v>0</v>
      </c>
      <c r="X67" s="100"/>
      <c r="Y67" s="100">
        <f>Calculation!S66</f>
        <v>0</v>
      </c>
      <c r="Z67" s="100"/>
    </row>
    <row r="68" spans="4:26" x14ac:dyDescent="0.25">
      <c r="D68" s="49">
        <v>25</v>
      </c>
      <c r="E68" s="80">
        <f t="shared" si="52"/>
        <v>0</v>
      </c>
      <c r="F68" s="80">
        <f t="shared" si="53"/>
        <v>0</v>
      </c>
      <c r="G68" s="80">
        <f t="shared" si="54"/>
        <v>0</v>
      </c>
      <c r="H68" s="80">
        <f t="shared" si="55"/>
        <v>0</v>
      </c>
      <c r="I68" s="80">
        <f t="shared" si="56"/>
        <v>0</v>
      </c>
      <c r="J68" s="80">
        <f t="shared" si="57"/>
        <v>0</v>
      </c>
      <c r="K68" s="81">
        <f t="shared" si="58"/>
        <v>0</v>
      </c>
      <c r="L68" s="81">
        <f t="shared" si="59"/>
        <v>0</v>
      </c>
      <c r="M68" s="81">
        <f t="shared" si="60"/>
        <v>0</v>
      </c>
      <c r="N68" s="81">
        <f t="shared" si="61"/>
        <v>0</v>
      </c>
      <c r="O68" s="81">
        <f t="shared" si="62"/>
        <v>0</v>
      </c>
      <c r="P68" s="81">
        <f t="shared" si="63"/>
        <v>0</v>
      </c>
      <c r="Q68" s="82">
        <f t="shared" si="64"/>
        <v>0</v>
      </c>
      <c r="S68" s="82">
        <f t="shared" si="65"/>
        <v>0</v>
      </c>
      <c r="V68" s="84">
        <v>22</v>
      </c>
      <c r="W68" s="100">
        <f>Calculation!S54</f>
        <v>0</v>
      </c>
      <c r="X68" s="100"/>
      <c r="Y68" s="100">
        <f>Calculation!S67</f>
        <v>0</v>
      </c>
      <c r="Z68" s="100"/>
    </row>
    <row r="69" spans="4:26" x14ac:dyDescent="0.25">
      <c r="D69" s="49">
        <v>28</v>
      </c>
      <c r="E69" s="80">
        <f t="shared" si="52"/>
        <v>0</v>
      </c>
      <c r="F69" s="80">
        <f t="shared" si="53"/>
        <v>0</v>
      </c>
      <c r="G69" s="80">
        <f t="shared" si="54"/>
        <v>0</v>
      </c>
      <c r="H69" s="80">
        <f t="shared" si="55"/>
        <v>0</v>
      </c>
      <c r="I69" s="80">
        <f t="shared" si="56"/>
        <v>0</v>
      </c>
      <c r="J69" s="80">
        <f t="shared" si="57"/>
        <v>0</v>
      </c>
      <c r="K69" s="81">
        <f t="shared" si="58"/>
        <v>0</v>
      </c>
      <c r="L69" s="81">
        <f t="shared" si="59"/>
        <v>0</v>
      </c>
      <c r="M69" s="81">
        <f t="shared" si="60"/>
        <v>0</v>
      </c>
      <c r="N69" s="81">
        <f t="shared" si="61"/>
        <v>0</v>
      </c>
      <c r="O69" s="81">
        <f t="shared" si="62"/>
        <v>0</v>
      </c>
      <c r="P69" s="81">
        <f t="shared" si="63"/>
        <v>0</v>
      </c>
      <c r="Q69" s="82">
        <f t="shared" si="64"/>
        <v>0</v>
      </c>
      <c r="S69" s="82">
        <f t="shared" si="65"/>
        <v>0</v>
      </c>
      <c r="V69" s="84">
        <v>25</v>
      </c>
      <c r="W69" s="100">
        <f>Calculation!S55</f>
        <v>0</v>
      </c>
      <c r="X69" s="100"/>
      <c r="Y69" s="100">
        <f>Calculation!S68</f>
        <v>0</v>
      </c>
      <c r="Z69" s="100"/>
    </row>
    <row r="70" spans="4:26" x14ac:dyDescent="0.25">
      <c r="D70" s="49">
        <v>32</v>
      </c>
      <c r="E70" s="80">
        <f t="shared" si="52"/>
        <v>0</v>
      </c>
      <c r="F70" s="80">
        <f t="shared" si="53"/>
        <v>0</v>
      </c>
      <c r="G70" s="80">
        <f t="shared" si="54"/>
        <v>0</v>
      </c>
      <c r="H70" s="80">
        <f t="shared" si="55"/>
        <v>0</v>
      </c>
      <c r="I70" s="80">
        <f t="shared" si="56"/>
        <v>0</v>
      </c>
      <c r="J70" s="80">
        <f t="shared" si="57"/>
        <v>0</v>
      </c>
      <c r="K70" s="81">
        <f t="shared" si="58"/>
        <v>0</v>
      </c>
      <c r="L70" s="81">
        <f t="shared" si="59"/>
        <v>0</v>
      </c>
      <c r="M70" s="81">
        <f t="shared" si="60"/>
        <v>0</v>
      </c>
      <c r="N70" s="81">
        <f t="shared" si="61"/>
        <v>0</v>
      </c>
      <c r="O70" s="81">
        <f t="shared" si="62"/>
        <v>0</v>
      </c>
      <c r="P70" s="81">
        <f t="shared" si="63"/>
        <v>0</v>
      </c>
      <c r="Q70" s="82">
        <f t="shared" si="64"/>
        <v>0</v>
      </c>
      <c r="S70" s="82">
        <f t="shared" si="65"/>
        <v>0</v>
      </c>
      <c r="V70" s="84">
        <v>28</v>
      </c>
      <c r="W70" s="100">
        <f>Calculation!S56</f>
        <v>0</v>
      </c>
      <c r="X70" s="100"/>
      <c r="Y70" s="100">
        <f>Calculation!S69</f>
        <v>0</v>
      </c>
      <c r="Z70" s="100"/>
    </row>
    <row r="71" spans="4:26" x14ac:dyDescent="0.25">
      <c r="V71" s="84">
        <v>32</v>
      </c>
      <c r="W71" s="100">
        <f>Calculation!S57</f>
        <v>0</v>
      </c>
      <c r="X71" s="100"/>
      <c r="Y71" s="100">
        <f>Calculation!S70</f>
        <v>0</v>
      </c>
      <c r="Z71" s="100"/>
    </row>
    <row r="81" spans="7:9" x14ac:dyDescent="0.25">
      <c r="G81" s="49" t="s">
        <v>28</v>
      </c>
    </row>
    <row r="82" spans="7:9" x14ac:dyDescent="0.25">
      <c r="G82" s="49">
        <f>SUM('Beam Estimating V1.1 (721.7.23)'!F10+'Beam Estimating V1.1 (721.7.23)'!M10+'Beam Estimating V1.1 (721.7.23)'!T10+'Beam Estimating V1.1 (721.7.23)'!AA10+'Beam Estimating V1.1 (721.7.23)'!AH10+'Beam Estimating V1.1 (721.7.23)'!AO10+'Beam Estimating V1.1 (721.7.23)'!AV10+'Beam Estimating V1.1 (721.7.23)'!BC10+'Beam Estimating V1.1 (721.7.23)'!BJ10+'Beam Estimating V1.1 (721.7.23)'!BQ10+'Beam Estimating V1.1 (721.7.23)'!BX10+'Beam Estimating V1.1 (721.7.23)'!CE10)</f>
        <v>34.5</v>
      </c>
      <c r="H82" s="49" t="s">
        <v>29</v>
      </c>
    </row>
    <row r="84" spans="7:9" x14ac:dyDescent="0.25">
      <c r="G84" s="99" t="s">
        <v>26</v>
      </c>
      <c r="H84" s="99"/>
      <c r="I84" s="99"/>
    </row>
    <row r="85" spans="7:9" x14ac:dyDescent="0.25">
      <c r="G85" s="49">
        <f>'Beam Estimating V1.1 (721.7.23)'!F2</f>
        <v>1</v>
      </c>
      <c r="H85" s="49">
        <f>'Beam Estimating V1.1 (721.7.23)'!G2</f>
        <v>1</v>
      </c>
      <c r="I85" s="49">
        <f>'Beam Estimating V1.1 (721.7.23)'!H2</f>
        <v>1</v>
      </c>
    </row>
    <row r="87" spans="7:9" x14ac:dyDescent="0.25">
      <c r="G87" s="49" t="s">
        <v>30</v>
      </c>
      <c r="H87" s="49">
        <f>((G85*G82)/(G85+H85+I85))/1.25</f>
        <v>9.1999999999999993</v>
      </c>
    </row>
    <row r="88" spans="7:9" x14ac:dyDescent="0.25">
      <c r="G88" s="49" t="s">
        <v>31</v>
      </c>
      <c r="H88" s="49">
        <f>((H85*G82)/(G85+H85+I85))</f>
        <v>11.5</v>
      </c>
    </row>
    <row r="89" spans="7:9" x14ac:dyDescent="0.25">
      <c r="G89" s="49" t="s">
        <v>32</v>
      </c>
      <c r="H89" s="49">
        <f>((I85*G82)/(G85+H85+I85))</f>
        <v>11.5</v>
      </c>
    </row>
  </sheetData>
  <sheetProtection algorithmName="SHA-512" hashValue="PXPY6/6ehCF889vfSxu3Lkz780GjjWBwvBkk3pnExkHjDuFgHXWkUdiuibPGzP7I3yPPqKgrifZcjusKRUwrOg==" saltValue="mBDZ98PuPiZFtpOpdnRctA==" spinCount="100000" sheet="1" objects="1" scenarios="1" selectLockedCells="1"/>
  <mergeCells count="229">
    <mergeCell ref="BZ23:CA23"/>
    <mergeCell ref="BZ24:CA24"/>
    <mergeCell ref="BZ25:CA25"/>
    <mergeCell ref="BZ26:CA26"/>
    <mergeCell ref="BZ27:CA27"/>
    <mergeCell ref="BZ28:CA28"/>
    <mergeCell ref="CG23:CH23"/>
    <mergeCell ref="CG24:CH24"/>
    <mergeCell ref="CG25:CH25"/>
    <mergeCell ref="CG26:CH26"/>
    <mergeCell ref="CG27:CH27"/>
    <mergeCell ref="CG28:CH28"/>
    <mergeCell ref="BL23:BM23"/>
    <mergeCell ref="BL24:BM24"/>
    <mergeCell ref="BL25:BM25"/>
    <mergeCell ref="BL26:BM26"/>
    <mergeCell ref="BL27:BM27"/>
    <mergeCell ref="BL28:BM28"/>
    <mergeCell ref="BS23:BT23"/>
    <mergeCell ref="BS24:BT24"/>
    <mergeCell ref="BS25:BT25"/>
    <mergeCell ref="BS26:BT26"/>
    <mergeCell ref="BS27:BT27"/>
    <mergeCell ref="BS28:BT28"/>
    <mergeCell ref="AX23:AY23"/>
    <mergeCell ref="AX24:AY24"/>
    <mergeCell ref="AX25:AY25"/>
    <mergeCell ref="AX26:AY26"/>
    <mergeCell ref="AX27:AY27"/>
    <mergeCell ref="AX28:AY28"/>
    <mergeCell ref="BE23:BF23"/>
    <mergeCell ref="BE24:BF24"/>
    <mergeCell ref="BE25:BF25"/>
    <mergeCell ref="BE26:BF26"/>
    <mergeCell ref="BE27:BF27"/>
    <mergeCell ref="BE28:BF28"/>
    <mergeCell ref="AJ23:AK23"/>
    <mergeCell ref="AJ24:AK24"/>
    <mergeCell ref="AJ25:AK25"/>
    <mergeCell ref="AJ26:AK26"/>
    <mergeCell ref="AJ27:AK27"/>
    <mergeCell ref="AJ28:AK28"/>
    <mergeCell ref="AQ23:AR23"/>
    <mergeCell ref="AQ24:AR24"/>
    <mergeCell ref="AQ25:AR25"/>
    <mergeCell ref="AQ26:AR26"/>
    <mergeCell ref="AQ27:AR27"/>
    <mergeCell ref="AQ28:AR28"/>
    <mergeCell ref="V23:W23"/>
    <mergeCell ref="V24:W24"/>
    <mergeCell ref="V25:W25"/>
    <mergeCell ref="V26:W26"/>
    <mergeCell ref="V27:W27"/>
    <mergeCell ref="V28:W28"/>
    <mergeCell ref="AC23:AD23"/>
    <mergeCell ref="AC24:AD24"/>
    <mergeCell ref="AC25:AD25"/>
    <mergeCell ref="AC26:AD26"/>
    <mergeCell ref="AC27:AD27"/>
    <mergeCell ref="AC28:AD28"/>
    <mergeCell ref="H23:I23"/>
    <mergeCell ref="H24:I24"/>
    <mergeCell ref="H25:I25"/>
    <mergeCell ref="H26:I26"/>
    <mergeCell ref="H27:I27"/>
    <mergeCell ref="H28:I28"/>
    <mergeCell ref="O23:P23"/>
    <mergeCell ref="O24:P24"/>
    <mergeCell ref="O25:P25"/>
    <mergeCell ref="O26:P26"/>
    <mergeCell ref="O27:P27"/>
    <mergeCell ref="O28:P28"/>
    <mergeCell ref="CA17:CB17"/>
    <mergeCell ref="CA18:CB18"/>
    <mergeCell ref="CA19:CB19"/>
    <mergeCell ref="CA20:CB20"/>
    <mergeCell ref="CA21:CB21"/>
    <mergeCell ref="CA12:CB12"/>
    <mergeCell ref="CA13:CB13"/>
    <mergeCell ref="CA14:CB14"/>
    <mergeCell ref="CA15:CB15"/>
    <mergeCell ref="CA16:CB16"/>
    <mergeCell ref="BT17:BU17"/>
    <mergeCell ref="BT18:BU18"/>
    <mergeCell ref="BT19:BU19"/>
    <mergeCell ref="BT20:BU20"/>
    <mergeCell ref="BT21:BU21"/>
    <mergeCell ref="BT12:BU12"/>
    <mergeCell ref="BT13:BU13"/>
    <mergeCell ref="BT14:BU14"/>
    <mergeCell ref="BT15:BU15"/>
    <mergeCell ref="BT16:BU16"/>
    <mergeCell ref="BM17:BN17"/>
    <mergeCell ref="BM18:BN18"/>
    <mergeCell ref="BM19:BN19"/>
    <mergeCell ref="BM20:BN20"/>
    <mergeCell ref="BM21:BN21"/>
    <mergeCell ref="BM12:BN12"/>
    <mergeCell ref="BM13:BN13"/>
    <mergeCell ref="BM14:BN14"/>
    <mergeCell ref="BM15:BN15"/>
    <mergeCell ref="BM16:BN16"/>
    <mergeCell ref="BF17:BG17"/>
    <mergeCell ref="BF18:BG18"/>
    <mergeCell ref="BF19:BG19"/>
    <mergeCell ref="BF20:BG20"/>
    <mergeCell ref="BF21:BG21"/>
    <mergeCell ref="BF12:BG12"/>
    <mergeCell ref="BF13:BG13"/>
    <mergeCell ref="BF14:BG14"/>
    <mergeCell ref="BF15:BG15"/>
    <mergeCell ref="BF16:BG16"/>
    <mergeCell ref="AY17:AZ17"/>
    <mergeCell ref="AY18:AZ18"/>
    <mergeCell ref="AY19:AZ19"/>
    <mergeCell ref="AY20:AZ20"/>
    <mergeCell ref="AY21:AZ21"/>
    <mergeCell ref="AY12:AZ12"/>
    <mergeCell ref="AY13:AZ13"/>
    <mergeCell ref="AY14:AZ14"/>
    <mergeCell ref="AY15:AZ15"/>
    <mergeCell ref="AY16:AZ16"/>
    <mergeCell ref="AR17:AS17"/>
    <mergeCell ref="AR18:AS18"/>
    <mergeCell ref="AR19:AS19"/>
    <mergeCell ref="AR20:AS20"/>
    <mergeCell ref="AR21:AS21"/>
    <mergeCell ref="AR12:AS12"/>
    <mergeCell ref="AR13:AS13"/>
    <mergeCell ref="AR14:AS14"/>
    <mergeCell ref="AR15:AS15"/>
    <mergeCell ref="AR16:AS16"/>
    <mergeCell ref="AK17:AL17"/>
    <mergeCell ref="AK18:AL18"/>
    <mergeCell ref="AK19:AL19"/>
    <mergeCell ref="AK20:AL20"/>
    <mergeCell ref="AK21:AL21"/>
    <mergeCell ref="AK12:AL12"/>
    <mergeCell ref="AK13:AL13"/>
    <mergeCell ref="AK14:AL14"/>
    <mergeCell ref="AK15:AL15"/>
    <mergeCell ref="AK16:AL16"/>
    <mergeCell ref="AD17:AE17"/>
    <mergeCell ref="AD18:AE18"/>
    <mergeCell ref="AD19:AE19"/>
    <mergeCell ref="AD20:AE20"/>
    <mergeCell ref="AD21:AE21"/>
    <mergeCell ref="AD12:AE12"/>
    <mergeCell ref="AD13:AE13"/>
    <mergeCell ref="AD14:AE14"/>
    <mergeCell ref="AD15:AE15"/>
    <mergeCell ref="AD16:AE16"/>
    <mergeCell ref="P20:Q20"/>
    <mergeCell ref="P21:Q21"/>
    <mergeCell ref="P12:Q12"/>
    <mergeCell ref="P13:Q13"/>
    <mergeCell ref="P14:Q14"/>
    <mergeCell ref="P15:Q15"/>
    <mergeCell ref="P16:Q16"/>
    <mergeCell ref="W17:X17"/>
    <mergeCell ref="W18:X18"/>
    <mergeCell ref="W19:X19"/>
    <mergeCell ref="W20:X20"/>
    <mergeCell ref="W21:X21"/>
    <mergeCell ref="W12:X12"/>
    <mergeCell ref="W13:X13"/>
    <mergeCell ref="W14:X14"/>
    <mergeCell ref="W15:X15"/>
    <mergeCell ref="W16:X16"/>
    <mergeCell ref="CE7:CF7"/>
    <mergeCell ref="F7:G7"/>
    <mergeCell ref="M7:N7"/>
    <mergeCell ref="T7:U7"/>
    <mergeCell ref="AA7:AB7"/>
    <mergeCell ref="AH7:AI7"/>
    <mergeCell ref="AO7:AP7"/>
    <mergeCell ref="AV7:AW7"/>
    <mergeCell ref="BC7:BD7"/>
    <mergeCell ref="BJ7:BK7"/>
    <mergeCell ref="BQ7:BR7"/>
    <mergeCell ref="BX7:BY7"/>
    <mergeCell ref="W60:X60"/>
    <mergeCell ref="B21:C2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B14:C14"/>
    <mergeCell ref="B17:C17"/>
    <mergeCell ref="B19:C19"/>
    <mergeCell ref="B20:C20"/>
    <mergeCell ref="B12:C12"/>
    <mergeCell ref="B15:C15"/>
    <mergeCell ref="B16:C16"/>
    <mergeCell ref="B18:C18"/>
    <mergeCell ref="B13:C13"/>
    <mergeCell ref="P17:Q17"/>
    <mergeCell ref="P18:Q18"/>
    <mergeCell ref="P19:Q19"/>
    <mergeCell ref="G84:I84"/>
    <mergeCell ref="Y69:Z69"/>
    <mergeCell ref="Y70:Z70"/>
    <mergeCell ref="Y71:Z71"/>
    <mergeCell ref="Y60:Z60"/>
    <mergeCell ref="W70:X70"/>
    <mergeCell ref="W71:X71"/>
    <mergeCell ref="Y61:Z61"/>
    <mergeCell ref="Y62:Z62"/>
    <mergeCell ref="Y63:Z63"/>
    <mergeCell ref="Y64:Z64"/>
    <mergeCell ref="Y65:Z65"/>
    <mergeCell ref="Y66:Z66"/>
    <mergeCell ref="Y67:Z67"/>
    <mergeCell ref="Y68:Z68"/>
    <mergeCell ref="W64:X64"/>
    <mergeCell ref="W65:X65"/>
    <mergeCell ref="W66:X66"/>
    <mergeCell ref="W67:X67"/>
    <mergeCell ref="W68:X68"/>
    <mergeCell ref="W69:X69"/>
    <mergeCell ref="W63:X63"/>
    <mergeCell ref="W62:X62"/>
    <mergeCell ref="W61:X61"/>
  </mergeCells>
  <conditionalFormatting sqref="F7:G7 M7:N7 T7:U7 AA7:AB7 AH7:AI7 AO7:AP7 AV7:AW7 BC7:BD7 BJ7:BK7 BQ7:BR7 BX7:BY7 CE7:CF7">
    <cfRule type="cellIs" dxfId="1" priority="1" operator="equal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D2:AR12"/>
  <sheetViews>
    <sheetView zoomScale="130" zoomScaleNormal="130" workbookViewId="0">
      <selection activeCell="O22" sqref="O22"/>
    </sheetView>
  </sheetViews>
  <sheetFormatPr defaultRowHeight="15" x14ac:dyDescent="0.25"/>
  <cols>
    <col min="4" max="4" width="8.140625" customWidth="1"/>
    <col min="5" max="5" width="1.140625" customWidth="1"/>
    <col min="6" max="6" width="4.140625" customWidth="1"/>
    <col min="7" max="8" width="4" customWidth="1"/>
    <col min="9" max="9" width="4.140625" customWidth="1"/>
    <col min="10" max="10" width="3.5703125" customWidth="1"/>
    <col min="11" max="11" width="4.140625" customWidth="1"/>
    <col min="12" max="12" width="3.85546875" customWidth="1"/>
    <col min="13" max="13" width="3.42578125" customWidth="1"/>
    <col min="14" max="14" width="3.7109375" customWidth="1"/>
    <col min="15" max="15" width="3.85546875" customWidth="1"/>
    <col min="16" max="16" width="3.7109375" customWidth="1"/>
    <col min="17" max="17" width="1.28515625" customWidth="1"/>
    <col min="21" max="21" width="1.7109375" customWidth="1"/>
    <col min="22" max="22" width="4.140625" customWidth="1"/>
    <col min="23" max="24" width="4" customWidth="1"/>
    <col min="25" max="33" width="4.140625" customWidth="1"/>
    <col min="34" max="34" width="3.5703125" customWidth="1"/>
    <col min="35" max="37" width="4.140625" customWidth="1"/>
    <col min="38" max="38" width="3.85546875" customWidth="1"/>
    <col min="39" max="39" width="3.42578125" customWidth="1"/>
    <col min="40" max="40" width="3.7109375" customWidth="1"/>
    <col min="41" max="41" width="3.85546875" customWidth="1"/>
    <col min="42" max="42" width="3.7109375" customWidth="1"/>
    <col min="43" max="43" width="1.28515625" customWidth="1"/>
  </cols>
  <sheetData>
    <row r="2" spans="4:44" ht="24" customHeight="1" x14ac:dyDescent="0.25">
      <c r="D2" s="2"/>
      <c r="R2" s="2"/>
      <c r="T2" s="2"/>
      <c r="AR2" s="2"/>
    </row>
    <row r="3" spans="4:44" ht="6.75" customHeight="1" thickBot="1" x14ac:dyDescent="0.3">
      <c r="D3" s="3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7"/>
      <c r="R3" s="4"/>
      <c r="T3" s="3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7"/>
      <c r="AR3" s="4"/>
    </row>
    <row r="4" spans="4:44" x14ac:dyDescent="0.25">
      <c r="D4" s="3"/>
      <c r="E4" s="7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6"/>
      <c r="R4" s="4"/>
      <c r="T4" s="3"/>
      <c r="U4" s="7"/>
      <c r="V4" s="10"/>
      <c r="W4" s="10"/>
      <c r="X4" s="10"/>
      <c r="Y4" s="10"/>
      <c r="Z4" s="10"/>
      <c r="AA4" s="6"/>
      <c r="AB4" s="7"/>
      <c r="AC4" s="6"/>
      <c r="AD4" s="7"/>
      <c r="AE4" s="6"/>
      <c r="AF4" s="7"/>
      <c r="AG4" s="6"/>
      <c r="AH4" s="7"/>
      <c r="AI4" s="6"/>
      <c r="AJ4" s="7"/>
      <c r="AK4" s="10"/>
      <c r="AL4" s="10"/>
      <c r="AM4" s="10"/>
      <c r="AN4" s="10"/>
      <c r="AO4" s="10"/>
      <c r="AP4" s="10"/>
      <c r="AQ4" s="6"/>
      <c r="AR4" s="4"/>
    </row>
    <row r="5" spans="4:44" ht="15.75" thickBot="1" x14ac:dyDescent="0.3">
      <c r="D5" s="3"/>
      <c r="E5" s="5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8"/>
      <c r="R5" s="4"/>
      <c r="T5" s="3"/>
      <c r="U5" s="5"/>
      <c r="V5" s="11"/>
      <c r="W5" s="11"/>
      <c r="X5" s="11"/>
      <c r="Y5" s="11"/>
      <c r="Z5" s="11"/>
      <c r="AA5" s="8"/>
      <c r="AB5" s="5"/>
      <c r="AC5" s="8"/>
      <c r="AD5" s="5"/>
      <c r="AE5" s="8"/>
      <c r="AF5" s="5"/>
      <c r="AG5" s="8"/>
      <c r="AH5" s="5"/>
      <c r="AI5" s="8"/>
      <c r="AJ5" s="5"/>
      <c r="AK5" s="11"/>
      <c r="AL5" s="11"/>
      <c r="AM5" s="11"/>
      <c r="AN5" s="11"/>
      <c r="AO5" s="11"/>
      <c r="AP5" s="11"/>
      <c r="AQ5" s="8"/>
      <c r="AR5" s="4"/>
    </row>
    <row r="6" spans="4:44" ht="8.25" customHeight="1" x14ac:dyDescent="0.25">
      <c r="D6" s="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8"/>
      <c r="R6" s="4"/>
      <c r="T6" s="3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8"/>
      <c r="AR6" s="4"/>
    </row>
    <row r="7" spans="4:44" ht="22.5" customHeight="1" x14ac:dyDescent="0.25">
      <c r="D7" s="2"/>
      <c r="I7" s="105">
        <v>6.5</v>
      </c>
      <c r="J7" s="105"/>
      <c r="K7" s="105"/>
      <c r="L7" s="105"/>
      <c r="R7" s="2"/>
      <c r="T7" s="2"/>
      <c r="V7" s="105">
        <v>4</v>
      </c>
      <c r="W7" s="105"/>
      <c r="X7" s="105"/>
      <c r="Y7" s="105"/>
      <c r="AD7" s="105">
        <v>6</v>
      </c>
      <c r="AE7" s="105"/>
      <c r="AF7" s="105"/>
      <c r="AG7" s="105"/>
      <c r="AL7" s="105">
        <v>4</v>
      </c>
      <c r="AM7" s="105"/>
      <c r="AN7" s="105"/>
      <c r="AO7" s="105"/>
      <c r="AR7" s="2"/>
    </row>
    <row r="8" spans="4:44" x14ac:dyDescent="0.25">
      <c r="I8" s="108">
        <v>35</v>
      </c>
      <c r="J8" s="108"/>
      <c r="K8" s="108"/>
      <c r="L8" s="108"/>
      <c r="AE8" s="108">
        <v>8.75</v>
      </c>
      <c r="AF8" s="108"/>
      <c r="AG8" s="108"/>
      <c r="AH8" s="108"/>
      <c r="AI8" s="109">
        <v>15</v>
      </c>
      <c r="AJ8" s="109"/>
      <c r="AK8" s="109"/>
    </row>
    <row r="10" spans="4:44" x14ac:dyDescent="0.25">
      <c r="W10" s="104">
        <f>2*AI8/12</f>
        <v>2.5</v>
      </c>
      <c r="X10" s="104"/>
      <c r="Y10" s="104"/>
      <c r="AE10" s="104">
        <f>AE8-W10*2</f>
        <v>3.75</v>
      </c>
      <c r="AF10" s="104"/>
      <c r="AG10" s="104"/>
      <c r="AM10" s="104">
        <f>W10</f>
        <v>2.5</v>
      </c>
      <c r="AN10" s="104"/>
      <c r="AO10" s="104"/>
    </row>
    <row r="11" spans="4:44" ht="15.75" thickBot="1" x14ac:dyDescent="0.3">
      <c r="H11" s="106" t="s">
        <v>18</v>
      </c>
      <c r="I11" s="106"/>
      <c r="J11" s="106"/>
      <c r="K11" s="106"/>
      <c r="L11" s="107">
        <f>ROUNDUP(((I8*12/I7)+1),0)</f>
        <v>66</v>
      </c>
      <c r="M11" s="107"/>
      <c r="AD11" s="106" t="s">
        <v>18</v>
      </c>
      <c r="AE11" s="106"/>
      <c r="AF11" s="106"/>
      <c r="AG11" s="106"/>
      <c r="AH11" s="107">
        <f>ROUNDUP(((W10*12*2/V7)+(AE10*12/AD7)+1),0)</f>
        <v>24</v>
      </c>
      <c r="AI11" s="107"/>
    </row>
    <row r="12" spans="4:44" ht="15.75" thickBot="1" x14ac:dyDescent="0.3">
      <c r="R12" s="9"/>
    </row>
  </sheetData>
  <mergeCells count="14">
    <mergeCell ref="AD11:AG11"/>
    <mergeCell ref="AH11:AI11"/>
    <mergeCell ref="I8:L8"/>
    <mergeCell ref="I7:L7"/>
    <mergeCell ref="H11:K11"/>
    <mergeCell ref="L11:M11"/>
    <mergeCell ref="AE8:AH8"/>
    <mergeCell ref="AI8:AK8"/>
    <mergeCell ref="W10:Y10"/>
    <mergeCell ref="AM10:AO10"/>
    <mergeCell ref="AE10:AG10"/>
    <mergeCell ref="V7:Y7"/>
    <mergeCell ref="AL7:AO7"/>
    <mergeCell ref="AD7:AG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Video &amp; Instruction </vt:lpstr>
      <vt:lpstr>Beam Estimating V1.1 (721.7.23)</vt:lpstr>
      <vt:lpstr>Beam Estimating</vt:lpstr>
      <vt:lpstr>Calculation</vt:lpstr>
      <vt:lpstr>Strrups Calculation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 Kabbo</dc:creator>
  <cp:lastModifiedBy>SM Hedaetullah</cp:lastModifiedBy>
  <dcterms:created xsi:type="dcterms:W3CDTF">2015-06-05T18:17:20Z</dcterms:created>
  <dcterms:modified xsi:type="dcterms:W3CDTF">2024-11-01T07:53:47Z</dcterms:modified>
</cp:coreProperties>
</file>