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65" yWindow="2025" windowWidth="15405" windowHeight="12555" activeTab="2"/>
  </bookViews>
  <sheets>
    <sheet name="Video &amp; Instruction " sheetId="5" r:id="rId1"/>
    <sheet name="Longitudinal Steel Calculation" sheetId="4" r:id="rId2"/>
    <sheet name="Shear Steel Calculation" sheetId="1" r:id="rId3"/>
  </sheets>
  <externalReferences>
    <externalReference r:id="rId4"/>
  </externalReferences>
  <definedNames>
    <definedName name="framesystem">[1]Sheet3!$B$39:$B$45</definedName>
  </definedNames>
  <calcPr calcId="162913"/>
</workbook>
</file>

<file path=xl/calcChain.xml><?xml version="1.0" encoding="utf-8"?>
<calcChain xmlns="http://schemas.openxmlformats.org/spreadsheetml/2006/main">
  <c r="N25" i="4" l="1"/>
  <c r="N24" i="4"/>
  <c r="N27" i="4" l="1"/>
  <c r="G7" i="4"/>
  <c r="G8" i="4" s="1"/>
  <c r="H10" i="4" s="1"/>
  <c r="I7" i="4"/>
  <c r="M15" i="1"/>
  <c r="K15" i="1"/>
  <c r="I15" i="1"/>
  <c r="I14" i="1"/>
  <c r="L12" i="1"/>
  <c r="L11" i="1"/>
  <c r="H12" i="1"/>
  <c r="H11" i="1"/>
  <c r="K12" i="1"/>
  <c r="K11" i="1"/>
  <c r="K10" i="1"/>
  <c r="K9" i="1"/>
  <c r="D16" i="1"/>
  <c r="K7" i="1" s="1"/>
  <c r="K10" i="4" l="1"/>
  <c r="L18" i="4"/>
  <c r="O18" i="4" s="1"/>
  <c r="K8" i="1"/>
  <c r="K16" i="1" s="1"/>
  <c r="M16" i="1" l="1"/>
  <c r="I16" i="1"/>
</calcChain>
</file>

<file path=xl/sharedStrings.xml><?xml version="1.0" encoding="utf-8"?>
<sst xmlns="http://schemas.openxmlformats.org/spreadsheetml/2006/main" count="69" uniqueCount="52">
  <si>
    <t>BEAM SHEAR REINFORCEMENT DESIGN USING ETABS RESULT</t>
  </si>
  <si>
    <t>Width of Beam=</t>
  </si>
  <si>
    <t>Depth of Beam=</t>
  </si>
  <si>
    <t>fy=</t>
  </si>
  <si>
    <t>ksi</t>
  </si>
  <si>
    <t>in</t>
  </si>
  <si>
    <t>Effective Covering=</t>
  </si>
  <si>
    <t>Leg Number of Stirrup</t>
  </si>
  <si>
    <t>legs</t>
  </si>
  <si>
    <t>Required Shear bar=</t>
  </si>
  <si>
    <t>in^2</t>
  </si>
  <si>
    <t>Dia of Shear Bar</t>
  </si>
  <si>
    <t>mm</t>
  </si>
  <si>
    <t>Used Shear Bar</t>
  </si>
  <si>
    <t>Spacing of Shear Bar=</t>
  </si>
  <si>
    <t>in C/C</t>
  </si>
  <si>
    <t>For Design Requriement</t>
  </si>
  <si>
    <t>Frame Type</t>
  </si>
  <si>
    <t>IMF</t>
  </si>
  <si>
    <t>SMF</t>
  </si>
  <si>
    <t>Other</t>
  </si>
  <si>
    <t>Except SMF or OMF</t>
  </si>
  <si>
    <t>Intermediate Moment Frame</t>
  </si>
  <si>
    <r>
      <t>Max. Spacing (S</t>
    </r>
    <r>
      <rPr>
        <sz val="9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)=</t>
    </r>
  </si>
  <si>
    <t>As Per BNBC 2020 &amp; ACI 318</t>
  </si>
  <si>
    <t>Dia of smallest long bar</t>
  </si>
  <si>
    <t>Special Moment Frame</t>
  </si>
  <si>
    <t>Dia of Bar Want  to Use =</t>
  </si>
  <si>
    <t xml:space="preserve">Nos </t>
  </si>
  <si>
    <t>mm Dia Bar</t>
  </si>
  <si>
    <t>Requried Longitudinal Reinforcement=</t>
  </si>
  <si>
    <t>For Longitudinal Reinforcement Use</t>
  </si>
  <si>
    <t>Dia</t>
  </si>
  <si>
    <t>Nos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</si>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</sst>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2" borderId="1" xfId="0" applyFill="1" applyBorder="1"/>
    <xf numFmtId="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0" fillId="2" borderId="4" xfId="0" applyFill="1" applyBorder="1"/>
    <xf numFmtId="0" fontId="0" fillId="3" borderId="1" xfId="0" applyFill="1" applyBorder="1"/>
    <xf numFmtId="164" fontId="0" fillId="0" borderId="0" xfId="0" applyNumberFormat="1" applyAlignment="1">
      <alignment horizontal="center"/>
    </xf>
    <xf numFmtId="0" fontId="0" fillId="0" borderId="0" xfId="0" applyProtection="1">
      <protection hidden="1"/>
    </xf>
    <xf numFmtId="0" fontId="7" fillId="0" borderId="0" xfId="0" applyFont="1" applyProtection="1"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4" fillId="0" borderId="0" xfId="1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DBD64-3153-4699-89C3-9F4275F09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4DB4155E-C970-425D-92C9-D30DF127D372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M8" sqref="M8"/>
    </sheetView>
  </sheetViews>
  <sheetFormatPr defaultRowHeight="15" x14ac:dyDescent="0.25"/>
  <cols>
    <col min="1" max="1" width="9.140625" style="10" customWidth="1"/>
    <col min="2" max="16384" width="9.140625" style="10"/>
  </cols>
  <sheetData>
    <row r="14" spans="2:10" ht="15" customHeight="1" x14ac:dyDescent="0.25">
      <c r="B14" s="15" t="s">
        <v>34</v>
      </c>
      <c r="C14" s="15"/>
      <c r="D14" s="15"/>
      <c r="E14" s="15"/>
      <c r="F14" s="15"/>
      <c r="G14" s="15"/>
      <c r="H14" s="15"/>
      <c r="I14" s="15"/>
      <c r="J14" s="15"/>
    </row>
    <row r="15" spans="2:10" ht="15" customHeight="1" x14ac:dyDescent="0.25">
      <c r="B15" s="15"/>
      <c r="C15" s="15"/>
      <c r="D15" s="15"/>
      <c r="E15" s="15"/>
      <c r="F15" s="15"/>
      <c r="G15" s="15"/>
      <c r="H15" s="15"/>
      <c r="I15" s="15"/>
      <c r="J15" s="15"/>
    </row>
    <row r="16" spans="2:10" x14ac:dyDescent="0.25">
      <c r="B16" s="15"/>
      <c r="C16" s="15"/>
      <c r="D16" s="15"/>
      <c r="E16" s="15"/>
      <c r="F16" s="15"/>
      <c r="G16" s="15"/>
      <c r="H16" s="15"/>
      <c r="I16" s="15"/>
      <c r="J16" s="15"/>
    </row>
    <row r="17" spans="2:10" x14ac:dyDescent="0.25">
      <c r="C17" s="14" t="s">
        <v>35</v>
      </c>
      <c r="D17" s="14"/>
      <c r="E17" s="13" t="s">
        <v>36</v>
      </c>
      <c r="F17" s="13"/>
      <c r="G17" s="13"/>
      <c r="H17" s="13"/>
      <c r="I17" s="13"/>
      <c r="J17" s="13"/>
    </row>
    <row r="18" spans="2:10" x14ac:dyDescent="0.25">
      <c r="C18" s="14" t="s">
        <v>37</v>
      </c>
      <c r="D18" s="14"/>
      <c r="E18" s="13" t="s">
        <v>38</v>
      </c>
      <c r="F18" s="13"/>
      <c r="G18" s="13"/>
      <c r="H18" s="13"/>
      <c r="I18" s="13"/>
      <c r="J18" s="13"/>
    </row>
    <row r="19" spans="2:10" x14ac:dyDescent="0.25">
      <c r="C19" s="14" t="s">
        <v>39</v>
      </c>
      <c r="D19" s="14"/>
      <c r="E19" s="13" t="s">
        <v>40</v>
      </c>
      <c r="F19" s="13"/>
      <c r="G19" s="13"/>
      <c r="H19" s="13"/>
      <c r="I19" s="13"/>
      <c r="J19" s="13"/>
    </row>
    <row r="20" spans="2:10" x14ac:dyDescent="0.25">
      <c r="C20" s="14" t="s">
        <v>41</v>
      </c>
      <c r="D20" s="14"/>
      <c r="E20" s="13" t="s">
        <v>42</v>
      </c>
      <c r="F20" s="13"/>
      <c r="G20" s="13"/>
      <c r="H20" s="13"/>
      <c r="I20" s="13"/>
      <c r="J20" s="13"/>
    </row>
    <row r="21" spans="2:10" x14ac:dyDescent="0.25">
      <c r="C21" s="14" t="s">
        <v>43</v>
      </c>
      <c r="D21" s="14"/>
      <c r="E21" s="13" t="s">
        <v>44</v>
      </c>
      <c r="F21" s="13"/>
      <c r="G21" s="13"/>
      <c r="H21" s="13"/>
      <c r="I21" s="13"/>
      <c r="J21" s="13"/>
    </row>
    <row r="22" spans="2:10" x14ac:dyDescent="0.25">
      <c r="C22" s="14" t="s">
        <v>45</v>
      </c>
      <c r="D22" s="14"/>
      <c r="E22" s="13" t="s">
        <v>46</v>
      </c>
      <c r="F22" s="13"/>
      <c r="G22" s="13"/>
      <c r="H22" s="13"/>
      <c r="I22" s="13"/>
      <c r="J22" s="13"/>
    </row>
    <row r="24" spans="2:10" ht="15" customHeight="1" x14ac:dyDescent="0.25">
      <c r="B24" s="12" t="s">
        <v>47</v>
      </c>
      <c r="C24" s="12"/>
      <c r="D24" s="12"/>
      <c r="E24" s="12"/>
      <c r="F24" s="12"/>
      <c r="G24" s="12"/>
      <c r="H24" s="12"/>
      <c r="I24" s="12"/>
      <c r="J24" s="12"/>
    </row>
    <row r="25" spans="2:10" ht="15" customHeight="1" x14ac:dyDescent="0.25">
      <c r="B25" s="12"/>
      <c r="C25" s="12"/>
      <c r="D25" s="12"/>
      <c r="E25" s="12"/>
      <c r="F25" s="12"/>
      <c r="G25" s="12"/>
      <c r="H25" s="12"/>
      <c r="I25" s="12"/>
      <c r="J25" s="12"/>
    </row>
    <row r="26" spans="2:10" ht="15" customHeight="1" x14ac:dyDescent="0.25">
      <c r="B26" s="12"/>
      <c r="C26" s="12"/>
      <c r="D26" s="12"/>
      <c r="E26" s="12"/>
      <c r="F26" s="12"/>
      <c r="G26" s="12"/>
      <c r="H26" s="12"/>
      <c r="I26" s="12"/>
      <c r="J26" s="12"/>
    </row>
    <row r="27" spans="2:10" x14ac:dyDescent="0.25">
      <c r="B27" s="12"/>
      <c r="C27" s="12"/>
      <c r="D27" s="12"/>
      <c r="E27" s="12"/>
      <c r="F27" s="12"/>
      <c r="G27" s="12"/>
      <c r="H27" s="12"/>
      <c r="I27" s="12"/>
      <c r="J27" s="12"/>
    </row>
    <row r="34" spans="1:13" ht="15.75" x14ac:dyDescent="0.25">
      <c r="A34" s="11" t="s">
        <v>48</v>
      </c>
      <c r="B34" s="13" t="s">
        <v>49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spans="1:13" ht="15.75" x14ac:dyDescent="0.25">
      <c r="A35" s="11"/>
    </row>
    <row r="36" spans="1:13" ht="15.75" x14ac:dyDescent="0.25">
      <c r="A36" s="11" t="s">
        <v>50</v>
      </c>
      <c r="B36" s="13" t="s">
        <v>51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C19:D19"/>
    <mergeCell ref="E19:J19"/>
    <mergeCell ref="B14:J16"/>
    <mergeCell ref="C17:D17"/>
    <mergeCell ref="E17:J17"/>
    <mergeCell ref="C18:D18"/>
    <mergeCell ref="E18:J18"/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Q27"/>
  <sheetViews>
    <sheetView workbookViewId="0">
      <selection activeCell="D21" sqref="D21"/>
    </sheetView>
  </sheetViews>
  <sheetFormatPr defaultRowHeight="15" x14ac:dyDescent="0.25"/>
  <cols>
    <col min="3" max="3" width="16.28515625" customWidth="1"/>
    <col min="5" max="5" width="13.85546875" customWidth="1"/>
    <col min="7" max="7" width="7.42578125" customWidth="1"/>
    <col min="8" max="8" width="6.140625" customWidth="1"/>
    <col min="9" max="9" width="4.7109375" customWidth="1"/>
    <col min="10" max="10" width="11.7109375" customWidth="1"/>
    <col min="15" max="15" width="5.5703125" bestFit="1" customWidth="1"/>
  </cols>
  <sheetData>
    <row r="5" spans="3:17" x14ac:dyDescent="0.25">
      <c r="C5" s="16" t="s">
        <v>30</v>
      </c>
      <c r="D5" s="16"/>
      <c r="E5" s="16"/>
      <c r="F5" s="16"/>
      <c r="G5" s="2">
        <v>2.52</v>
      </c>
      <c r="H5" t="s">
        <v>10</v>
      </c>
    </row>
    <row r="6" spans="3:17" x14ac:dyDescent="0.25">
      <c r="C6" s="16" t="s">
        <v>27</v>
      </c>
      <c r="D6" s="16"/>
      <c r="E6" s="16"/>
      <c r="F6" s="16"/>
      <c r="G6" s="7">
        <v>16</v>
      </c>
      <c r="H6" t="s">
        <v>12</v>
      </c>
      <c r="Q6" s="5">
        <v>8</v>
      </c>
    </row>
    <row r="7" spans="3:17" x14ac:dyDescent="0.25">
      <c r="C7" s="17" t="s">
        <v>31</v>
      </c>
      <c r="D7" s="17"/>
      <c r="E7" s="17"/>
      <c r="F7" s="17"/>
      <c r="G7" s="8">
        <f>_xlfn.CEILING.MATH((G5/((0.785398*G6^2)/(25.4*25.4))),1)</f>
        <v>9</v>
      </c>
      <c r="H7" s="6" t="s">
        <v>28</v>
      </c>
      <c r="I7" s="6">
        <f>G6</f>
        <v>16</v>
      </c>
      <c r="J7" s="6" t="s">
        <v>29</v>
      </c>
      <c r="Q7" s="5">
        <v>10</v>
      </c>
    </row>
    <row r="8" spans="3:17" x14ac:dyDescent="0.25">
      <c r="G8">
        <f>((3.1416*G6*G6)/(4*25.4*25.4))*G7</f>
        <v>2.8048260896521793</v>
      </c>
      <c r="H8" t="s">
        <v>10</v>
      </c>
      <c r="Q8" s="5">
        <v>12</v>
      </c>
    </row>
    <row r="9" spans="3:17" x14ac:dyDescent="0.25">
      <c r="Q9" s="5">
        <v>16</v>
      </c>
    </row>
    <row r="10" spans="3:17" x14ac:dyDescent="0.25">
      <c r="H10">
        <f>G8-G5</f>
        <v>0.28482608965217926</v>
      </c>
      <c r="K10">
        <f>100*G8/(12*15)</f>
        <v>1.558236716473433</v>
      </c>
      <c r="Q10" s="5">
        <v>20</v>
      </c>
    </row>
    <row r="11" spans="3:17" x14ac:dyDescent="0.25">
      <c r="Q11" s="5">
        <v>22</v>
      </c>
    </row>
    <row r="12" spans="3:17" x14ac:dyDescent="0.25">
      <c r="Q12" s="5">
        <v>25</v>
      </c>
    </row>
    <row r="13" spans="3:17" x14ac:dyDescent="0.25">
      <c r="Q13" s="5">
        <v>28</v>
      </c>
    </row>
    <row r="14" spans="3:17" x14ac:dyDescent="0.25">
      <c r="Q14" s="5">
        <v>32</v>
      </c>
    </row>
    <row r="15" spans="3:17" x14ac:dyDescent="0.25">
      <c r="Q15" s="5">
        <v>40</v>
      </c>
    </row>
    <row r="16" spans="3:17" x14ac:dyDescent="0.25">
      <c r="Q16" s="5"/>
    </row>
    <row r="17" spans="12:17" x14ac:dyDescent="0.25">
      <c r="M17" s="5"/>
      <c r="Q17" s="5"/>
    </row>
    <row r="18" spans="12:17" x14ac:dyDescent="0.25">
      <c r="L18">
        <f>G8</f>
        <v>2.8048260896521793</v>
      </c>
      <c r="M18">
        <v>0.97389794779589567</v>
      </c>
      <c r="N18">
        <v>0.31164734329468657</v>
      </c>
      <c r="O18" s="9">
        <f>SUM(L18:N18)</f>
        <v>4.0903713807427611</v>
      </c>
    </row>
    <row r="23" spans="12:17" x14ac:dyDescent="0.25">
      <c r="L23" t="s">
        <v>32</v>
      </c>
      <c r="M23" t="s">
        <v>33</v>
      </c>
    </row>
    <row r="24" spans="12:17" x14ac:dyDescent="0.25">
      <c r="L24">
        <v>20</v>
      </c>
      <c r="M24">
        <v>16</v>
      </c>
      <c r="N24">
        <f>((3.1416*L24*L24)/(4*25.4*25.4))*M24</f>
        <v>7.7911835823671654</v>
      </c>
    </row>
    <row r="25" spans="12:17" x14ac:dyDescent="0.25">
      <c r="L25">
        <v>16</v>
      </c>
      <c r="M25">
        <v>12</v>
      </c>
      <c r="N25">
        <f>((3.1416*L25*L25)/(4*25.4*25.4))*M25</f>
        <v>3.7397681195362389</v>
      </c>
    </row>
    <row r="27" spans="12:17" x14ac:dyDescent="0.25">
      <c r="N27">
        <f>SUM(N24:N26)</f>
        <v>11.530951701903405</v>
      </c>
    </row>
  </sheetData>
  <mergeCells count="3">
    <mergeCell ref="C6:F6"/>
    <mergeCell ref="C7:F7"/>
    <mergeCell ref="C5:F5"/>
  </mergeCells>
  <dataValidations disablePrompts="1" count="1">
    <dataValidation type="list" allowBlank="1" showInputMessage="1" showErrorMessage="1" sqref="G6">
      <formula1>$Q$6:$Q$15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18"/>
  <sheetViews>
    <sheetView tabSelected="1" workbookViewId="0">
      <selection activeCell="K23" sqref="K23"/>
    </sheetView>
  </sheetViews>
  <sheetFormatPr defaultRowHeight="15" x14ac:dyDescent="0.25"/>
  <cols>
    <col min="2" max="2" width="15.140625" customWidth="1"/>
    <col min="11" max="11" width="11.5703125" customWidth="1"/>
    <col min="12" max="12" width="9.42578125" customWidth="1"/>
    <col min="14" max="14" width="10" customWidth="1"/>
  </cols>
  <sheetData>
    <row r="4" spans="2:20" x14ac:dyDescent="0.25">
      <c r="B4" s="23" t="s">
        <v>0</v>
      </c>
      <c r="C4" s="23"/>
      <c r="D4" s="23"/>
      <c r="E4" s="23"/>
      <c r="F4" s="23"/>
      <c r="G4" s="23"/>
      <c r="H4" s="23"/>
    </row>
    <row r="7" spans="2:20" x14ac:dyDescent="0.25">
      <c r="B7" s="16" t="s">
        <v>1</v>
      </c>
      <c r="C7" s="16"/>
      <c r="D7" s="4">
        <v>12</v>
      </c>
      <c r="E7" t="s">
        <v>5</v>
      </c>
      <c r="H7" s="22" t="s">
        <v>14</v>
      </c>
      <c r="I7" s="22"/>
      <c r="J7" s="22"/>
      <c r="K7" s="3">
        <f>(D16*12/D13)</f>
        <v>6.0103416206832421</v>
      </c>
      <c r="L7" t="s">
        <v>15</v>
      </c>
      <c r="M7" t="s">
        <v>16</v>
      </c>
      <c r="R7" s="5">
        <v>8</v>
      </c>
      <c r="S7" t="s">
        <v>19</v>
      </c>
      <c r="T7" t="s">
        <v>26</v>
      </c>
    </row>
    <row r="8" spans="2:20" x14ac:dyDescent="0.25">
      <c r="B8" s="16" t="s">
        <v>2</v>
      </c>
      <c r="C8" s="16"/>
      <c r="D8" s="4">
        <v>24</v>
      </c>
      <c r="E8" t="s">
        <v>5</v>
      </c>
      <c r="H8" s="22" t="s">
        <v>23</v>
      </c>
      <c r="I8" s="22"/>
      <c r="J8" s="22"/>
      <c r="K8" s="3">
        <f>(D16*D10*1000)/(50*D7)</f>
        <v>42.36456072912145</v>
      </c>
      <c r="L8" t="s">
        <v>15</v>
      </c>
      <c r="M8" s="18" t="s">
        <v>24</v>
      </c>
      <c r="N8" s="18"/>
      <c r="O8" s="18"/>
      <c r="R8" s="5">
        <v>10</v>
      </c>
      <c r="S8" t="s">
        <v>18</v>
      </c>
      <c r="T8" t="s">
        <v>22</v>
      </c>
    </row>
    <row r="9" spans="2:20" x14ac:dyDescent="0.25">
      <c r="B9" s="20" t="s">
        <v>17</v>
      </c>
      <c r="C9" s="21"/>
      <c r="D9" s="4" t="s">
        <v>19</v>
      </c>
      <c r="H9" s="22" t="s">
        <v>23</v>
      </c>
      <c r="I9" s="22"/>
      <c r="J9" s="22"/>
      <c r="K9" s="3">
        <f>IF(D9="Other",(D8-D11)/2,(D8-D11)/4)</f>
        <v>5.1749999999999998</v>
      </c>
      <c r="L9" t="s">
        <v>15</v>
      </c>
      <c r="M9" s="18" t="s">
        <v>24</v>
      </c>
      <c r="N9" s="18"/>
      <c r="O9" s="18"/>
      <c r="R9" s="5">
        <v>12</v>
      </c>
      <c r="S9" t="s">
        <v>20</v>
      </c>
      <c r="T9" t="s">
        <v>21</v>
      </c>
    </row>
    <row r="10" spans="2:20" x14ac:dyDescent="0.25">
      <c r="B10" s="16" t="s">
        <v>3</v>
      </c>
      <c r="C10" s="16"/>
      <c r="D10" s="4">
        <v>72.5</v>
      </c>
      <c r="E10" t="s">
        <v>4</v>
      </c>
      <c r="H10" s="22" t="s">
        <v>23</v>
      </c>
      <c r="I10" s="22"/>
      <c r="J10" s="22"/>
      <c r="K10">
        <f>IF(D9="Other",600/25,300/25)</f>
        <v>12</v>
      </c>
      <c r="L10" t="s">
        <v>15</v>
      </c>
      <c r="M10" s="18" t="s">
        <v>24</v>
      </c>
      <c r="N10" s="18"/>
      <c r="O10" s="18"/>
      <c r="R10" s="5">
        <v>16</v>
      </c>
    </row>
    <row r="11" spans="2:20" x14ac:dyDescent="0.25">
      <c r="B11" s="16" t="s">
        <v>6</v>
      </c>
      <c r="C11" s="16"/>
      <c r="D11" s="4">
        <v>3.3</v>
      </c>
      <c r="E11" t="s">
        <v>5</v>
      </c>
      <c r="H11" s="22" t="str">
        <f>IF(D9="Other","","Max. Spacing (Smax)=")</f>
        <v>Max. Spacing (Smax)=</v>
      </c>
      <c r="I11" s="22"/>
      <c r="J11" s="22"/>
      <c r="K11">
        <f>IF(D9="Other","",D15*8/25)</f>
        <v>5.12</v>
      </c>
      <c r="L11" t="str">
        <f>IF(D9="Other","","in C/C")</f>
        <v>in C/C</v>
      </c>
      <c r="M11" s="18" t="s">
        <v>24</v>
      </c>
      <c r="N11" s="18"/>
      <c r="O11" s="18"/>
      <c r="R11" s="5">
        <v>20</v>
      </c>
    </row>
    <row r="12" spans="2:20" x14ac:dyDescent="0.25">
      <c r="B12" s="16" t="s">
        <v>7</v>
      </c>
      <c r="C12" s="16"/>
      <c r="D12" s="4">
        <v>2</v>
      </c>
      <c r="E12" t="s">
        <v>8</v>
      </c>
      <c r="H12" s="22" t="str">
        <f>IF(D9="Other","","Max. Spacing (Smax)=")</f>
        <v>Max. Spacing (Smax)=</v>
      </c>
      <c r="I12" s="22"/>
      <c r="J12" s="22"/>
      <c r="K12">
        <f>IF(D9="Other","",D14*24/25)</f>
        <v>11.52</v>
      </c>
      <c r="L12" t="str">
        <f>IF(D9="Other","","in C/C")</f>
        <v>in C/C</v>
      </c>
      <c r="M12" s="18" t="s">
        <v>24</v>
      </c>
      <c r="N12" s="18"/>
      <c r="O12" s="18"/>
      <c r="R12" s="5">
        <v>22</v>
      </c>
    </row>
    <row r="13" spans="2:20" x14ac:dyDescent="0.25">
      <c r="B13" s="16" t="s">
        <v>9</v>
      </c>
      <c r="C13" s="16"/>
      <c r="D13" s="4">
        <v>0.7</v>
      </c>
      <c r="E13" t="s">
        <v>10</v>
      </c>
      <c r="R13" s="5">
        <v>25</v>
      </c>
    </row>
    <row r="14" spans="2:20" x14ac:dyDescent="0.25">
      <c r="B14" s="16" t="s">
        <v>11</v>
      </c>
      <c r="C14" s="16"/>
      <c r="D14" s="4">
        <v>12</v>
      </c>
      <c r="E14" t="s">
        <v>12</v>
      </c>
      <c r="I14" s="17" t="str">
        <f>IF(D9="Other","Maximum Spacing For Enter Beam Stirrup","Maximum Spacing For Beam Stirrup")</f>
        <v>Maximum Spacing For Beam Stirrup</v>
      </c>
      <c r="J14" s="17"/>
      <c r="K14" s="17"/>
      <c r="L14" s="17"/>
      <c r="M14" s="17"/>
      <c r="N14" s="17"/>
      <c r="O14" s="17"/>
      <c r="R14" s="5">
        <v>28</v>
      </c>
    </row>
    <row r="15" spans="2:20" x14ac:dyDescent="0.25">
      <c r="B15" s="16" t="s">
        <v>25</v>
      </c>
      <c r="C15" s="16"/>
      <c r="D15" s="4">
        <v>16</v>
      </c>
      <c r="E15" t="s">
        <v>12</v>
      </c>
      <c r="I15" s="17" t="str">
        <f>IF(D9="Other","","Left Side")</f>
        <v>Left Side</v>
      </c>
      <c r="J15" s="17"/>
      <c r="K15" s="17" t="str">
        <f>IF(D9="Other","For Enter Length","Middle Portion")</f>
        <v>Middle Portion</v>
      </c>
      <c r="L15" s="17"/>
      <c r="M15" s="17" t="str">
        <f>IF(D9="Other","","Right Side")</f>
        <v>Right Side</v>
      </c>
      <c r="N15" s="17"/>
      <c r="O15" s="8"/>
      <c r="R15" s="5">
        <v>32</v>
      </c>
    </row>
    <row r="16" spans="2:20" x14ac:dyDescent="0.25">
      <c r="B16" s="19" t="s">
        <v>13</v>
      </c>
      <c r="C16" s="19"/>
      <c r="D16" s="1">
        <f>((0.7854*D14^2)/(25.4*25.4))*D12</f>
        <v>0.35060326120652241</v>
      </c>
      <c r="E16" t="s">
        <v>10</v>
      </c>
      <c r="I16" s="17">
        <f>IF(D9="Other","",(_xlfn.FLOOR.MATH(MIN(K7:K12),0.25)))</f>
        <v>5</v>
      </c>
      <c r="J16" s="17"/>
      <c r="K16" s="17">
        <f>IF(D9="Other",_xlfn.FLOOR.MATH((MIN(K7:K12)),0.25),MIN(((D8-D11)/2),K7,K8))</f>
        <v>6.0103416206832421</v>
      </c>
      <c r="L16" s="17"/>
      <c r="M16" s="17">
        <f>IF(D9="Other","",(_xlfn.FLOOR.MATH(MIN(K7:K12),0.25)))</f>
        <v>5</v>
      </c>
      <c r="N16" s="17"/>
      <c r="O16" s="8"/>
      <c r="R16" s="5">
        <v>40</v>
      </c>
    </row>
    <row r="18" spans="11:11" x14ac:dyDescent="0.25">
      <c r="K18" s="3"/>
    </row>
  </sheetData>
  <mergeCells count="29">
    <mergeCell ref="B4:H4"/>
    <mergeCell ref="B7:C7"/>
    <mergeCell ref="B8:C8"/>
    <mergeCell ref="B10:C10"/>
    <mergeCell ref="B11:C11"/>
    <mergeCell ref="B16:C16"/>
    <mergeCell ref="B9:C9"/>
    <mergeCell ref="H7:J7"/>
    <mergeCell ref="H8:J8"/>
    <mergeCell ref="H9:J9"/>
    <mergeCell ref="H10:J10"/>
    <mergeCell ref="H11:J11"/>
    <mergeCell ref="I16:J16"/>
    <mergeCell ref="B12:C12"/>
    <mergeCell ref="B15:C15"/>
    <mergeCell ref="B13:C13"/>
    <mergeCell ref="B14:C14"/>
    <mergeCell ref="H12:J12"/>
    <mergeCell ref="I14:O14"/>
    <mergeCell ref="I15:J15"/>
    <mergeCell ref="K15:L15"/>
    <mergeCell ref="K16:L16"/>
    <mergeCell ref="M15:N15"/>
    <mergeCell ref="M16:N16"/>
    <mergeCell ref="M8:O8"/>
    <mergeCell ref="M9:O9"/>
    <mergeCell ref="M10:O10"/>
    <mergeCell ref="M11:O11"/>
    <mergeCell ref="M12:O12"/>
  </mergeCells>
  <dataValidations count="2">
    <dataValidation type="list" allowBlank="1" showInputMessage="1" showErrorMessage="1" sqref="D9">
      <formula1>$S$7:$S$9</formula1>
    </dataValidation>
    <dataValidation type="list" allowBlank="1" showInputMessage="1" showErrorMessage="1" sqref="D14:D15">
      <formula1>$R$7:$R$16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Video &amp; Instruction </vt:lpstr>
      <vt:lpstr>Longitudinal Steel Calculation</vt:lpstr>
      <vt:lpstr>Shear Steel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2025-09-27T22:04:00Z</dcterms:modified>
</cp:coreProperties>
</file>