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321D6AB-4650-476B-AEB3-9D4D680C8D42}" xr6:coauthVersionLast="47" xr6:coauthVersionMax="47" xr10:uidLastSave="{00000000-0000-0000-0000-000000000000}"/>
  <bookViews>
    <workbookView xWindow="-45" yWindow="0" windowWidth="15405" windowHeight="15600" xr2:uid="{00000000-000D-0000-FFFF-FFFF00000000}"/>
  </bookViews>
  <sheets>
    <sheet name="Video &amp; Instruction " sheetId="3" r:id="rId1"/>
    <sheet name="RIFD V1.1 (Updated 08-09-2023)" sheetId="2" r:id="rId2"/>
  </sheets>
  <externalReferences>
    <externalReference r:id="rId3"/>
  </externalReferences>
  <definedNames>
    <definedName name="framesystem">[1]Sheet3!$B$39:$B$45</definedName>
  </definedNames>
  <calcPr calcId="181029"/>
</workbook>
</file>

<file path=xl/calcChain.xml><?xml version="1.0" encoding="utf-8"?>
<calcChain xmlns="http://schemas.openxmlformats.org/spreadsheetml/2006/main">
  <c r="L15" i="2" l="1"/>
  <c r="L16" i="2"/>
  <c r="J51" i="2"/>
  <c r="E55" i="2"/>
  <c r="E56" i="2"/>
  <c r="H53" i="2"/>
  <c r="E43" i="2"/>
  <c r="E44" i="2" s="1"/>
  <c r="H39" i="2"/>
  <c r="E39" i="2"/>
  <c r="E40" i="2" s="1"/>
  <c r="E49" i="2"/>
  <c r="E48" i="2"/>
  <c r="H46" i="2"/>
  <c r="H38" i="2"/>
  <c r="E32" i="2"/>
  <c r="E35" i="2" s="1"/>
  <c r="E36" i="2" s="1"/>
  <c r="E31" i="2"/>
  <c r="E34" i="2" s="1"/>
  <c r="E30" i="2"/>
  <c r="E27" i="2"/>
  <c r="E28" i="2" s="1"/>
  <c r="E29" i="2" s="1"/>
  <c r="G23" i="2" s="1"/>
  <c r="D8" i="2"/>
  <c r="E8" i="2" s="1"/>
  <c r="D7" i="2"/>
  <c r="E7" i="2" s="1"/>
  <c r="E53" i="2" l="1"/>
  <c r="E38" i="2"/>
  <c r="E37" i="2" s="1"/>
  <c r="E42" i="2"/>
  <c r="E41" i="2" s="1"/>
  <c r="E46" i="2"/>
  <c r="E47" i="2" s="1"/>
  <c r="E33" i="2"/>
  <c r="E54" i="2" l="1"/>
  <c r="H25" i="2" s="1"/>
  <c r="H24" i="2"/>
  <c r="E50" i="2"/>
  <c r="E51" i="2" s="1"/>
  <c r="V12" i="2" s="1"/>
  <c r="E57" i="2" l="1"/>
  <c r="E58" i="2" s="1"/>
  <c r="V13" i="2" l="1"/>
</calcChain>
</file>

<file path=xl/sharedStrings.xml><?xml version="1.0" encoding="utf-8"?>
<sst xmlns="http://schemas.openxmlformats.org/spreadsheetml/2006/main" count="127" uniqueCount="82">
  <si>
    <t>Materials Properties:</t>
  </si>
  <si>
    <t>Converted Data</t>
  </si>
  <si>
    <t>Main Data</t>
  </si>
  <si>
    <t>psi</t>
  </si>
  <si>
    <t>f'c =</t>
  </si>
  <si>
    <t xml:space="preserve">fy = </t>
  </si>
  <si>
    <t>Given data(PSI)</t>
  </si>
  <si>
    <t>ft</t>
  </si>
  <si>
    <t>in</t>
  </si>
  <si>
    <t>psf</t>
  </si>
  <si>
    <t>Main Bar Area=</t>
  </si>
  <si>
    <t xml:space="preserve">Distributed Bar= </t>
  </si>
  <si>
    <t>By Engr Hedaetullah &amp; Nj Disha</t>
  </si>
  <si>
    <t>Dead Load (DL)=</t>
  </si>
  <si>
    <t>Live Load (LL)=</t>
  </si>
  <si>
    <t>mm Ø</t>
  </si>
  <si>
    <t>Bottom Clear Cover ,C/C =</t>
  </si>
  <si>
    <t>Column Size, C1 =</t>
  </si>
  <si>
    <t>Column Size, C2 =</t>
  </si>
  <si>
    <t>Average  Unit Weight (Concrete+Soil) qe=</t>
  </si>
  <si>
    <t>Pressure of Maretials at the base of the footing=</t>
  </si>
  <si>
    <t>Depth of the Footing Base Form EGL, H=</t>
  </si>
  <si>
    <t>Available B.C. to Carry the Column Service Load</t>
  </si>
  <si>
    <t>Allowable Soil Pressure (BC), Qa=</t>
  </si>
  <si>
    <t>Ksf</t>
  </si>
  <si>
    <t>Required Footing Area, A req=</t>
  </si>
  <si>
    <t>Kips</t>
  </si>
  <si>
    <t>Trail Effective Thickness/Depth, d =</t>
  </si>
  <si>
    <t>sqft</t>
  </si>
  <si>
    <t>Trial Length, L=</t>
  </si>
  <si>
    <t>Trial width, B=</t>
  </si>
  <si>
    <t>Furnishing Footing Area=</t>
  </si>
  <si>
    <t>Upward Pressure by factor Column load =</t>
  </si>
  <si>
    <t>Length of the critical perimeter, bo=</t>
  </si>
  <si>
    <t>Shear Force acting on this perimeter, Vu1=</t>
  </si>
  <si>
    <t>Punching Shear Check</t>
  </si>
  <si>
    <t>Nominal Shear, Vc=</t>
  </si>
  <si>
    <t>Vu=</t>
  </si>
  <si>
    <t>for B Dir</t>
  </si>
  <si>
    <t>for L Dir</t>
  </si>
  <si>
    <t>Shear Force acting on this perimeter, Vu2=</t>
  </si>
  <si>
    <t>M_L=</t>
  </si>
  <si>
    <t>Bending Moment Mu=</t>
  </si>
  <si>
    <t>Kips-in</t>
  </si>
  <si>
    <t>As=</t>
  </si>
  <si>
    <t>in^2</t>
  </si>
  <si>
    <t>Approximate a=</t>
  </si>
  <si>
    <t>As (min)=</t>
  </si>
  <si>
    <t>Not less than, As (min)=</t>
  </si>
  <si>
    <t>Controlling Value of Rebar, As =</t>
  </si>
  <si>
    <t>Approximate B</t>
  </si>
  <si>
    <t>One Way - Beam Shear Check (For L Dir)</t>
  </si>
  <si>
    <t>One Way - Beam Shear Check (For B Dir)</t>
  </si>
  <si>
    <t>M_B=</t>
  </si>
  <si>
    <t>Moment &amp; Rebar Calculation (For Long)</t>
  </si>
  <si>
    <t>Moment &amp; Rebar Calculation (For Short)</t>
  </si>
  <si>
    <t>Specing Calucation Sp=</t>
  </si>
  <si>
    <t>in c/c</t>
  </si>
  <si>
    <t>Long Dir Bar=</t>
  </si>
  <si>
    <t>Short Dir Ba=</t>
  </si>
  <si>
    <t>(Long) a=</t>
  </si>
  <si>
    <t>(Short) a=</t>
  </si>
  <si>
    <t>www.ceta-ac.com</t>
  </si>
  <si>
    <r>
      <t xml:space="preserve">This is the product of </t>
    </r>
    <r>
      <rPr>
        <b/>
        <sz val="26"/>
        <color rgb="FFFF0000"/>
        <rFont val="Calibri"/>
        <family val="2"/>
        <scheme val="minor"/>
      </rPr>
      <t>qLearnify</t>
    </r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</si>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</sst>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0\ &quot;in&quot;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theme="10"/>
      <name val="Calibri"/>
      <family val="2"/>
      <scheme val="minor"/>
    </font>
    <font>
      <sz val="1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1" fillId="0" borderId="0"/>
  </cellStyleXfs>
  <cellXfs count="49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2" fontId="0" fillId="0" borderId="0" xfId="0" applyNumberFormat="1" applyProtection="1">
      <protection hidden="1"/>
    </xf>
    <xf numFmtId="0" fontId="2" fillId="0" borderId="0" xfId="0" applyFont="1" applyProtection="1">
      <protection hidden="1"/>
    </xf>
    <xf numFmtId="165" fontId="2" fillId="0" borderId="0" xfId="0" applyNumberFormat="1" applyFont="1" applyProtection="1">
      <protection hidden="1"/>
    </xf>
    <xf numFmtId="2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164" fontId="0" fillId="0" borderId="1" xfId="0" applyNumberFormat="1" applyBorder="1" applyProtection="1">
      <protection hidden="1"/>
    </xf>
    <xf numFmtId="164" fontId="6" fillId="0" borderId="1" xfId="0" applyNumberFormat="1" applyFont="1" applyBorder="1" applyProtection="1">
      <protection hidden="1"/>
    </xf>
    <xf numFmtId="11" fontId="0" fillId="0" borderId="0" xfId="0" applyNumberFormat="1" applyProtection="1">
      <protection hidden="1"/>
    </xf>
    <xf numFmtId="2" fontId="0" fillId="0" borderId="3" xfId="0" applyNumberFormat="1" applyBorder="1" applyProtection="1">
      <protection hidden="1"/>
    </xf>
    <xf numFmtId="0" fontId="0" fillId="0" borderId="4" xfId="0" applyBorder="1" applyProtection="1">
      <protection hidden="1"/>
    </xf>
    <xf numFmtId="166" fontId="0" fillId="4" borderId="1" xfId="0" applyNumberFormat="1" applyFill="1" applyBorder="1" applyAlignment="1" applyProtection="1">
      <alignment horizontal="center"/>
      <protection hidden="1"/>
    </xf>
    <xf numFmtId="167" fontId="5" fillId="5" borderId="0" xfId="0" applyNumberFormat="1" applyFont="1" applyFill="1" applyProtection="1">
      <protection hidden="1"/>
    </xf>
    <xf numFmtId="0" fontId="13" fillId="0" borderId="0" xfId="2" applyFont="1" applyProtection="1">
      <protection hidden="1"/>
    </xf>
    <xf numFmtId="0" fontId="5" fillId="3" borderId="1" xfId="0" applyFont="1" applyFill="1" applyBorder="1" applyAlignment="1" applyProtection="1">
      <alignment horizontal="right"/>
      <protection locked="0" hidden="1"/>
    </xf>
    <xf numFmtId="0" fontId="5" fillId="3" borderId="1" xfId="0" applyFont="1" applyFill="1" applyBorder="1" applyProtection="1">
      <protection locked="0" hidden="1"/>
    </xf>
    <xf numFmtId="166" fontId="5" fillId="3" borderId="1" xfId="0" applyNumberFormat="1" applyFont="1" applyFill="1" applyBorder="1" applyProtection="1">
      <protection locked="0" hidden="1"/>
    </xf>
    <xf numFmtId="0" fontId="0" fillId="0" borderId="3" xfId="0" applyBorder="1" applyAlignment="1" applyProtection="1">
      <alignment horizontal="right"/>
      <protection hidden="1"/>
    </xf>
    <xf numFmtId="0" fontId="0" fillId="0" borderId="5" xfId="0" applyBorder="1" applyAlignment="1" applyProtection="1">
      <alignment horizontal="right"/>
      <protection hidden="1"/>
    </xf>
    <xf numFmtId="0" fontId="0" fillId="0" borderId="4" xfId="0" applyBorder="1" applyAlignment="1" applyProtection="1">
      <alignment horizontal="right"/>
      <protection hidden="1"/>
    </xf>
    <xf numFmtId="0" fontId="0" fillId="0" borderId="1" xfId="0" applyBorder="1" applyAlignment="1" applyProtection="1">
      <alignment horizontal="right"/>
      <protection hidden="1"/>
    </xf>
    <xf numFmtId="0" fontId="0" fillId="2" borderId="1" xfId="0" applyFill="1" applyBorder="1" applyAlignment="1" applyProtection="1">
      <alignment horizontal="right"/>
      <protection hidden="1"/>
    </xf>
    <xf numFmtId="0" fontId="0" fillId="0" borderId="1" xfId="0" applyBorder="1" applyAlignment="1" applyProtection="1">
      <alignment horizontal="center"/>
      <protection hidden="1"/>
    </xf>
    <xf numFmtId="2" fontId="7" fillId="2" borderId="3" xfId="0" applyNumberFormat="1" applyFont="1" applyFill="1" applyBorder="1" applyAlignment="1" applyProtection="1">
      <alignment horizontal="center"/>
      <protection hidden="1"/>
    </xf>
    <xf numFmtId="2" fontId="7" fillId="2" borderId="4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2" xfId="0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0" fillId="6" borderId="0" xfId="1" applyFont="1" applyFill="1" applyAlignment="1" applyProtection="1">
      <alignment horizontal="center"/>
      <protection hidden="1"/>
    </xf>
    <xf numFmtId="0" fontId="12" fillId="6" borderId="0" xfId="2" applyFont="1" applyFill="1" applyAlignment="1" applyProtection="1">
      <alignment horizontal="center"/>
      <protection hidden="1"/>
    </xf>
    <xf numFmtId="2" fontId="0" fillId="4" borderId="1" xfId="0" applyNumberFormat="1" applyFill="1" applyBorder="1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8" fillId="0" borderId="0" xfId="1" applyAlignment="1" applyProtection="1">
      <alignment horizontal="left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6" fillId="0" borderId="0" xfId="0" applyFont="1" applyProtection="1">
      <protection hidden="1"/>
    </xf>
  </cellXfs>
  <cellStyles count="3">
    <cellStyle name="Hyperlink" xfId="1" builtinId="8"/>
    <cellStyle name="Normal" xfId="0" builtinId="0"/>
    <cellStyle name="Normal_ConcreteColumn" xfId="2" xr:uid="{2838C3C0-A515-4699-9F0C-F7CF26BC0E6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55458-E4CF-412F-9039-362574DF7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C8447B59-2E0B-4D7F-B95A-AE1087FABC5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08BCE6-1D9F-4AA4-BC90-1D5F6DEF13A3}"/>
            </a:ext>
          </a:extLst>
        </xdr:cNvPr>
        <xdr:cNvSpPr txBox="1"/>
      </xdr:nvSpPr>
      <xdr:spPr>
        <a:xfrm>
          <a:off x="4552950" y="300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88615</xdr:colOff>
      <xdr:row>7</xdr:row>
      <xdr:rowOff>109400</xdr:rowOff>
    </xdr:from>
    <xdr:to>
      <xdr:col>10</xdr:col>
      <xdr:colOff>586148</xdr:colOff>
      <xdr:row>17</xdr:row>
      <xdr:rowOff>4535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22DE4-6CA3-48A8-8DE2-230E4AF0B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53" t="1576" r="1334" b="3324"/>
        <a:stretch/>
      </xdr:blipFill>
      <xdr:spPr>
        <a:xfrm>
          <a:off x="4645961" y="1772612"/>
          <a:ext cx="2900764" cy="1800135"/>
        </a:xfrm>
        <a:prstGeom prst="rect">
          <a:avLst/>
        </a:prstGeom>
      </xdr:spPr>
    </xdr:pic>
    <xdr:clientData/>
  </xdr:twoCellAnchor>
  <xdr:twoCellAnchor editAs="oneCell">
    <xdr:from>
      <xdr:col>12</xdr:col>
      <xdr:colOff>29308</xdr:colOff>
      <xdr:row>4</xdr:row>
      <xdr:rowOff>60691</xdr:rowOff>
    </xdr:from>
    <xdr:to>
      <xdr:col>21</xdr:col>
      <xdr:colOff>2199</xdr:colOff>
      <xdr:row>18</xdr:row>
      <xdr:rowOff>65942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312938-9E9F-4504-9B52-4CB5547D7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40000"/>
                  </a14:imgEffect>
                </a14:imgLayer>
              </a14:imgProps>
            </a:ext>
          </a:extLst>
        </a:blip>
        <a:srcRect l="3855" r="3477" b="2865"/>
        <a:stretch/>
      </xdr:blipFill>
      <xdr:spPr>
        <a:xfrm>
          <a:off x="8211283" y="965566"/>
          <a:ext cx="3380643" cy="2862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ta-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8227-F37E-4873-8C19-89941F9EA61E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" customWidth="1"/>
    <col min="2" max="16384" width="9.140625" style="1"/>
  </cols>
  <sheetData>
    <row r="14" spans="2:10" ht="15" customHeight="1" x14ac:dyDescent="0.25">
      <c r="B14" s="45" t="s">
        <v>64</v>
      </c>
      <c r="C14" s="45"/>
      <c r="D14" s="45"/>
      <c r="E14" s="45"/>
      <c r="F14" s="45"/>
      <c r="G14" s="45"/>
      <c r="H14" s="45"/>
      <c r="I14" s="45"/>
      <c r="J14" s="45"/>
    </row>
    <row r="15" spans="2:10" ht="15" customHeight="1" x14ac:dyDescent="0.25">
      <c r="B15" s="45"/>
      <c r="C15" s="45"/>
      <c r="D15" s="45"/>
      <c r="E15" s="45"/>
      <c r="F15" s="45"/>
      <c r="G15" s="45"/>
      <c r="H15" s="45"/>
      <c r="I15" s="45"/>
      <c r="J15" s="45"/>
    </row>
    <row r="16" spans="2:10" x14ac:dyDescent="0.25">
      <c r="B16" s="45"/>
      <c r="C16" s="45"/>
      <c r="D16" s="45"/>
      <c r="E16" s="45"/>
      <c r="F16" s="45"/>
      <c r="G16" s="45"/>
      <c r="H16" s="45"/>
      <c r="I16" s="45"/>
      <c r="J16" s="45"/>
    </row>
    <row r="17" spans="2:10" x14ac:dyDescent="0.25">
      <c r="C17" s="34" t="s">
        <v>65</v>
      </c>
      <c r="D17" s="34"/>
      <c r="E17" s="46" t="s">
        <v>66</v>
      </c>
      <c r="F17" s="46"/>
      <c r="G17" s="46"/>
      <c r="H17" s="46"/>
      <c r="I17" s="46"/>
      <c r="J17" s="46"/>
    </row>
    <row r="18" spans="2:10" x14ac:dyDescent="0.25">
      <c r="C18" s="34" t="s">
        <v>67</v>
      </c>
      <c r="D18" s="34"/>
      <c r="E18" s="46" t="s">
        <v>68</v>
      </c>
      <c r="F18" s="46"/>
      <c r="G18" s="46"/>
      <c r="H18" s="46"/>
      <c r="I18" s="46"/>
      <c r="J18" s="46"/>
    </row>
    <row r="19" spans="2:10" x14ac:dyDescent="0.25">
      <c r="C19" s="34" t="s">
        <v>69</v>
      </c>
      <c r="D19" s="34"/>
      <c r="E19" s="46" t="s">
        <v>70</v>
      </c>
      <c r="F19" s="46"/>
      <c r="G19" s="46"/>
      <c r="H19" s="46"/>
      <c r="I19" s="46"/>
      <c r="J19" s="46"/>
    </row>
    <row r="20" spans="2:10" x14ac:dyDescent="0.25">
      <c r="C20" s="34" t="s">
        <v>71</v>
      </c>
      <c r="D20" s="34"/>
      <c r="E20" s="46" t="s">
        <v>72</v>
      </c>
      <c r="F20" s="46"/>
      <c r="G20" s="46"/>
      <c r="H20" s="46"/>
      <c r="I20" s="46"/>
      <c r="J20" s="46"/>
    </row>
    <row r="21" spans="2:10" x14ac:dyDescent="0.25">
      <c r="C21" s="34" t="s">
        <v>73</v>
      </c>
      <c r="D21" s="34"/>
      <c r="E21" s="46" t="s">
        <v>74</v>
      </c>
      <c r="F21" s="46"/>
      <c r="G21" s="46"/>
      <c r="H21" s="46"/>
      <c r="I21" s="46"/>
      <c r="J21" s="46"/>
    </row>
    <row r="22" spans="2:10" x14ac:dyDescent="0.25">
      <c r="C22" s="34" t="s">
        <v>75</v>
      </c>
      <c r="D22" s="34"/>
      <c r="E22" s="46" t="s">
        <v>76</v>
      </c>
      <c r="F22" s="46"/>
      <c r="G22" s="46"/>
      <c r="H22" s="46"/>
      <c r="I22" s="46"/>
      <c r="J22" s="46"/>
    </row>
    <row r="24" spans="2:10" ht="15" customHeight="1" x14ac:dyDescent="0.25">
      <c r="B24" s="47" t="s">
        <v>77</v>
      </c>
      <c r="C24" s="47"/>
      <c r="D24" s="47"/>
      <c r="E24" s="47"/>
      <c r="F24" s="47"/>
      <c r="G24" s="47"/>
      <c r="H24" s="47"/>
      <c r="I24" s="47"/>
      <c r="J24" s="47"/>
    </row>
    <row r="25" spans="2:10" ht="15" customHeight="1" x14ac:dyDescent="0.25">
      <c r="B25" s="47"/>
      <c r="C25" s="47"/>
      <c r="D25" s="47"/>
      <c r="E25" s="47"/>
      <c r="F25" s="47"/>
      <c r="G25" s="47"/>
      <c r="H25" s="47"/>
      <c r="I25" s="47"/>
      <c r="J25" s="47"/>
    </row>
    <row r="26" spans="2:10" ht="15" customHeight="1" x14ac:dyDescent="0.25">
      <c r="B26" s="47"/>
      <c r="C26" s="47"/>
      <c r="D26" s="47"/>
      <c r="E26" s="47"/>
      <c r="F26" s="47"/>
      <c r="G26" s="47"/>
      <c r="H26" s="47"/>
      <c r="I26" s="47"/>
      <c r="J26" s="47"/>
    </row>
    <row r="27" spans="2:10" x14ac:dyDescent="0.25">
      <c r="B27" s="47"/>
      <c r="C27" s="47"/>
      <c r="D27" s="47"/>
      <c r="E27" s="47"/>
      <c r="F27" s="47"/>
      <c r="G27" s="47"/>
      <c r="H27" s="47"/>
      <c r="I27" s="47"/>
      <c r="J27" s="47"/>
    </row>
    <row r="34" spans="1:13" ht="15.75" x14ac:dyDescent="0.25">
      <c r="A34" s="48" t="s">
        <v>78</v>
      </c>
      <c r="B34" s="46" t="s">
        <v>79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ht="15.75" x14ac:dyDescent="0.25">
      <c r="A35" s="48"/>
    </row>
    <row r="36" spans="1:13" ht="15.75" x14ac:dyDescent="0.25">
      <c r="A36" s="48" t="s">
        <v>80</v>
      </c>
      <c r="B36" s="46" t="s">
        <v>81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43BAC54B-25EF-4CB6-B597-B8602D460B9D}"/>
    <hyperlink ref="E18" r:id="rId2" xr:uid="{E0A7725E-2EB5-4F2A-80A6-89351862CDCB}"/>
    <hyperlink ref="E19" r:id="rId3" xr:uid="{3954E76F-0DDA-466C-B226-D75D75EEA3DD}"/>
    <hyperlink ref="E21" r:id="rId4" xr:uid="{BFA60CB2-59B0-4997-AA1E-5B7C945EB4B8}"/>
    <hyperlink ref="E22" r:id="rId5" xr:uid="{D8470AA7-E1AE-46E9-A24C-3874E6A4D47F}"/>
    <hyperlink ref="B36" r:id="rId6" xr:uid="{58939151-6B16-4F04-8D01-EB72D2EE0B03}"/>
    <hyperlink ref="B34" r:id="rId7" xr:uid="{5CC1E364-B6ED-41D8-AF38-2AB35205A420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A28E-E8E6-4E6B-BC6A-B61BA8957A77}">
  <dimension ref="A1:V58"/>
  <sheetViews>
    <sheetView zoomScale="130" zoomScaleNormal="130" workbookViewId="0">
      <selection activeCell="E9" sqref="E9"/>
    </sheetView>
  </sheetViews>
  <sheetFormatPr defaultRowHeight="15" x14ac:dyDescent="0.25"/>
  <cols>
    <col min="1" max="1" width="1.85546875" style="1" customWidth="1"/>
    <col min="2" max="2" width="24.28515625" style="1" bestFit="1" customWidth="1"/>
    <col min="3" max="3" width="11.7109375" style="1" customWidth="1"/>
    <col min="4" max="4" width="12.28515625" style="1" customWidth="1"/>
    <col min="5" max="5" width="11" style="1" customWidth="1"/>
    <col min="6" max="6" width="7.140625" style="1" bestFit="1" customWidth="1"/>
    <col min="7" max="7" width="8.140625" style="1" bestFit="1" customWidth="1"/>
    <col min="8" max="9" width="9.140625" style="1"/>
    <col min="10" max="10" width="9.7109375" style="1" bestFit="1" customWidth="1"/>
    <col min="11" max="13" width="9.140625" style="1"/>
    <col min="14" max="14" width="5.28515625" style="1" customWidth="1"/>
    <col min="15" max="16" width="9.140625" style="1"/>
    <col min="17" max="17" width="3.140625" style="1" customWidth="1"/>
    <col min="18" max="18" width="3" style="1" customWidth="1"/>
    <col min="19" max="19" width="4.28515625" style="1" customWidth="1"/>
    <col min="20" max="20" width="3.5703125" style="1" customWidth="1"/>
    <col min="21" max="21" width="4.42578125" style="1" customWidth="1"/>
    <col min="22" max="16384" width="9.140625" style="1"/>
  </cols>
  <sheetData>
    <row r="1" spans="1:22" ht="28.5" customHeight="1" x14ac:dyDescent="0.5">
      <c r="A1" s="38" t="s">
        <v>63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22" ht="27.75" customHeight="1" x14ac:dyDescent="0.5">
      <c r="A2" s="39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22" s="22" customFormat="1" ht="36" x14ac:dyDescent="0.55000000000000004">
      <c r="A3" s="40" t="s">
        <v>62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1:22" x14ac:dyDescent="0.25">
      <c r="B5" s="44" t="s">
        <v>0</v>
      </c>
      <c r="C5" s="44"/>
      <c r="D5" s="44"/>
    </row>
    <row r="6" spans="1:22" ht="30" x14ac:dyDescent="0.25">
      <c r="B6" s="2"/>
      <c r="C6" s="3" t="s">
        <v>6</v>
      </c>
      <c r="D6" s="3" t="s">
        <v>1</v>
      </c>
      <c r="E6" s="4" t="s">
        <v>2</v>
      </c>
    </row>
    <row r="7" spans="1:22" x14ac:dyDescent="0.25">
      <c r="B7" s="5"/>
      <c r="C7" s="6"/>
      <c r="D7" s="6">
        <f>0.4*E10</f>
        <v>29000</v>
      </c>
      <c r="E7" s="7">
        <f>IF(C7&gt;0,C7,IF(D7&gt;0,D7))</f>
        <v>29000</v>
      </c>
      <c r="F7" s="14" t="s">
        <v>3</v>
      </c>
    </row>
    <row r="8" spans="1:22" x14ac:dyDescent="0.25">
      <c r="C8" s="6"/>
      <c r="D8" s="6">
        <f>0.45*E9</f>
        <v>1350</v>
      </c>
      <c r="E8" s="7">
        <f t="shared" ref="E8" si="0">IF(C8&gt;0,C8,IF(D8&gt;0,D8))</f>
        <v>1350</v>
      </c>
      <c r="F8" s="14" t="s">
        <v>3</v>
      </c>
    </row>
    <row r="9" spans="1:22" x14ac:dyDescent="0.25">
      <c r="B9" s="6"/>
      <c r="C9" s="8"/>
      <c r="D9" s="6" t="s">
        <v>4</v>
      </c>
      <c r="E9" s="23">
        <v>3000</v>
      </c>
      <c r="F9" s="14" t="s">
        <v>3</v>
      </c>
    </row>
    <row r="10" spans="1:22" x14ac:dyDescent="0.25">
      <c r="B10" s="6"/>
      <c r="C10" s="6"/>
      <c r="D10" s="6" t="s">
        <v>5</v>
      </c>
      <c r="E10" s="23">
        <v>72500</v>
      </c>
      <c r="F10" s="14" t="s">
        <v>3</v>
      </c>
    </row>
    <row r="11" spans="1:22" x14ac:dyDescent="0.25">
      <c r="B11" s="34" t="s">
        <v>13</v>
      </c>
      <c r="C11" s="34"/>
      <c r="D11" s="35"/>
      <c r="E11" s="23">
        <v>107</v>
      </c>
      <c r="F11" s="14" t="s">
        <v>26</v>
      </c>
    </row>
    <row r="12" spans="1:22" x14ac:dyDescent="0.25">
      <c r="B12" s="36" t="s">
        <v>14</v>
      </c>
      <c r="C12" s="36"/>
      <c r="D12" s="36"/>
      <c r="E12" s="23">
        <v>31</v>
      </c>
      <c r="F12" s="14" t="s">
        <v>26</v>
      </c>
      <c r="V12" s="1" t="str">
        <f>CONCATENATE(E18,"mm"," ","Ø"," ","@",E51," ","c/c")</f>
        <v>16mm Ø @10.25 c/c</v>
      </c>
    </row>
    <row r="13" spans="1:22" x14ac:dyDescent="0.25">
      <c r="B13" s="36" t="s">
        <v>23</v>
      </c>
      <c r="C13" s="36"/>
      <c r="D13" s="37"/>
      <c r="E13" s="23">
        <v>2.35</v>
      </c>
      <c r="F13" s="14" t="s">
        <v>24</v>
      </c>
      <c r="V13" s="1" t="str">
        <f>CONCATENATE(E19,"mm"," ","Ø"," ","@",E58," ","c/c")</f>
        <v>16mm Ø @10.75 c/c</v>
      </c>
    </row>
    <row r="14" spans="1:22" s="9" customFormat="1" x14ac:dyDescent="0.25">
      <c r="B14" s="34" t="s">
        <v>21</v>
      </c>
      <c r="C14" s="34"/>
      <c r="D14" s="35"/>
      <c r="E14" s="24">
        <v>5</v>
      </c>
      <c r="F14" s="15" t="s">
        <v>7</v>
      </c>
    </row>
    <row r="15" spans="1:22" x14ac:dyDescent="0.25">
      <c r="B15" s="34" t="s">
        <v>17</v>
      </c>
      <c r="C15" s="34"/>
      <c r="D15" s="35"/>
      <c r="E15" s="24">
        <v>15</v>
      </c>
      <c r="F15" s="14" t="s">
        <v>8</v>
      </c>
      <c r="K15" s="11" t="s">
        <v>10</v>
      </c>
      <c r="L15" s="21">
        <f>_xlfn.CEILING.MATH(E20+E21+(E18/25.4),0.25)</f>
        <v>14.5</v>
      </c>
    </row>
    <row r="16" spans="1:22" x14ac:dyDescent="0.25">
      <c r="B16" s="34" t="s">
        <v>18</v>
      </c>
      <c r="C16" s="34"/>
      <c r="D16" s="35"/>
      <c r="E16" s="24">
        <v>12</v>
      </c>
      <c r="F16" s="14" t="s">
        <v>8</v>
      </c>
      <c r="K16" s="11" t="s">
        <v>11</v>
      </c>
      <c r="L16" s="12">
        <f>(PI()/4)*(E19/8)^2</f>
        <v>3.1415926535897931</v>
      </c>
    </row>
    <row r="17" spans="2:12" x14ac:dyDescent="0.25">
      <c r="B17" s="36" t="s">
        <v>19</v>
      </c>
      <c r="C17" s="36"/>
      <c r="D17" s="37"/>
      <c r="E17" s="24">
        <v>125</v>
      </c>
      <c r="F17" s="14" t="s">
        <v>9</v>
      </c>
      <c r="K17" s="11"/>
      <c r="L17" s="12"/>
    </row>
    <row r="18" spans="2:12" x14ac:dyDescent="0.25">
      <c r="B18" s="34" t="s">
        <v>58</v>
      </c>
      <c r="C18" s="34"/>
      <c r="D18" s="34"/>
      <c r="E18" s="24">
        <v>16</v>
      </c>
      <c r="F18" s="16" t="s">
        <v>15</v>
      </c>
      <c r="K18" s="11"/>
      <c r="L18" s="12"/>
    </row>
    <row r="19" spans="2:12" x14ac:dyDescent="0.25">
      <c r="B19" s="34" t="s">
        <v>59</v>
      </c>
      <c r="C19" s="34"/>
      <c r="D19" s="34"/>
      <c r="E19" s="24">
        <v>16</v>
      </c>
      <c r="F19" s="16" t="s">
        <v>15</v>
      </c>
      <c r="K19" s="11"/>
      <c r="L19" s="12"/>
    </row>
    <row r="20" spans="2:12" x14ac:dyDescent="0.25">
      <c r="B20" s="34" t="s">
        <v>27</v>
      </c>
      <c r="C20" s="34"/>
      <c r="D20" s="35"/>
      <c r="E20" s="24">
        <v>10.75</v>
      </c>
      <c r="F20" s="14" t="s">
        <v>8</v>
      </c>
    </row>
    <row r="21" spans="2:12" x14ac:dyDescent="0.25">
      <c r="B21" s="34" t="s">
        <v>16</v>
      </c>
      <c r="C21" s="34"/>
      <c r="D21" s="35"/>
      <c r="E21" s="24">
        <v>3</v>
      </c>
      <c r="F21" s="14" t="s">
        <v>8</v>
      </c>
    </row>
    <row r="22" spans="2:12" x14ac:dyDescent="0.25">
      <c r="B22" s="34" t="s">
        <v>29</v>
      </c>
      <c r="C22" s="34"/>
      <c r="D22" s="34"/>
      <c r="E22" s="24">
        <v>10</v>
      </c>
      <c r="F22" s="14" t="s">
        <v>7</v>
      </c>
      <c r="G22" s="31" t="s">
        <v>50</v>
      </c>
      <c r="H22" s="31"/>
    </row>
    <row r="23" spans="2:12" x14ac:dyDescent="0.25">
      <c r="B23" s="34" t="s">
        <v>30</v>
      </c>
      <c r="C23" s="34"/>
      <c r="D23" s="34"/>
      <c r="E23" s="24">
        <v>8</v>
      </c>
      <c r="F23" s="14" t="s">
        <v>7</v>
      </c>
      <c r="G23" s="42">
        <f>E29/E22</f>
        <v>8</v>
      </c>
      <c r="H23" s="43"/>
    </row>
    <row r="24" spans="2:12" x14ac:dyDescent="0.25">
      <c r="B24" s="6"/>
      <c r="C24" s="6"/>
      <c r="D24" s="6" t="s">
        <v>60</v>
      </c>
      <c r="E24" s="25">
        <v>0.65</v>
      </c>
      <c r="F24" s="31" t="s">
        <v>46</v>
      </c>
      <c r="G24" s="31"/>
      <c r="H24" s="20">
        <f>E47*E10/(0.85*E9*E23*12)</f>
        <v>0.89001511209333184</v>
      </c>
    </row>
    <row r="25" spans="2:12" x14ac:dyDescent="0.25">
      <c r="B25" s="6"/>
      <c r="C25" s="6"/>
      <c r="D25" s="6" t="s">
        <v>61</v>
      </c>
      <c r="E25" s="25">
        <v>0.69</v>
      </c>
      <c r="F25" s="31" t="s">
        <v>46</v>
      </c>
      <c r="G25" s="31"/>
      <c r="H25" s="20">
        <f>E54*E10/(0.85*E9*E22*12)</f>
        <v>0.57070454857152431</v>
      </c>
    </row>
    <row r="27" spans="2:12" x14ac:dyDescent="0.25">
      <c r="B27" s="29" t="s">
        <v>20</v>
      </c>
      <c r="C27" s="29"/>
      <c r="D27" s="29"/>
      <c r="E27" s="13">
        <f>E14*E17</f>
        <v>625</v>
      </c>
      <c r="F27" s="14" t="s">
        <v>9</v>
      </c>
    </row>
    <row r="28" spans="2:12" x14ac:dyDescent="0.25">
      <c r="B28" s="29" t="s">
        <v>22</v>
      </c>
      <c r="C28" s="29"/>
      <c r="D28" s="29"/>
      <c r="E28" s="13">
        <f>E13*1000-E27</f>
        <v>1725</v>
      </c>
      <c r="F28" s="14" t="s">
        <v>9</v>
      </c>
    </row>
    <row r="29" spans="2:12" x14ac:dyDescent="0.25">
      <c r="B29" s="29" t="s">
        <v>25</v>
      </c>
      <c r="C29" s="29"/>
      <c r="D29" s="29"/>
      <c r="E29" s="13">
        <f>(E11+E12)*1000/E28</f>
        <v>80</v>
      </c>
      <c r="F29" s="14" t="s">
        <v>28</v>
      </c>
    </row>
    <row r="30" spans="2:12" x14ac:dyDescent="0.25">
      <c r="B30" s="29" t="s">
        <v>31</v>
      </c>
      <c r="C30" s="29"/>
      <c r="D30" s="29"/>
      <c r="E30" s="13">
        <f>E22*E23</f>
        <v>80</v>
      </c>
      <c r="F30" s="14" t="s">
        <v>28</v>
      </c>
    </row>
    <row r="31" spans="2:12" x14ac:dyDescent="0.25">
      <c r="B31" s="29" t="s">
        <v>32</v>
      </c>
      <c r="C31" s="29"/>
      <c r="D31" s="29"/>
      <c r="E31" s="13">
        <f>(1.2*E11+1.6*E12)/(E22*E23)</f>
        <v>2.2250000000000001</v>
      </c>
      <c r="F31" s="14" t="s">
        <v>24</v>
      </c>
    </row>
    <row r="32" spans="2:12" x14ac:dyDescent="0.25">
      <c r="B32" s="29" t="s">
        <v>33</v>
      </c>
      <c r="C32" s="29"/>
      <c r="D32" s="29"/>
      <c r="E32" s="13">
        <f>((E15+E20)*2)+((E16+E20)*2)</f>
        <v>97</v>
      </c>
      <c r="F32" s="14" t="s">
        <v>8</v>
      </c>
    </row>
    <row r="33" spans="2:10" x14ac:dyDescent="0.25">
      <c r="B33" s="30" t="s">
        <v>35</v>
      </c>
      <c r="C33" s="30"/>
      <c r="D33" s="30"/>
      <c r="E33" s="32" t="str">
        <f>IF(E36&gt;E34,"Satisfied","Not Satisfied")</f>
        <v>Satisfied</v>
      </c>
      <c r="F33" s="33"/>
    </row>
    <row r="34" spans="2:10" x14ac:dyDescent="0.25">
      <c r="B34" s="29" t="s">
        <v>34</v>
      </c>
      <c r="C34" s="29"/>
      <c r="D34" s="29"/>
      <c r="E34" s="13">
        <f>E31*((E22*E23)-(((E15+E20)/12)*((E16+E20)/12)))</f>
        <v>168.94838324652778</v>
      </c>
      <c r="F34" s="14" t="s">
        <v>26</v>
      </c>
    </row>
    <row r="35" spans="2:10" x14ac:dyDescent="0.25">
      <c r="B35" s="29" t="s">
        <v>36</v>
      </c>
      <c r="C35" s="29"/>
      <c r="D35" s="29"/>
      <c r="E35" s="13">
        <f>4*SQRT(E9)*E32*E20/1000</f>
        <v>228.45507873540478</v>
      </c>
      <c r="F35" s="14" t="s">
        <v>26</v>
      </c>
    </row>
    <row r="36" spans="2:10" x14ac:dyDescent="0.25">
      <c r="B36" s="29" t="s">
        <v>37</v>
      </c>
      <c r="C36" s="29"/>
      <c r="D36" s="29"/>
      <c r="E36" s="13">
        <f>0.75*E35</f>
        <v>171.34130905155359</v>
      </c>
      <c r="F36" s="14" t="s">
        <v>26</v>
      </c>
    </row>
    <row r="37" spans="2:10" x14ac:dyDescent="0.25">
      <c r="B37" s="30" t="s">
        <v>51</v>
      </c>
      <c r="C37" s="30"/>
      <c r="D37" s="30"/>
      <c r="E37" s="32" t="str">
        <f>IF(E40&gt;E38,"Satisfied","Not Satisfied")</f>
        <v>Satisfied</v>
      </c>
      <c r="F37" s="33"/>
    </row>
    <row r="38" spans="2:10" x14ac:dyDescent="0.25">
      <c r="B38" s="29" t="s">
        <v>40</v>
      </c>
      <c r="C38" s="29"/>
      <c r="D38" s="29"/>
      <c r="E38" s="13">
        <f>E31*H38*E23</f>
        <v>61.929166666666674</v>
      </c>
      <c r="F38" s="14" t="s">
        <v>26</v>
      </c>
      <c r="G38" s="1" t="s">
        <v>39</v>
      </c>
      <c r="H38" s="10">
        <f>E22-((E22/2)+(E15/(2*12))+E20/12)</f>
        <v>3.479166666666667</v>
      </c>
    </row>
    <row r="39" spans="2:10" x14ac:dyDescent="0.25">
      <c r="B39" s="29" t="s">
        <v>36</v>
      </c>
      <c r="C39" s="29"/>
      <c r="D39" s="29"/>
      <c r="E39" s="13">
        <f>2*SQRT(E9)*E23*12*E20/1000</f>
        <v>113.04993586906629</v>
      </c>
      <c r="F39" s="14" t="s">
        <v>26</v>
      </c>
      <c r="G39" s="1" t="s">
        <v>38</v>
      </c>
      <c r="H39" s="10">
        <f>E23-((E23/2)+(E16/(2*12))+E20/12)</f>
        <v>2.604166666666667</v>
      </c>
    </row>
    <row r="40" spans="2:10" x14ac:dyDescent="0.25">
      <c r="B40" s="29" t="s">
        <v>37</v>
      </c>
      <c r="C40" s="29"/>
      <c r="D40" s="29"/>
      <c r="E40" s="13">
        <f>0.75*E39</f>
        <v>84.787451901799713</v>
      </c>
      <c r="F40" s="14" t="s">
        <v>26</v>
      </c>
    </row>
    <row r="41" spans="2:10" x14ac:dyDescent="0.25">
      <c r="B41" s="30" t="s">
        <v>52</v>
      </c>
      <c r="C41" s="30"/>
      <c r="D41" s="30"/>
      <c r="E41" s="32" t="str">
        <f>IF(E44&gt;E42,"Satisfied","Not Satisfied")</f>
        <v>Satisfied</v>
      </c>
      <c r="F41" s="33"/>
    </row>
    <row r="42" spans="2:10" x14ac:dyDescent="0.25">
      <c r="B42" s="29" t="s">
        <v>40</v>
      </c>
      <c r="C42" s="29"/>
      <c r="D42" s="29"/>
      <c r="E42" s="13">
        <f>E31*H39*E22</f>
        <v>57.942708333333343</v>
      </c>
      <c r="F42" s="14" t="s">
        <v>26</v>
      </c>
    </row>
    <row r="43" spans="2:10" x14ac:dyDescent="0.25">
      <c r="B43" s="29" t="s">
        <v>36</v>
      </c>
      <c r="C43" s="29"/>
      <c r="D43" s="29"/>
      <c r="E43" s="13">
        <f>2*SQRT(E9)*E22*12*E20/1000</f>
        <v>141.31241983633288</v>
      </c>
      <c r="F43" s="14" t="s">
        <v>26</v>
      </c>
    </row>
    <row r="44" spans="2:10" x14ac:dyDescent="0.25">
      <c r="B44" s="29" t="s">
        <v>37</v>
      </c>
      <c r="C44" s="29"/>
      <c r="D44" s="29"/>
      <c r="E44" s="13">
        <f>0.75*E43</f>
        <v>105.98431487724966</v>
      </c>
      <c r="F44" s="14" t="s">
        <v>26</v>
      </c>
    </row>
    <row r="45" spans="2:10" x14ac:dyDescent="0.25">
      <c r="B45" s="30" t="s">
        <v>54</v>
      </c>
      <c r="C45" s="30"/>
      <c r="D45" s="30"/>
      <c r="E45" s="32"/>
      <c r="F45" s="33"/>
      <c r="I45" s="6"/>
      <c r="J45" s="17"/>
    </row>
    <row r="46" spans="2:10" x14ac:dyDescent="0.25">
      <c r="B46" s="29" t="s">
        <v>42</v>
      </c>
      <c r="C46" s="29"/>
      <c r="D46" s="29"/>
      <c r="E46" s="13">
        <f>E31*E23*H46*H46*12/2</f>
        <v>2044.21875</v>
      </c>
      <c r="F46" s="14" t="s">
        <v>43</v>
      </c>
      <c r="G46" s="1" t="s">
        <v>41</v>
      </c>
      <c r="H46" s="10">
        <f>(E22/2)-(E15/(2*12))</f>
        <v>4.375</v>
      </c>
      <c r="I46" s="6"/>
      <c r="J46" s="17"/>
    </row>
    <row r="47" spans="2:10" x14ac:dyDescent="0.25">
      <c r="B47" s="29" t="s">
        <v>44</v>
      </c>
      <c r="C47" s="29"/>
      <c r="D47" s="29"/>
      <c r="E47" s="13">
        <f>E46*1000/(0.9*E10*(E20-(E24/2)))</f>
        <v>3.0051820612475537</v>
      </c>
      <c r="F47" s="14" t="s">
        <v>45</v>
      </c>
      <c r="I47" s="6"/>
      <c r="J47" s="17"/>
    </row>
    <row r="48" spans="2:10" x14ac:dyDescent="0.25">
      <c r="B48" s="29" t="s">
        <v>47</v>
      </c>
      <c r="C48" s="29"/>
      <c r="D48" s="29"/>
      <c r="E48" s="13">
        <f>3*SQRT(E9)*E23*12*E20/E10</f>
        <v>2.3389641903944747</v>
      </c>
      <c r="F48" s="14" t="s">
        <v>45</v>
      </c>
    </row>
    <row r="49" spans="2:11" x14ac:dyDescent="0.25">
      <c r="B49" s="29" t="s">
        <v>48</v>
      </c>
      <c r="C49" s="29"/>
      <c r="D49" s="29"/>
      <c r="E49" s="13">
        <f>200*E23*12*E20/E10</f>
        <v>2.846896551724138</v>
      </c>
      <c r="F49" s="14" t="s">
        <v>45</v>
      </c>
    </row>
    <row r="50" spans="2:11" x14ac:dyDescent="0.25">
      <c r="B50" s="29" t="s">
        <v>49</v>
      </c>
      <c r="C50" s="29"/>
      <c r="D50" s="29"/>
      <c r="E50" s="13">
        <f>MAX(E47:E49)</f>
        <v>3.0051820612475537</v>
      </c>
      <c r="F50" s="14" t="s">
        <v>45</v>
      </c>
    </row>
    <row r="51" spans="2:11" x14ac:dyDescent="0.25">
      <c r="B51" s="26" t="s">
        <v>56</v>
      </c>
      <c r="C51" s="27"/>
      <c r="D51" s="28"/>
      <c r="E51" s="18">
        <f>_xlfn.FLOOR.MATH((((E23*12)-(E21*2))/((E50/((3.1416/4)*(E18/25.4)^2))-1)),0.25)</f>
        <v>10.25</v>
      </c>
      <c r="F51" s="19" t="s">
        <v>57</v>
      </c>
      <c r="J51" s="1">
        <f>PI()/4</f>
        <v>0.78539816339744828</v>
      </c>
      <c r="K51" s="1">
        <v>0.78539816339744828</v>
      </c>
    </row>
    <row r="52" spans="2:11" x14ac:dyDescent="0.25">
      <c r="B52" s="30" t="s">
        <v>55</v>
      </c>
      <c r="C52" s="30"/>
      <c r="D52" s="30"/>
      <c r="E52" s="32"/>
      <c r="F52" s="33"/>
    </row>
    <row r="53" spans="2:11" x14ac:dyDescent="0.25">
      <c r="B53" s="29" t="s">
        <v>42</v>
      </c>
      <c r="C53" s="29"/>
      <c r="D53" s="29"/>
      <c r="E53" s="13">
        <f>E31*E22*H53*H53*12/2</f>
        <v>1635.375</v>
      </c>
      <c r="F53" s="14" t="s">
        <v>43</v>
      </c>
      <c r="G53" s="1" t="s">
        <v>53</v>
      </c>
      <c r="H53" s="10">
        <f>(E23/2)-(E16/(2*12))</f>
        <v>3.5</v>
      </c>
    </row>
    <row r="54" spans="2:11" x14ac:dyDescent="0.25">
      <c r="B54" s="29" t="s">
        <v>44</v>
      </c>
      <c r="C54" s="29"/>
      <c r="D54" s="29"/>
      <c r="E54" s="13">
        <f>E53*1000/(0.9*E10*(E20-(E25/2)))</f>
        <v>2.408766784315675</v>
      </c>
      <c r="F54" s="14" t="s">
        <v>45</v>
      </c>
    </row>
    <row r="55" spans="2:11" x14ac:dyDescent="0.25">
      <c r="B55" s="29" t="s">
        <v>47</v>
      </c>
      <c r="C55" s="29"/>
      <c r="D55" s="29"/>
      <c r="E55" s="13">
        <f>3*SQRT(E9)*E22*12*E20/E10</f>
        <v>2.9237052379930937</v>
      </c>
      <c r="F55" s="14" t="s">
        <v>45</v>
      </c>
    </row>
    <row r="56" spans="2:11" x14ac:dyDescent="0.25">
      <c r="B56" s="29" t="s">
        <v>48</v>
      </c>
      <c r="C56" s="29"/>
      <c r="D56" s="29"/>
      <c r="E56" s="13">
        <f>200*E22*12*E20/E10</f>
        <v>3.5586206896551724</v>
      </c>
      <c r="F56" s="14" t="s">
        <v>45</v>
      </c>
    </row>
    <row r="57" spans="2:11" x14ac:dyDescent="0.25">
      <c r="B57" s="29" t="s">
        <v>49</v>
      </c>
      <c r="C57" s="29"/>
      <c r="D57" s="29"/>
      <c r="E57" s="13">
        <f>MAX(E54:E56)</f>
        <v>3.5586206896551724</v>
      </c>
      <c r="F57" s="14" t="s">
        <v>45</v>
      </c>
    </row>
    <row r="58" spans="2:11" x14ac:dyDescent="0.25">
      <c r="B58" s="26" t="s">
        <v>56</v>
      </c>
      <c r="C58" s="27"/>
      <c r="D58" s="28"/>
      <c r="E58" s="18">
        <f>_xlfn.FLOOR.MATH((((E22*12)-(E21*2))/((E57/((3.1416/4)*(E19/25.4)^2))-1)),0.25)</f>
        <v>10.75</v>
      </c>
      <c r="F58" s="19" t="s">
        <v>57</v>
      </c>
    </row>
  </sheetData>
  <sheetProtection algorithmName="SHA-512" hashValue="tSub+XlQzFL997mGR1u+Bqph/ry1nNOH7hUlWB5RLLi3o7LB55/njZl0hmzBgXIqwfz6WVEZgr+YAOddZkpO7g==" saltValue="TLWQIs67Q+xG5rieFRgLjA==" spinCount="100000" sheet="1" objects="1" scenarios="1" selectLockedCells="1"/>
  <mergeCells count="58">
    <mergeCell ref="A1:N1"/>
    <mergeCell ref="A2:N2"/>
    <mergeCell ref="A3:N3"/>
    <mergeCell ref="G22:H22"/>
    <mergeCell ref="B23:D23"/>
    <mergeCell ref="G23:H23"/>
    <mergeCell ref="B20:D20"/>
    <mergeCell ref="B21:D21"/>
    <mergeCell ref="B22:D22"/>
    <mergeCell ref="B19:D19"/>
    <mergeCell ref="B5:D5"/>
    <mergeCell ref="B11:D11"/>
    <mergeCell ref="B12:D12"/>
    <mergeCell ref="B13:D13"/>
    <mergeCell ref="B14:D14"/>
    <mergeCell ref="B15:D15"/>
    <mergeCell ref="B16:D16"/>
    <mergeCell ref="B17:D17"/>
    <mergeCell ref="B18:D18"/>
    <mergeCell ref="F24:G24"/>
    <mergeCell ref="B27:D27"/>
    <mergeCell ref="E37:F37"/>
    <mergeCell ref="B38:D38"/>
    <mergeCell ref="B39:D39"/>
    <mergeCell ref="B31:D31"/>
    <mergeCell ref="B28:D28"/>
    <mergeCell ref="B29:D29"/>
    <mergeCell ref="B30:D30"/>
    <mergeCell ref="B34:D34"/>
    <mergeCell ref="B35:D35"/>
    <mergeCell ref="B36:D36"/>
    <mergeCell ref="B42:D42"/>
    <mergeCell ref="B43:D43"/>
    <mergeCell ref="B37:D37"/>
    <mergeCell ref="F25:G25"/>
    <mergeCell ref="B52:D52"/>
    <mergeCell ref="E52:F52"/>
    <mergeCell ref="B45:D45"/>
    <mergeCell ref="E45:F45"/>
    <mergeCell ref="E41:F41"/>
    <mergeCell ref="B32:D32"/>
    <mergeCell ref="B33:D33"/>
    <mergeCell ref="E33:F33"/>
    <mergeCell ref="B41:D41"/>
    <mergeCell ref="B40:D40"/>
    <mergeCell ref="B44:D44"/>
    <mergeCell ref="B46:D46"/>
    <mergeCell ref="B47:D47"/>
    <mergeCell ref="B48:D48"/>
    <mergeCell ref="B49:D49"/>
    <mergeCell ref="B50:D50"/>
    <mergeCell ref="B57:D57"/>
    <mergeCell ref="B51:D51"/>
    <mergeCell ref="B58:D58"/>
    <mergeCell ref="B55:D55"/>
    <mergeCell ref="B56:D56"/>
    <mergeCell ref="B53:D53"/>
    <mergeCell ref="B54:D54"/>
  </mergeCells>
  <hyperlinks>
    <hyperlink ref="A3" r:id="rId1" xr:uid="{CEB3E685-3460-40C6-8F3A-E077FB5499B7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&amp; Instruction </vt:lpstr>
      <vt:lpstr>RIFD V1.1 (Updated 08-09-2023)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2024-11-01T07:42:26Z</dcterms:modified>
</cp:coreProperties>
</file>