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9040" windowHeight="15840" activeTab="1"/>
  </bookViews>
  <sheets>
    <sheet name="Video &amp; Instruction " sheetId="10" r:id="rId1"/>
    <sheet name="V1.3 (Updated 03-2025)" sheetId="1" r:id="rId2"/>
    <sheet name="Slab Min Thickness Calculation" sheetId="9" state="hidden" r:id="rId3"/>
    <sheet name="Coefficients For  N M" sheetId="5" state="hidden" r:id="rId4"/>
    <sheet name="Coefficients For DL P M " sheetId="6" state="hidden" r:id="rId5"/>
    <sheet name="Coefficients For LL P M " sheetId="7" state="hidden" r:id="rId6"/>
  </sheets>
  <externalReferences>
    <externalReference r:id="rId7"/>
  </externalReferences>
  <definedNames>
    <definedName name="framesystem">[1]Sheet3!$B$39:$B$45</definedName>
  </definedNames>
  <calcPr calcId="162913"/>
</workbook>
</file>

<file path=xl/calcChain.xml><?xml version="1.0" encoding="utf-8"?>
<calcChain xmlns="http://schemas.openxmlformats.org/spreadsheetml/2006/main">
  <c r="R54" i="1" l="1"/>
  <c r="D20" i="9"/>
  <c r="D19" i="9"/>
  <c r="C8" i="9"/>
  <c r="C7" i="9"/>
  <c r="C6" i="9"/>
  <c r="C5" i="9"/>
  <c r="C4" i="9"/>
  <c r="E29" i="1"/>
  <c r="E28" i="1"/>
  <c r="G18" i="1"/>
  <c r="C40" i="1" l="1"/>
  <c r="C39" i="1"/>
  <c r="C38" i="1"/>
  <c r="E8" i="1" l="1"/>
  <c r="E7" i="1"/>
  <c r="E46" i="1"/>
  <c r="D23" i="9"/>
  <c r="D17" i="9"/>
  <c r="D12" i="9"/>
  <c r="D11" i="9"/>
  <c r="D18" i="9"/>
  <c r="D22" i="9" s="1"/>
  <c r="D16" i="9" l="1"/>
  <c r="D27" i="9" s="1"/>
  <c r="D21" i="9"/>
  <c r="D30" i="9"/>
  <c r="G33" i="9" s="1"/>
  <c r="D14" i="9"/>
  <c r="D28" i="9" s="1"/>
  <c r="D26" i="9" l="1"/>
  <c r="D29" i="9" s="1"/>
  <c r="G28" i="1"/>
  <c r="G32" i="9" l="1"/>
  <c r="D35" i="9" s="1"/>
  <c r="F33" i="1" s="1"/>
  <c r="H33" i="1" s="1"/>
  <c r="E29" i="9"/>
  <c r="C41" i="1"/>
  <c r="R11" i="7"/>
  <c r="R11" i="6"/>
  <c r="Q11" i="5"/>
  <c r="D43" i="1" l="1"/>
  <c r="E48" i="1"/>
  <c r="E47" i="1"/>
  <c r="M71" i="1"/>
  <c r="G24" i="1"/>
  <c r="Q10" i="5" l="1"/>
  <c r="Q13" i="5" s="1" a="1"/>
  <c r="Q13" i="5" s="1"/>
  <c r="H50" i="1" s="1"/>
  <c r="R10" i="6"/>
  <c r="R13" i="6" s="1" a="1"/>
  <c r="R13" i="6" s="1"/>
  <c r="K50" i="1" s="1"/>
  <c r="R10" i="7"/>
  <c r="R13" i="7" s="1" a="1"/>
  <c r="R13" i="7" s="1"/>
  <c r="M50" i="1" s="1"/>
  <c r="Q9" i="5"/>
  <c r="Q12" i="5" s="1" a="1"/>
  <c r="Q12" i="5" s="1"/>
  <c r="G50" i="1" s="1"/>
  <c r="R9" i="6"/>
  <c r="R12" i="6" s="1" a="1"/>
  <c r="R12" i="6" s="1"/>
  <c r="I50" i="1" s="1"/>
  <c r="R9" i="7"/>
  <c r="R12" i="7" s="1" a="1"/>
  <c r="R12" i="7" s="1"/>
  <c r="L50" i="1" s="1"/>
  <c r="D31" i="1"/>
  <c r="E31" i="1" s="1"/>
  <c r="C26" i="1" l="1"/>
  <c r="C27" i="1" s="1"/>
  <c r="D70" i="1"/>
  <c r="D24" i="1"/>
  <c r="D35" i="1" l="1"/>
  <c r="R55" i="1" l="1"/>
  <c r="D44" i="1"/>
  <c r="C56" i="1" s="1"/>
  <c r="D36" i="1"/>
  <c r="C57" i="1"/>
  <c r="C61" i="1"/>
  <c r="C74" i="1" s="1"/>
  <c r="G72" i="1" s="1"/>
  <c r="G78" i="1" l="1"/>
  <c r="C60" i="1"/>
  <c r="C78" i="1"/>
  <c r="G74" i="1" s="1"/>
  <c r="C77" i="1"/>
  <c r="C64" i="1"/>
  <c r="C84" i="1" s="1"/>
  <c r="C65" i="1"/>
  <c r="C83" i="1" s="1"/>
  <c r="E56" i="1"/>
  <c r="L82" i="1" l="1"/>
  <c r="R79" i="1" s="1"/>
  <c r="S79" i="1" s="1"/>
  <c r="T79" i="1" s="1"/>
  <c r="L83" i="1" s="1"/>
  <c r="R56" i="1"/>
  <c r="R57" i="1" s="1"/>
  <c r="Q61" i="1"/>
  <c r="E59" i="1"/>
  <c r="F55" i="1" s="1"/>
  <c r="C73" i="1"/>
  <c r="R76" i="1" s="1"/>
  <c r="S76" i="1" s="1"/>
  <c r="T76" i="1" s="1"/>
  <c r="G79" i="1" s="1"/>
  <c r="N33" i="1"/>
  <c r="R58" i="1" l="1"/>
  <c r="G82" i="1"/>
  <c r="R77" i="1" s="1"/>
  <c r="S77" i="1" s="1"/>
  <c r="T77" i="1" s="1"/>
  <c r="G83" i="1" s="1"/>
  <c r="G58" i="1"/>
  <c r="L78" i="1" l="1"/>
  <c r="R78" i="1" s="1"/>
  <c r="S78" i="1" s="1"/>
  <c r="T78" i="1" s="1"/>
  <c r="L79" i="1" s="1"/>
  <c r="I58" i="1"/>
  <c r="F35" i="1"/>
</calcChain>
</file>

<file path=xl/sharedStrings.xml><?xml version="1.0" encoding="utf-8"?>
<sst xmlns="http://schemas.openxmlformats.org/spreadsheetml/2006/main" count="383" uniqueCount="175">
  <si>
    <t>Materials Properties:</t>
  </si>
  <si>
    <t>Converted Data</t>
  </si>
  <si>
    <t>Main Data</t>
  </si>
  <si>
    <t>psi</t>
  </si>
  <si>
    <t>ft</t>
  </si>
  <si>
    <t>Longer  Direction length ,B =</t>
  </si>
  <si>
    <t>Shorter  Direction length ,A =</t>
  </si>
  <si>
    <t>B/A=</t>
  </si>
  <si>
    <t>Thickness=</t>
  </si>
  <si>
    <r>
      <t xml:space="preserve">in       </t>
    </r>
    <r>
      <rPr>
        <sz val="11"/>
        <color theme="1"/>
        <rFont val="Symbol"/>
        <family val="1"/>
        <charset val="2"/>
      </rPr>
      <t>»</t>
    </r>
  </si>
  <si>
    <t>in</t>
  </si>
  <si>
    <t>psf</t>
  </si>
  <si>
    <t xml:space="preserve">Load Form Wall  </t>
  </si>
  <si>
    <t>Length=</t>
  </si>
  <si>
    <t>Width=</t>
  </si>
  <si>
    <t>Hight=</t>
  </si>
  <si>
    <t>Total=</t>
  </si>
  <si>
    <t xml:space="preserve">ft </t>
  </si>
  <si>
    <t>Live Load ,L.L=</t>
  </si>
  <si>
    <t>Dead Load,DL=</t>
  </si>
  <si>
    <t>Total Load, W =</t>
  </si>
  <si>
    <t>Moment Coefficient Ratio, m =</t>
  </si>
  <si>
    <t>CA DL</t>
  </si>
  <si>
    <t>CA LL</t>
  </si>
  <si>
    <t>CA neg</t>
  </si>
  <si>
    <t>CB neg</t>
  </si>
  <si>
    <t xml:space="preserve">CB DL </t>
  </si>
  <si>
    <t>CB LL</t>
  </si>
  <si>
    <t>Final Value of moment coefficient</t>
  </si>
  <si>
    <t>Moment  Calculation</t>
  </si>
  <si>
    <r>
      <t>M</t>
    </r>
    <r>
      <rPr>
        <sz val="8"/>
        <color theme="1"/>
        <rFont val="Calibri"/>
        <family val="2"/>
        <scheme val="minor"/>
      </rPr>
      <t>Bneg</t>
    </r>
    <r>
      <rPr>
        <sz val="12"/>
        <color theme="1"/>
        <rFont val="Calibri"/>
        <family val="2"/>
        <scheme val="minor"/>
      </rPr>
      <t>=</t>
    </r>
  </si>
  <si>
    <t>lb-ft</t>
  </si>
  <si>
    <r>
      <t>M</t>
    </r>
    <r>
      <rPr>
        <sz val="8"/>
        <color theme="1"/>
        <rFont val="Calibri"/>
        <family val="2"/>
        <scheme val="minor"/>
      </rPr>
      <t>BPos</t>
    </r>
    <r>
      <rPr>
        <sz val="12"/>
        <color theme="1"/>
        <rFont val="Calibri"/>
        <family val="2"/>
        <scheme val="minor"/>
      </rPr>
      <t>=</t>
    </r>
  </si>
  <si>
    <r>
      <t>M</t>
    </r>
    <r>
      <rPr>
        <sz val="8"/>
        <color theme="1"/>
        <rFont val="Calibri"/>
        <family val="2"/>
        <scheme val="minor"/>
      </rPr>
      <t>Aneg</t>
    </r>
    <r>
      <rPr>
        <sz val="12"/>
        <color theme="1"/>
        <rFont val="Calibri"/>
        <family val="2"/>
        <scheme val="minor"/>
      </rPr>
      <t>=</t>
    </r>
  </si>
  <si>
    <r>
      <t>M</t>
    </r>
    <r>
      <rPr>
        <sz val="8"/>
        <color theme="1"/>
        <rFont val="Calibri"/>
        <family val="2"/>
        <scheme val="minor"/>
      </rPr>
      <t>APos</t>
    </r>
    <r>
      <rPr>
        <sz val="12"/>
        <color theme="1"/>
        <rFont val="Calibri"/>
        <family val="2"/>
        <scheme val="minor"/>
      </rPr>
      <t>=</t>
    </r>
  </si>
  <si>
    <t>For Longer Direction (B),</t>
  </si>
  <si>
    <t>For Shorter Direction(A),</t>
  </si>
  <si>
    <t>Momenrt for Discontinous End,</t>
  </si>
  <si>
    <t>Depth Check</t>
  </si>
  <si>
    <t>R=</t>
  </si>
  <si>
    <t>Max Moment,</t>
  </si>
  <si>
    <t>M max=</t>
  </si>
  <si>
    <r>
      <t xml:space="preserve">d </t>
    </r>
    <r>
      <rPr>
        <sz val="8"/>
        <color theme="1"/>
        <rFont val="Calibri"/>
        <family val="2"/>
        <scheme val="minor"/>
      </rPr>
      <t>(provided)</t>
    </r>
    <r>
      <rPr>
        <sz val="11"/>
        <color theme="1"/>
        <rFont val="Calibri"/>
        <family val="2"/>
        <scheme val="minor"/>
      </rPr>
      <t>=</t>
    </r>
  </si>
  <si>
    <t>Reinforcement Calculation:</t>
  </si>
  <si>
    <t>You Have Entered Shorter &amp; longer Length Incorrectly!</t>
  </si>
  <si>
    <t>Shorter--&gt;</t>
  </si>
  <si>
    <t>Longer--&gt;</t>
  </si>
  <si>
    <t>For Shorter Direction</t>
  </si>
  <si>
    <t>As neg=</t>
  </si>
  <si>
    <t>in^2</t>
  </si>
  <si>
    <t>As pos=</t>
  </si>
  <si>
    <t>For Longer Direction</t>
  </si>
  <si>
    <t>d(requred)=</t>
  </si>
  <si>
    <t>At Discontinious End</t>
  </si>
  <si>
    <t>As neg A=</t>
  </si>
  <si>
    <t>As neg B=</t>
  </si>
  <si>
    <t>Speacing Calculation for mid-span:</t>
  </si>
  <si>
    <t>For Shorter Direction:</t>
  </si>
  <si>
    <r>
      <rPr>
        <sz val="14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=</t>
    </r>
  </si>
  <si>
    <t>For longer Direction:</t>
  </si>
  <si>
    <t>Extra top calculation:</t>
  </si>
  <si>
    <t>For Short Direction:</t>
  </si>
  <si>
    <t>As Provided=</t>
  </si>
  <si>
    <t>Extra Top</t>
  </si>
  <si>
    <t>(continuous End)</t>
  </si>
  <si>
    <t>Nos</t>
  </si>
  <si>
    <t>For Longer Direction:</t>
  </si>
  <si>
    <t>(Dis-continuous End)</t>
  </si>
  <si>
    <t>Minmum Reinforcement=</t>
  </si>
  <si>
    <t>This Is Devoloped By, SM Hedaetullah    First Batch             Dept. Of Civil Engg.    TEC(RU)  +8801763603339</t>
  </si>
  <si>
    <r>
      <rPr>
        <b/>
        <sz val="26"/>
        <color rgb="FF00B050"/>
        <rFont val="Calibri"/>
        <family val="2"/>
        <scheme val="minor"/>
      </rPr>
      <t>Input the provided value In</t>
    </r>
    <r>
      <rPr>
        <b/>
        <sz val="26"/>
        <color theme="1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Blue Box</t>
    </r>
  </si>
  <si>
    <t>Ф</t>
  </si>
  <si>
    <t>ExtraDL (SDL+FFL)</t>
  </si>
  <si>
    <t>ρ</t>
  </si>
  <si>
    <t>β</t>
  </si>
  <si>
    <t>a</t>
  </si>
  <si>
    <t>b</t>
  </si>
  <si>
    <t>c</t>
  </si>
  <si>
    <t>X1</t>
  </si>
  <si>
    <t>x2</t>
  </si>
  <si>
    <t>Max Speacing: 2xt =</t>
  </si>
  <si>
    <r>
      <rPr>
        <sz val="14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=</t>
    </r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</si>
  <si>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</si>
  <si>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</si>
  <si>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</si>
  <si>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</si>
  <si>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</si>
  <si>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</si>
  <si>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</si>
  <si>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</si>
  <si>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</si>
  <si>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</t>
  </si>
  <si>
    <t>m for Ca=</t>
  </si>
  <si>
    <t>m for Cb=</t>
  </si>
  <si>
    <t>m</t>
  </si>
  <si>
    <t>Ca,neg</t>
  </si>
  <si>
    <t>Cb,neg</t>
  </si>
  <si>
    <t>Ca (m)</t>
  </si>
  <si>
    <t>Cb (m)</t>
  </si>
  <si>
    <t>Ca,dl</t>
  </si>
  <si>
    <t>Cb,dl</t>
  </si>
  <si>
    <t>#</t>
  </si>
  <si>
    <r>
      <t>L</t>
    </r>
    <r>
      <rPr>
        <b/>
        <sz val="9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>=</t>
    </r>
  </si>
  <si>
    <t>(clear span measured in long direction face to face of column or face to face of beam )</t>
  </si>
  <si>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a=</t>
    </r>
  </si>
  <si>
    <t>(clear span measured in short direction face to face of column or face to face of beam )</t>
  </si>
  <si>
    <r>
      <t>Width of Beam (b</t>
    </r>
    <r>
      <rPr>
        <sz val="9"/>
        <color theme="1"/>
        <rFont val="Calibri"/>
        <family val="2"/>
        <scheme val="minor"/>
      </rPr>
      <t>w)</t>
    </r>
  </si>
  <si>
    <r>
      <t>Depth of Beam(b</t>
    </r>
    <r>
      <rPr>
        <sz val="9"/>
        <color theme="1"/>
        <rFont val="Calibri"/>
        <family val="2"/>
        <scheme val="minor"/>
      </rPr>
      <t>h)</t>
    </r>
  </si>
  <si>
    <t>fy=</t>
  </si>
  <si>
    <t>Yield Stress</t>
  </si>
  <si>
    <t>bw=</t>
  </si>
  <si>
    <t>=</t>
  </si>
  <si>
    <t>Width of Beam</t>
  </si>
  <si>
    <t>Depth of Beam</t>
  </si>
  <si>
    <r>
      <t xml:space="preserve">For Edge Beam, </t>
    </r>
    <r>
      <rPr>
        <b/>
        <sz val="11"/>
        <rFont val="Calibri"/>
        <family val="2"/>
        <scheme val="minor"/>
      </rPr>
      <t>I</t>
    </r>
    <r>
      <rPr>
        <b/>
        <vertAlign val="subscript"/>
        <sz val="11"/>
        <rFont val="Calibri"/>
        <family val="2"/>
        <scheme val="minor"/>
      </rPr>
      <t>b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</si>
  <si>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</si>
  <si>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 xml:space="preserve">For Interior Beam, </t>
    </r>
    <r>
      <rPr>
        <b/>
        <sz val="11"/>
        <rFont val="Calibri"/>
        <family val="2"/>
        <scheme val="minor"/>
      </rPr>
      <t>I</t>
    </r>
    <r>
      <rPr>
        <b/>
        <vertAlign val="subscript"/>
        <sz val="11"/>
        <rFont val="Calibri"/>
        <family val="2"/>
        <scheme val="minor"/>
      </rPr>
      <t>b</t>
    </r>
  </si>
  <si>
    <t>Slab, L</t>
  </si>
  <si>
    <t>Slab, S</t>
  </si>
  <si>
    <t>X</t>
  </si>
  <si>
    <t>Slab, thickness(trial)</t>
  </si>
  <si>
    <t>Relative Stiffness, α</t>
  </si>
  <si>
    <r>
      <t>E</t>
    </r>
    <r>
      <rPr>
        <b/>
        <vertAlign val="subscript"/>
        <sz val="12"/>
        <color rgb="FF000000"/>
        <rFont val="Calibri"/>
        <family val="2"/>
        <scheme val="minor"/>
      </rPr>
      <t>cb</t>
    </r>
    <r>
      <rPr>
        <b/>
        <sz val="12"/>
        <color rgb="FF000000"/>
        <rFont val="Calibri"/>
        <family val="2"/>
        <scheme val="minor"/>
      </rPr>
      <t>I</t>
    </r>
    <r>
      <rPr>
        <b/>
        <vertAlign val="subscript"/>
        <sz val="12"/>
        <color rgb="FF000000"/>
        <rFont val="Calibri"/>
        <family val="2"/>
        <scheme val="minor"/>
      </rPr>
      <t>b</t>
    </r>
    <r>
      <rPr>
        <b/>
        <sz val="12"/>
        <color rgb="FF000000"/>
        <rFont val="Calibri"/>
        <family val="2"/>
        <scheme val="minor"/>
      </rPr>
      <t xml:space="preserve"> / E</t>
    </r>
    <r>
      <rPr>
        <b/>
        <vertAlign val="subscript"/>
        <sz val="12"/>
        <color rgb="FF000000"/>
        <rFont val="Calibri"/>
        <family val="2"/>
        <scheme val="minor"/>
      </rPr>
      <t>cs</t>
    </r>
    <r>
      <rPr>
        <b/>
        <sz val="12"/>
        <color rgb="FF000000"/>
        <rFont val="Calibri"/>
        <family val="2"/>
        <scheme val="minor"/>
      </rPr>
      <t>I</t>
    </r>
    <r>
      <rPr>
        <b/>
        <vertAlign val="subscript"/>
        <sz val="12"/>
        <color rgb="FF000000"/>
        <rFont val="Calibri"/>
        <family val="2"/>
        <scheme val="minor"/>
      </rPr>
      <t xml:space="preserve">s </t>
    </r>
  </si>
  <si>
    <t xml:space="preserve"> For Slab(L)     α1</t>
  </si>
  <si>
    <t>For Slab(S)      α2</t>
  </si>
  <si>
    <t>For Slab(X)      α3</t>
  </si>
  <si>
    <t>So,Average  α</t>
  </si>
  <si>
    <r>
      <t>If, α&lt;2 then h</t>
    </r>
    <r>
      <rPr>
        <vertAlign val="subscript"/>
        <sz val="11"/>
        <color theme="1"/>
        <rFont val="Calibri"/>
        <family val="2"/>
        <scheme val="minor"/>
      </rPr>
      <t>min</t>
    </r>
  </si>
  <si>
    <r>
      <t>If,α&gt;2 then h</t>
    </r>
    <r>
      <rPr>
        <vertAlign val="subscript"/>
        <sz val="11"/>
        <color theme="1"/>
        <rFont val="Calibri"/>
        <family val="2"/>
        <scheme val="minor"/>
      </rPr>
      <t>min</t>
    </r>
  </si>
  <si>
    <r>
      <rPr>
        <sz val="12"/>
        <color theme="0"/>
        <rFont val="Calibri"/>
        <family val="2"/>
        <scheme val="minor"/>
      </rPr>
      <t>b</t>
    </r>
    <r>
      <rPr>
        <sz val="8"/>
        <color theme="0"/>
        <rFont val="Calibri"/>
        <family val="2"/>
        <scheme val="minor"/>
      </rPr>
      <t>h</t>
    </r>
    <r>
      <rPr>
        <sz val="11"/>
        <color theme="0"/>
        <rFont val="Calibri"/>
        <family val="2"/>
        <scheme val="minor"/>
      </rPr>
      <t>=</t>
    </r>
  </si>
  <si>
    <r>
      <t>1.5*(bh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/12)</t>
    </r>
  </si>
  <si>
    <r>
      <t xml:space="preserve">(As </t>
    </r>
    <r>
      <rPr>
        <b/>
        <sz val="11"/>
        <color rgb="FF0070C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beam)</t>
    </r>
  </si>
  <si>
    <r>
      <t>2*(bh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/12)</t>
    </r>
  </si>
  <si>
    <r>
      <t xml:space="preserve">(As </t>
    </r>
    <r>
      <rPr>
        <b/>
        <sz val="11"/>
        <color rgb="FF0070C0"/>
        <rFont val="Calibri"/>
        <family val="2"/>
        <scheme val="minor"/>
      </rPr>
      <t>T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beam)</t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</si>
  <si>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s1</t>
    </r>
  </si>
  <si>
    <r>
      <t>in</t>
    </r>
    <r>
      <rPr>
        <vertAlign val="superscript"/>
        <sz val="11"/>
        <color theme="0"/>
        <rFont val="Calibri"/>
        <family val="2"/>
        <scheme val="minor"/>
      </rPr>
      <t>4</t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</si>
  <si>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s2</t>
    </r>
    <r>
      <rPr>
        <sz val="11"/>
        <color theme="1"/>
        <rFont val="Calibri"/>
        <family val="2"/>
        <scheme val="minor"/>
      </rPr>
      <t/>
    </r>
  </si>
  <si>
    <r>
      <rPr>
        <sz val="12"/>
        <color theme="0"/>
        <rFont val="Calibri"/>
        <family val="2"/>
        <scheme val="minor"/>
      </rPr>
      <t xml:space="preserve">For Edge (X)    </t>
    </r>
    <r>
      <rPr>
        <b/>
        <sz val="12"/>
        <color theme="0"/>
        <rFont val="Calibri"/>
        <family val="2"/>
        <scheme val="minor"/>
      </rPr>
      <t>I</t>
    </r>
    <r>
      <rPr>
        <b/>
        <vertAlign val="subscript"/>
        <sz val="12"/>
        <color theme="0"/>
        <rFont val="Calibri"/>
        <family val="2"/>
        <scheme val="minor"/>
      </rPr>
      <t>s3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</si>
  <si>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b</t>
    </r>
    <r>
      <rPr>
        <b/>
        <sz val="12"/>
        <color theme="0"/>
        <rFont val="Calibri"/>
        <family val="2"/>
        <scheme val="minor"/>
      </rPr>
      <t xml:space="preserve"> / I</t>
    </r>
    <r>
      <rPr>
        <b/>
        <vertAlign val="subscript"/>
        <sz val="12"/>
        <color theme="0"/>
        <rFont val="Calibri"/>
        <family val="2"/>
        <scheme val="minor"/>
      </rPr>
      <t xml:space="preserve">s </t>
    </r>
  </si>
  <si>
    <r>
      <t>So,  h</t>
    </r>
    <r>
      <rPr>
        <vertAlign val="subscript"/>
        <sz val="11"/>
        <color theme="0"/>
        <rFont val="Calibri"/>
        <family val="2"/>
        <scheme val="minor"/>
      </rPr>
      <t>min</t>
    </r>
  </si>
  <si>
    <t>f'c=</t>
  </si>
  <si>
    <t>fs=</t>
  </si>
  <si>
    <t>fc=</t>
  </si>
  <si>
    <r>
      <t>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</si>
  <si>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r>
      <t>Higth of Beam (b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)=</t>
    </r>
  </si>
  <si>
    <t xml:space="preserve"> Half of the Continuous Panel X=</t>
  </si>
  <si>
    <t>Slab Thickness (Trail)=</t>
  </si>
  <si>
    <t>Final Thickness</t>
  </si>
  <si>
    <t>Dia of provided Bar=</t>
  </si>
  <si>
    <t>Ca,ll</t>
  </si>
  <si>
    <t>Cb,ll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</si>
  <si>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</si>
  <si>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</si>
  <si>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</si>
  <si>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</si>
  <si>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</si>
  <si>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</si>
  <si>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</si>
  <si>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</si>
  <si>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</si>
  <si>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</si>
  <si>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</si>
  <si>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</si>
  <si>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</si>
  <si>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</si>
  <si>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</si>
  <si>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</si>
  <si>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</si>
  <si>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</si>
  <si>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Dis A</t>
  </si>
  <si>
    <t>Dis B</t>
  </si>
  <si>
    <t>req A</t>
  </si>
  <si>
    <t>req B</t>
  </si>
  <si>
    <t>nos</t>
  </si>
  <si>
    <t>All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</si>
</sst>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00000"/>
    <numFmt numFmtId="165" formatCode="0.0000"/>
    <numFmt numFmtId="166" formatCode="0.000"/>
    <numFmt numFmtId="167" formatCode="_(* #,##0.000_);_(* \(#,##0.0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9"/>
      <color rgb="FF231F2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19" fillId="0" borderId="0" xfId="0" applyFont="1"/>
    <xf numFmtId="0" fontId="0" fillId="7" borderId="0" xfId="0" applyFill="1"/>
    <xf numFmtId="0" fontId="18" fillId="7" borderId="1" xfId="0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19" fillId="6" borderId="1" xfId="0" applyFont="1" applyFill="1" applyBorder="1"/>
    <xf numFmtId="0" fontId="1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8" fillId="0" borderId="0" xfId="0" applyFont="1"/>
    <xf numFmtId="2" fontId="1" fillId="0" borderId="0" xfId="0" applyNumberFormat="1" applyFont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9" borderId="1" xfId="0" applyFont="1" applyFill="1" applyBorder="1"/>
    <xf numFmtId="2" fontId="18" fillId="0" borderId="0" xfId="0" applyNumberFormat="1" applyFont="1" applyAlignment="1">
      <alignment horizontal="center"/>
    </xf>
    <xf numFmtId="0" fontId="0" fillId="0" borderId="0" xfId="0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26" xfId="0" applyFont="1" applyBorder="1" applyAlignment="1" applyProtection="1">
      <alignment horizontal="center" vertical="center" wrapText="1"/>
      <protection hidden="1"/>
    </xf>
    <xf numFmtId="0" fontId="16" fillId="0" borderId="27" xfId="0" applyFont="1" applyBorder="1" applyAlignment="1" applyProtection="1">
      <alignment horizontal="center" vertical="center" wrapText="1"/>
      <protection hidden="1"/>
    </xf>
    <xf numFmtId="0" fontId="16" fillId="0" borderId="27" xfId="0" applyFont="1" applyBorder="1" applyAlignment="1" applyProtection="1">
      <alignment horizontal="left" vertical="center" wrapText="1" indent="1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8" fillId="0" borderId="1" xfId="0" applyFont="1" applyBorder="1" applyAlignment="1" applyProtection="1">
      <alignment horizontal="right"/>
      <protection hidden="1"/>
    </xf>
    <xf numFmtId="0" fontId="10" fillId="0" borderId="0" xfId="0" applyFont="1" applyAlignment="1" applyProtection="1">
      <alignment vertical="top" wrapText="1"/>
      <protection hidden="1"/>
    </xf>
    <xf numFmtId="0" fontId="4" fillId="0" borderId="0" xfId="0" applyFont="1" applyProtection="1"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0" xfId="0" applyProtection="1">
      <protection locked="0"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Protection="1">
      <protection hidden="1"/>
    </xf>
    <xf numFmtId="0" fontId="0" fillId="0" borderId="22" xfId="0" applyBorder="1" applyProtection="1">
      <protection hidden="1"/>
    </xf>
    <xf numFmtId="0" fontId="15" fillId="0" borderId="0" xfId="0" applyFont="1" applyProtection="1">
      <protection hidden="1"/>
    </xf>
    <xf numFmtId="2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2" fontId="18" fillId="0" borderId="0" xfId="0" applyNumberFormat="1" applyFont="1" applyProtection="1">
      <protection hidden="1"/>
    </xf>
    <xf numFmtId="0" fontId="18" fillId="0" borderId="0" xfId="0" applyFont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9" fillId="0" borderId="0" xfId="0" applyFont="1" applyProtection="1">
      <protection hidden="1"/>
    </xf>
    <xf numFmtId="0" fontId="4" fillId="0" borderId="1" xfId="0" applyFont="1" applyBorder="1" applyProtection="1">
      <protection hidden="1"/>
    </xf>
    <xf numFmtId="165" fontId="0" fillId="0" borderId="0" xfId="0" applyNumberFormat="1" applyAlignment="1" applyProtection="1">
      <alignment horizontal="right" vertical="center"/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67" fontId="0" fillId="3" borderId="3" xfId="1" applyNumberFormat="1" applyFont="1" applyFill="1" applyBorder="1" applyAlignment="1" applyProtection="1">
      <alignment horizontal="left"/>
      <protection hidden="1"/>
    </xf>
    <xf numFmtId="164" fontId="0" fillId="0" borderId="3" xfId="0" applyNumberFormat="1" applyBorder="1" applyProtection="1">
      <protection hidden="1"/>
    </xf>
    <xf numFmtId="0" fontId="0" fillId="0" borderId="3" xfId="0" applyBorder="1" applyAlignment="1" applyProtection="1">
      <alignment wrapText="1"/>
      <protection hidden="1"/>
    </xf>
    <xf numFmtId="0" fontId="0" fillId="0" borderId="4" xfId="0" applyBorder="1" applyProtection="1">
      <protection hidden="1"/>
    </xf>
    <xf numFmtId="165" fontId="18" fillId="0" borderId="0" xfId="0" applyNumberFormat="1" applyFont="1" applyAlignment="1" applyProtection="1">
      <alignment horizontal="right"/>
      <protection hidden="1"/>
    </xf>
    <xf numFmtId="0" fontId="0" fillId="0" borderId="5" xfId="0" applyBorder="1" applyProtection="1">
      <protection hidden="1"/>
    </xf>
    <xf numFmtId="165" fontId="4" fillId="0" borderId="0" xfId="0" applyNumberFormat="1" applyFont="1" applyProtection="1">
      <protection hidden="1"/>
    </xf>
    <xf numFmtId="0" fontId="0" fillId="0" borderId="6" xfId="0" applyBorder="1" applyProtection="1">
      <protection hidden="1"/>
    </xf>
    <xf numFmtId="165" fontId="0" fillId="0" borderId="6" xfId="0" applyNumberFormat="1" applyBorder="1" applyProtection="1">
      <protection hidden="1"/>
    </xf>
    <xf numFmtId="0" fontId="0" fillId="0" borderId="7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0" fillId="0" borderId="14" xfId="0" applyNumberFormat="1" applyBorder="1" applyProtection="1">
      <protection hidden="1"/>
    </xf>
    <xf numFmtId="0" fontId="0" fillId="0" borderId="15" xfId="0" applyBorder="1" applyProtection="1">
      <protection hidden="1"/>
    </xf>
    <xf numFmtId="0" fontId="0" fillId="0" borderId="11" xfId="0" applyBorder="1" applyProtection="1">
      <protection hidden="1"/>
    </xf>
    <xf numFmtId="2" fontId="4" fillId="4" borderId="0" xfId="0" applyNumberFormat="1" applyFont="1" applyFill="1" applyProtection="1">
      <protection hidden="1"/>
    </xf>
    <xf numFmtId="0" fontId="0" fillId="0" borderId="20" xfId="0" applyBorder="1" applyProtection="1">
      <protection hidden="1"/>
    </xf>
    <xf numFmtId="0" fontId="7" fillId="0" borderId="21" xfId="0" applyFont="1" applyBorder="1" applyProtection="1">
      <protection hidden="1"/>
    </xf>
    <xf numFmtId="2" fontId="0" fillId="0" borderId="22" xfId="0" applyNumberFormat="1" applyBorder="1" applyProtection="1">
      <protection hidden="1"/>
    </xf>
    <xf numFmtId="0" fontId="0" fillId="0" borderId="23" xfId="0" applyBorder="1" applyProtection="1">
      <protection hidden="1"/>
    </xf>
    <xf numFmtId="0" fontId="4" fillId="4" borderId="11" xfId="0" applyFont="1" applyFill="1" applyBorder="1" applyProtection="1">
      <protection hidden="1"/>
    </xf>
    <xf numFmtId="0" fontId="0" fillId="0" borderId="19" xfId="0" applyBorder="1" applyProtection="1">
      <protection hidden="1"/>
    </xf>
    <xf numFmtId="0" fontId="0" fillId="4" borderId="0" xfId="0" applyFill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0" fillId="5" borderId="0" xfId="0" applyFill="1" applyProtection="1">
      <protection hidden="1"/>
    </xf>
    <xf numFmtId="0" fontId="0" fillId="0" borderId="18" xfId="0" applyBorder="1" applyProtection="1">
      <protection hidden="1"/>
    </xf>
    <xf numFmtId="166" fontId="0" fillId="0" borderId="0" xfId="0" applyNumberFormat="1" applyProtection="1">
      <protection hidden="1"/>
    </xf>
    <xf numFmtId="0" fontId="0" fillId="0" borderId="21" xfId="0" applyBorder="1" applyProtection="1">
      <protection hidden="1"/>
    </xf>
    <xf numFmtId="165" fontId="0" fillId="0" borderId="22" xfId="0" applyNumberFormat="1" applyBorder="1" applyProtection="1">
      <protection hidden="1"/>
    </xf>
    <xf numFmtId="166" fontId="0" fillId="0" borderId="22" xfId="0" applyNumberFormat="1" applyBorder="1" applyProtection="1">
      <protection hidden="1"/>
    </xf>
    <xf numFmtId="0" fontId="0" fillId="0" borderId="22" xfId="0" applyBorder="1" applyAlignment="1" applyProtection="1">
      <alignment vertical="center"/>
      <protection hidden="1"/>
    </xf>
    <xf numFmtId="2" fontId="0" fillId="3" borderId="0" xfId="0" applyNumberFormat="1" applyFill="1" applyProtection="1">
      <protection hidden="1"/>
    </xf>
    <xf numFmtId="2" fontId="0" fillId="3" borderId="22" xfId="0" applyNumberFormat="1" applyFill="1" applyBorder="1" applyProtection="1">
      <protection hidden="1"/>
    </xf>
    <xf numFmtId="0" fontId="10" fillId="3" borderId="18" xfId="0" applyFont="1" applyFill="1" applyBorder="1" applyAlignment="1" applyProtection="1">
      <alignment vertical="top" wrapText="1"/>
      <protection hidden="1"/>
    </xf>
    <xf numFmtId="0" fontId="18" fillId="7" borderId="1" xfId="0" applyFont="1" applyFill="1" applyBorder="1" applyAlignment="1" applyProtection="1">
      <alignment horizontal="right"/>
      <protection locked="0"/>
    </xf>
    <xf numFmtId="0" fontId="18" fillId="7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40" fillId="0" borderId="0" xfId="0" applyFont="1" applyProtection="1">
      <protection hidden="1"/>
    </xf>
    <xf numFmtId="165" fontId="0" fillId="3" borderId="0" xfId="0" applyNumberFormat="1" applyFill="1" applyProtection="1">
      <protection locked="0" hidden="1"/>
    </xf>
    <xf numFmtId="165" fontId="0" fillId="3" borderId="22" xfId="0" applyNumberFormat="1" applyFill="1" applyBorder="1" applyProtection="1">
      <protection locked="0" hidden="1"/>
    </xf>
    <xf numFmtId="0" fontId="0" fillId="0" borderId="0" xfId="0" applyAlignment="1" applyProtection="1">
      <alignment horizontal="right"/>
      <protection hidden="1"/>
    </xf>
    <xf numFmtId="0" fontId="37" fillId="0" borderId="0" xfId="2" applyAlignment="1" applyProtection="1">
      <alignment horizontal="left"/>
      <protection hidden="1"/>
    </xf>
    <xf numFmtId="0" fontId="38" fillId="0" borderId="0" xfId="0" applyFont="1" applyAlignment="1" applyProtection="1">
      <alignment horizontal="center" vertical="center" wrapText="1"/>
      <protection hidden="1"/>
    </xf>
    <xf numFmtId="0" fontId="39" fillId="0" borderId="0" xfId="0" applyFont="1" applyAlignment="1" applyProtection="1">
      <alignment horizontal="center" vertical="center" wrapText="1"/>
      <protection hidden="1"/>
    </xf>
    <xf numFmtId="0" fontId="0" fillId="5" borderId="18" xfId="0" applyFill="1" applyBorder="1" applyAlignment="1" applyProtection="1">
      <alignment horizontal="center"/>
      <protection hidden="1"/>
    </xf>
    <xf numFmtId="0" fontId="0" fillId="5" borderId="19" xfId="0" applyFill="1" applyBorder="1" applyAlignment="1" applyProtection="1">
      <alignment horizontal="center"/>
      <protection hidden="1"/>
    </xf>
    <xf numFmtId="0" fontId="0" fillId="3" borderId="19" xfId="0" applyFill="1" applyBorder="1" applyAlignment="1" applyProtection="1">
      <alignment horizontal="center"/>
      <protection hidden="1"/>
    </xf>
    <xf numFmtId="0" fontId="0" fillId="3" borderId="20" xfId="0" applyFill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3" borderId="8" xfId="0" applyFill="1" applyBorder="1" applyAlignment="1" applyProtection="1">
      <alignment horizontal="center"/>
      <protection hidden="1"/>
    </xf>
    <xf numFmtId="0" fontId="0" fillId="3" borderId="9" xfId="0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12" xfId="0" applyBorder="1" applyAlignment="1" applyProtection="1">
      <alignment horizontal="left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1" fillId="0" borderId="24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25" xfId="0" applyFont="1" applyBorder="1" applyAlignment="1" applyProtection="1">
      <alignment horizontal="center" vertical="center" wrapText="1"/>
      <protection hidden="1"/>
    </xf>
    <xf numFmtId="0" fontId="11" fillId="0" borderId="21" xfId="0" applyFont="1" applyBorder="1" applyAlignment="1" applyProtection="1">
      <alignment horizontal="center" vertical="center" wrapText="1"/>
      <protection hidden="1"/>
    </xf>
    <xf numFmtId="0" fontId="11" fillId="0" borderId="22" xfId="0" applyFont="1" applyBorder="1" applyAlignment="1" applyProtection="1">
      <alignment horizontal="center" vertical="center" wrapText="1"/>
      <protection hidden="1"/>
    </xf>
    <xf numFmtId="0" fontId="11" fillId="0" borderId="23" xfId="0" applyFont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left"/>
      <protection hidden="1"/>
    </xf>
    <xf numFmtId="0" fontId="18" fillId="0" borderId="0" xfId="0" applyFont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2" fontId="0" fillId="8" borderId="1" xfId="0" applyNumberFormat="1" applyFill="1" applyBorder="1" applyAlignment="1" applyProtection="1">
      <alignment horizontal="center" vertical="center"/>
      <protection locked="0" hidden="1"/>
    </xf>
    <xf numFmtId="0" fontId="17" fillId="0" borderId="28" xfId="0" applyFont="1" applyBorder="1" applyAlignment="1" applyProtection="1">
      <alignment vertical="center" wrapText="1"/>
      <protection hidden="1"/>
    </xf>
    <xf numFmtId="0" fontId="17" fillId="0" borderId="29" xfId="0" applyFont="1" applyBorder="1" applyAlignment="1" applyProtection="1">
      <alignment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12" xfId="0" applyBorder="1" applyAlignment="1" applyProtection="1">
      <alignment horizontal="right" vertical="center"/>
      <protection hidden="1"/>
    </xf>
    <xf numFmtId="2" fontId="0" fillId="3" borderId="0" xfId="0" applyNumberFormat="1" applyFill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right"/>
      <protection hidden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microsoft.com/office/2007/relationships/hdphoto" Target="../media/hdphoto1.wdp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DD78A-F0CB-4CA0-8E5A-7C855027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08AEDBEB-6A34-4966-A686-FE2CA39E1234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28</xdr:row>
      <xdr:rowOff>176212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105650" y="2500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63498</xdr:colOff>
      <xdr:row>3</xdr:row>
      <xdr:rowOff>137580</xdr:rowOff>
    </xdr:from>
    <xdr:to>
      <xdr:col>9</xdr:col>
      <xdr:colOff>501648</xdr:colOff>
      <xdr:row>4</xdr:row>
      <xdr:rowOff>52913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3998" y="775755"/>
          <a:ext cx="438150" cy="29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148162</xdr:colOff>
      <xdr:row>3</xdr:row>
      <xdr:rowOff>127006</xdr:rowOff>
    </xdr:from>
    <xdr:to>
      <xdr:col>10</xdr:col>
      <xdr:colOff>586312</xdr:colOff>
      <xdr:row>4</xdr:row>
      <xdr:rowOff>32814</xdr:rowOff>
    </xdr:to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2" y="765181"/>
          <a:ext cx="438150" cy="286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74844</xdr:colOff>
      <xdr:row>3</xdr:row>
      <xdr:rowOff>149672</xdr:rowOff>
    </xdr:from>
    <xdr:to>
      <xdr:col>11</xdr:col>
      <xdr:colOff>503469</xdr:colOff>
      <xdr:row>4</xdr:row>
      <xdr:rowOff>51701</xdr:rowOff>
    </xdr:to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7419" y="787847"/>
          <a:ext cx="428625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88446</xdr:colOff>
      <xdr:row>3</xdr:row>
      <xdr:rowOff>149669</xdr:rowOff>
    </xdr:from>
    <xdr:to>
      <xdr:col>12</xdr:col>
      <xdr:colOff>526596</xdr:colOff>
      <xdr:row>4</xdr:row>
      <xdr:rowOff>61223</xdr:rowOff>
    </xdr:to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0621" y="787844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74840</xdr:colOff>
      <xdr:row>3</xdr:row>
      <xdr:rowOff>156477</xdr:rowOff>
    </xdr:from>
    <xdr:to>
      <xdr:col>13</xdr:col>
      <xdr:colOff>512990</xdr:colOff>
      <xdr:row>4</xdr:row>
      <xdr:rowOff>68031</xdr:rowOff>
    </xdr:to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6615" y="794652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88448</xdr:colOff>
      <xdr:row>3</xdr:row>
      <xdr:rowOff>183691</xdr:rowOff>
    </xdr:from>
    <xdr:to>
      <xdr:col>14</xdr:col>
      <xdr:colOff>517073</xdr:colOff>
      <xdr:row>4</xdr:row>
      <xdr:rowOff>85720</xdr:rowOff>
    </xdr:to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8423" y="821866"/>
          <a:ext cx="428625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68040</xdr:colOff>
      <xdr:row>3</xdr:row>
      <xdr:rowOff>176887</xdr:rowOff>
    </xdr:from>
    <xdr:to>
      <xdr:col>15</xdr:col>
      <xdr:colOff>506190</xdr:colOff>
      <xdr:row>4</xdr:row>
      <xdr:rowOff>78916</xdr:rowOff>
    </xdr:to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7615" y="815062"/>
          <a:ext cx="438150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61235</xdr:colOff>
      <xdr:row>3</xdr:row>
      <xdr:rowOff>163280</xdr:rowOff>
    </xdr:from>
    <xdr:to>
      <xdr:col>16</xdr:col>
      <xdr:colOff>499385</xdr:colOff>
      <xdr:row>4</xdr:row>
      <xdr:rowOff>74834</xdr:rowOff>
    </xdr:to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410" y="801455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68037</xdr:colOff>
      <xdr:row>3</xdr:row>
      <xdr:rowOff>163280</xdr:rowOff>
    </xdr:from>
    <xdr:to>
      <xdr:col>17</xdr:col>
      <xdr:colOff>506187</xdr:colOff>
      <xdr:row>4</xdr:row>
      <xdr:rowOff>74834</xdr:rowOff>
    </xdr:to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162" y="801455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243417</xdr:colOff>
      <xdr:row>5</xdr:row>
      <xdr:rowOff>0</xdr:rowOff>
    </xdr:from>
    <xdr:to>
      <xdr:col>18</xdr:col>
      <xdr:colOff>335024</xdr:colOff>
      <xdr:row>22</xdr:row>
      <xdr:rowOff>106896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96" t="12070" b="11895"/>
        <a:stretch/>
      </xdr:blipFill>
      <xdr:spPr>
        <a:xfrm rot="16200000">
          <a:off x="9136356" y="1711561"/>
          <a:ext cx="3535896" cy="39862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180975</xdr:colOff>
      <xdr:row>1</xdr:row>
      <xdr:rowOff>28575</xdr:rowOff>
    </xdr:from>
    <xdr:to>
      <xdr:col>21</xdr:col>
      <xdr:colOff>393065</xdr:colOff>
      <xdr:row>12</xdr:row>
      <xdr:rowOff>55880</xdr:rowOff>
    </xdr:to>
    <xdr:pic>
      <xdr:nvPicPr>
        <xdr:cNvPr id="2" name="Picture 1" descr="Moment of Inertial Calculation of Two Way Sla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219075"/>
          <a:ext cx="5088890" cy="2122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1238251</xdr:colOff>
      <xdr:row>31</xdr:row>
      <xdr:rowOff>19050</xdr:rowOff>
    </xdr:from>
    <xdr:to>
      <xdr:col>4</xdr:col>
      <xdr:colOff>85726</xdr:colOff>
      <xdr:row>31</xdr:row>
      <xdr:rowOff>600075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6" y="6324600"/>
          <a:ext cx="1219200" cy="581025"/>
        </a:xfrm>
        <a:prstGeom prst="rect">
          <a:avLst/>
        </a:prstGeom>
      </xdr:spPr>
    </xdr:pic>
    <xdr:clientData/>
  </xdr:twoCellAnchor>
  <xdr:twoCellAnchor editAs="oneCell">
    <xdr:from>
      <xdr:col>2</xdr:col>
      <xdr:colOff>1076326</xdr:colOff>
      <xdr:row>32</xdr:row>
      <xdr:rowOff>27661</xdr:rowOff>
    </xdr:from>
    <xdr:to>
      <xdr:col>4</xdr:col>
      <xdr:colOff>95250</xdr:colOff>
      <xdr:row>32</xdr:row>
      <xdr:rowOff>647470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5551" y="7009486"/>
          <a:ext cx="1390649" cy="619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F38" sqref="F38"/>
    </sheetView>
  </sheetViews>
  <sheetFormatPr defaultRowHeight="15" x14ac:dyDescent="0.25"/>
  <cols>
    <col min="1" max="1" width="9.140625" style="37" customWidth="1"/>
    <col min="2" max="16384" width="9.140625" style="37"/>
  </cols>
  <sheetData>
    <row r="14" spans="2:10" ht="15" customHeight="1" x14ac:dyDescent="0.25">
      <c r="B14" s="113" t="s">
        <v>151</v>
      </c>
      <c r="C14" s="113"/>
      <c r="D14" s="113"/>
      <c r="E14" s="113"/>
      <c r="F14" s="113"/>
      <c r="G14" s="113"/>
      <c r="H14" s="113"/>
      <c r="I14" s="113"/>
      <c r="J14" s="113"/>
    </row>
    <row r="15" spans="2:10" ht="15" customHeight="1" x14ac:dyDescent="0.25">
      <c r="B15" s="113"/>
      <c r="C15" s="113"/>
      <c r="D15" s="113"/>
      <c r="E15" s="113"/>
      <c r="F15" s="113"/>
      <c r="G15" s="113"/>
      <c r="H15" s="113"/>
      <c r="I15" s="113"/>
      <c r="J15" s="113"/>
    </row>
    <row r="16" spans="2:10" x14ac:dyDescent="0.25">
      <c r="B16" s="113"/>
      <c r="C16" s="113"/>
      <c r="D16" s="113"/>
      <c r="E16" s="113"/>
      <c r="F16" s="113"/>
      <c r="G16" s="113"/>
      <c r="H16" s="113"/>
      <c r="I16" s="113"/>
      <c r="J16" s="113"/>
    </row>
    <row r="17" spans="2:10" x14ac:dyDescent="0.25">
      <c r="C17" s="111" t="s">
        <v>152</v>
      </c>
      <c r="D17" s="111"/>
      <c r="E17" s="112" t="s">
        <v>153</v>
      </c>
      <c r="F17" s="112"/>
      <c r="G17" s="112"/>
      <c r="H17" s="112"/>
      <c r="I17" s="112"/>
      <c r="J17" s="112"/>
    </row>
    <row r="18" spans="2:10" x14ac:dyDescent="0.25">
      <c r="C18" s="111" t="s">
        <v>154</v>
      </c>
      <c r="D18" s="111"/>
      <c r="E18" s="112" t="s">
        <v>155</v>
      </c>
      <c r="F18" s="112"/>
      <c r="G18" s="112"/>
      <c r="H18" s="112"/>
      <c r="I18" s="112"/>
      <c r="J18" s="112"/>
    </row>
    <row r="19" spans="2:10" x14ac:dyDescent="0.25">
      <c r="C19" s="111" t="s">
        <v>156</v>
      </c>
      <c r="D19" s="111"/>
      <c r="E19" s="112" t="s">
        <v>157</v>
      </c>
      <c r="F19" s="112"/>
      <c r="G19" s="112"/>
      <c r="H19" s="112"/>
      <c r="I19" s="112"/>
      <c r="J19" s="112"/>
    </row>
    <row r="20" spans="2:10" x14ac:dyDescent="0.25">
      <c r="C20" s="111" t="s">
        <v>158</v>
      </c>
      <c r="D20" s="111"/>
      <c r="E20" s="112" t="s">
        <v>159</v>
      </c>
      <c r="F20" s="112"/>
      <c r="G20" s="112"/>
      <c r="H20" s="112"/>
      <c r="I20" s="112"/>
      <c r="J20" s="112"/>
    </row>
    <row r="21" spans="2:10" x14ac:dyDescent="0.25">
      <c r="C21" s="111" t="s">
        <v>160</v>
      </c>
      <c r="D21" s="111"/>
      <c r="E21" s="112" t="s">
        <v>161</v>
      </c>
      <c r="F21" s="112"/>
      <c r="G21" s="112"/>
      <c r="H21" s="112"/>
      <c r="I21" s="112"/>
      <c r="J21" s="112"/>
    </row>
    <row r="22" spans="2:10" x14ac:dyDescent="0.25">
      <c r="C22" s="111" t="s">
        <v>162</v>
      </c>
      <c r="D22" s="111"/>
      <c r="E22" s="112" t="s">
        <v>163</v>
      </c>
      <c r="F22" s="112"/>
      <c r="G22" s="112"/>
      <c r="H22" s="112"/>
      <c r="I22" s="112"/>
      <c r="J22" s="112"/>
    </row>
    <row r="24" spans="2:10" ht="15" customHeight="1" x14ac:dyDescent="0.25">
      <c r="B24" s="114" t="s">
        <v>164</v>
      </c>
      <c r="C24" s="114"/>
      <c r="D24" s="114"/>
      <c r="E24" s="114"/>
      <c r="F24" s="114"/>
      <c r="G24" s="114"/>
      <c r="H24" s="114"/>
      <c r="I24" s="114"/>
      <c r="J24" s="114"/>
    </row>
    <row r="25" spans="2:10" ht="15" customHeight="1" x14ac:dyDescent="0.25">
      <c r="B25" s="114"/>
      <c r="C25" s="114"/>
      <c r="D25" s="114"/>
      <c r="E25" s="114"/>
      <c r="F25" s="114"/>
      <c r="G25" s="114"/>
      <c r="H25" s="114"/>
      <c r="I25" s="114"/>
      <c r="J25" s="114"/>
    </row>
    <row r="26" spans="2:10" ht="15" customHeight="1" x14ac:dyDescent="0.25">
      <c r="B26" s="114"/>
      <c r="C26" s="114"/>
      <c r="D26" s="114"/>
      <c r="E26" s="114"/>
      <c r="F26" s="114"/>
      <c r="G26" s="114"/>
      <c r="H26" s="114"/>
      <c r="I26" s="114"/>
      <c r="J26" s="114"/>
    </row>
    <row r="27" spans="2:10" x14ac:dyDescent="0.25">
      <c r="B27" s="114"/>
      <c r="C27" s="114"/>
      <c r="D27" s="114"/>
      <c r="E27" s="114"/>
      <c r="F27" s="114"/>
      <c r="G27" s="114"/>
      <c r="H27" s="114"/>
      <c r="I27" s="114"/>
      <c r="J27" s="114"/>
    </row>
    <row r="34" spans="1:13" ht="15.75" x14ac:dyDescent="0.25">
      <c r="A34" s="108" t="s">
        <v>165</v>
      </c>
      <c r="B34" s="112" t="s">
        <v>166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 ht="15.75" x14ac:dyDescent="0.25">
      <c r="A35" s="108"/>
    </row>
    <row r="36" spans="1:13" ht="15.75" x14ac:dyDescent="0.25">
      <c r="A36" s="108" t="s">
        <v>167</v>
      </c>
      <c r="B36" s="112" t="s">
        <v>168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104"/>
  <sheetViews>
    <sheetView tabSelected="1" topLeftCell="A55" zoomScale="115" zoomScaleNormal="115" workbookViewId="0">
      <selection activeCell="P10" sqref="P10"/>
    </sheetView>
  </sheetViews>
  <sheetFormatPr defaultRowHeight="15" x14ac:dyDescent="0.25"/>
  <cols>
    <col min="1" max="1" width="8.28515625" style="37" customWidth="1"/>
    <col min="2" max="2" width="11.7109375" style="37" customWidth="1"/>
    <col min="3" max="3" width="13.28515625" style="37" bestFit="1" customWidth="1"/>
    <col min="4" max="4" width="13.42578125" style="37" customWidth="1"/>
    <col min="5" max="5" width="8.7109375" style="37" customWidth="1"/>
    <col min="6" max="6" width="12.5703125" style="37" bestFit="1" customWidth="1"/>
    <col min="7" max="7" width="11.28515625" style="37" customWidth="1"/>
    <col min="8" max="8" width="10.42578125" style="37" bestFit="1" customWidth="1"/>
    <col min="9" max="10" width="9.140625" style="37"/>
    <col min="11" max="11" width="12.5703125" style="37" bestFit="1" customWidth="1"/>
    <col min="12" max="13" width="9.140625" style="37"/>
    <col min="14" max="14" width="11.140625" style="37" customWidth="1"/>
    <col min="15" max="17" width="9.140625" style="37"/>
    <col min="18" max="18" width="10.42578125" style="37" customWidth="1"/>
    <col min="19" max="16384" width="9.140625" style="37"/>
  </cols>
  <sheetData>
    <row r="1" spans="2:20" ht="33.75" x14ac:dyDescent="0.5">
      <c r="B1" s="137" t="s">
        <v>70</v>
      </c>
      <c r="C1" s="137"/>
      <c r="D1" s="137"/>
      <c r="E1" s="137"/>
      <c r="F1" s="137"/>
      <c r="G1" s="137"/>
      <c r="H1" s="137"/>
      <c r="I1" s="137"/>
      <c r="J1" s="137"/>
      <c r="K1" s="137"/>
    </row>
    <row r="2" spans="2:20" ht="34.5" thickBot="1" x14ac:dyDescent="0.55000000000000004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2:20" ht="34.5" thickBot="1" x14ac:dyDescent="0.55000000000000004">
      <c r="B3" s="38"/>
      <c r="C3" s="38"/>
      <c r="D3" s="38"/>
      <c r="E3" s="38"/>
      <c r="F3" s="38"/>
      <c r="G3" s="38"/>
      <c r="H3" s="38"/>
      <c r="I3" s="38"/>
      <c r="J3" s="39" t="s">
        <v>82</v>
      </c>
      <c r="K3" s="40" t="s">
        <v>83</v>
      </c>
      <c r="L3" s="41" t="s">
        <v>84</v>
      </c>
      <c r="M3" s="41" t="s">
        <v>85</v>
      </c>
      <c r="N3" s="40" t="s">
        <v>86</v>
      </c>
      <c r="O3" s="40" t="s">
        <v>87</v>
      </c>
      <c r="P3" s="40" t="s">
        <v>88</v>
      </c>
      <c r="Q3" s="41" t="s">
        <v>89</v>
      </c>
      <c r="R3" s="40" t="s">
        <v>90</v>
      </c>
    </row>
    <row r="4" spans="2:20" ht="33.75" x14ac:dyDescent="0.5">
      <c r="B4" s="38"/>
      <c r="C4" s="38"/>
      <c r="D4" s="38"/>
      <c r="E4" s="38"/>
      <c r="F4" s="38"/>
      <c r="G4" s="38"/>
      <c r="H4" s="38"/>
      <c r="I4" s="38"/>
      <c r="J4" s="150"/>
      <c r="K4" s="150"/>
      <c r="L4" s="150"/>
      <c r="M4" s="150"/>
      <c r="N4" s="150"/>
      <c r="O4" s="150"/>
      <c r="P4" s="150"/>
      <c r="Q4" s="150"/>
      <c r="R4" s="150"/>
    </row>
    <row r="5" spans="2:20" ht="15.75" thickBot="1" x14ac:dyDescent="0.3">
      <c r="B5" s="128" t="s">
        <v>0</v>
      </c>
      <c r="C5" s="128"/>
      <c r="D5" s="128"/>
      <c r="J5" s="151"/>
      <c r="K5" s="151"/>
      <c r="L5" s="151"/>
      <c r="M5" s="151"/>
      <c r="N5" s="151"/>
      <c r="O5" s="151"/>
      <c r="P5" s="151"/>
      <c r="Q5" s="151"/>
      <c r="R5" s="151"/>
    </row>
    <row r="6" spans="2:20" ht="30" x14ac:dyDescent="0.25">
      <c r="B6" s="42"/>
      <c r="C6" s="43"/>
      <c r="D6" s="43" t="s">
        <v>1</v>
      </c>
      <c r="E6" s="44" t="s">
        <v>2</v>
      </c>
    </row>
    <row r="7" spans="2:20" x14ac:dyDescent="0.25">
      <c r="B7" s="45"/>
      <c r="C7" s="46"/>
      <c r="D7" s="46" t="s">
        <v>141</v>
      </c>
      <c r="E7" s="47">
        <f>0.4*E10</f>
        <v>24000</v>
      </c>
      <c r="F7" s="37" t="s">
        <v>3</v>
      </c>
    </row>
    <row r="8" spans="2:20" ht="15" customHeight="1" x14ac:dyDescent="0.25">
      <c r="C8" s="46"/>
      <c r="D8" s="46" t="s">
        <v>142</v>
      </c>
      <c r="E8" s="47">
        <f>0.45*E9</f>
        <v>1260</v>
      </c>
      <c r="F8" s="37" t="s">
        <v>3</v>
      </c>
      <c r="I8" s="48"/>
      <c r="O8" s="49" t="s">
        <v>44</v>
      </c>
      <c r="P8" s="49"/>
      <c r="Q8" s="49"/>
      <c r="R8" s="49"/>
      <c r="S8" s="49"/>
      <c r="T8" s="49"/>
    </row>
    <row r="9" spans="2:20" x14ac:dyDescent="0.25">
      <c r="C9" s="50"/>
      <c r="D9" s="50" t="s">
        <v>140</v>
      </c>
      <c r="E9" s="105">
        <v>2800</v>
      </c>
      <c r="F9" s="37" t="s">
        <v>3</v>
      </c>
      <c r="H9" s="48"/>
      <c r="I9" s="48"/>
    </row>
    <row r="10" spans="2:20" x14ac:dyDescent="0.25">
      <c r="C10" s="46"/>
      <c r="D10" s="46" t="s">
        <v>108</v>
      </c>
      <c r="E10" s="105">
        <v>60000</v>
      </c>
      <c r="F10" s="37" t="s">
        <v>3</v>
      </c>
      <c r="H10" s="48"/>
      <c r="I10" s="48"/>
      <c r="P10" s="51"/>
    </row>
    <row r="11" spans="2:20" x14ac:dyDescent="0.25">
      <c r="B11" s="128" t="s">
        <v>72</v>
      </c>
      <c r="C11" s="128"/>
      <c r="D11" s="146"/>
      <c r="E11" s="105">
        <v>25</v>
      </c>
      <c r="F11" s="37" t="s">
        <v>11</v>
      </c>
      <c r="H11" s="48"/>
      <c r="I11" s="48"/>
    </row>
    <row r="12" spans="2:20" x14ac:dyDescent="0.25">
      <c r="B12" s="134" t="s">
        <v>18</v>
      </c>
      <c r="C12" s="134"/>
      <c r="D12" s="134"/>
      <c r="E12" s="105">
        <v>40</v>
      </c>
      <c r="F12" s="37" t="s">
        <v>11</v>
      </c>
      <c r="H12" s="48"/>
      <c r="I12" s="48"/>
    </row>
    <row r="13" spans="2:20" x14ac:dyDescent="0.25">
      <c r="B13" s="52"/>
      <c r="C13" s="152" t="s">
        <v>143</v>
      </c>
      <c r="D13" s="153"/>
      <c r="E13" s="105">
        <v>10</v>
      </c>
      <c r="F13" s="37" t="s">
        <v>10</v>
      </c>
      <c r="H13" s="48"/>
      <c r="I13" s="48"/>
    </row>
    <row r="14" spans="2:20" x14ac:dyDescent="0.25">
      <c r="B14" s="52"/>
      <c r="C14" s="152" t="s">
        <v>144</v>
      </c>
      <c r="D14" s="153"/>
      <c r="E14" s="105">
        <v>18</v>
      </c>
      <c r="F14" s="37" t="s">
        <v>10</v>
      </c>
      <c r="H14" s="48"/>
      <c r="I14" s="48"/>
    </row>
    <row r="15" spans="2:20" x14ac:dyDescent="0.25">
      <c r="B15" s="128" t="s">
        <v>148</v>
      </c>
      <c r="C15" s="128"/>
      <c r="D15" s="128"/>
      <c r="E15" s="106">
        <v>3.15</v>
      </c>
      <c r="F15" s="53" t="s">
        <v>101</v>
      </c>
      <c r="H15" s="48"/>
      <c r="I15" s="48"/>
    </row>
    <row r="16" spans="2:20" x14ac:dyDescent="0.25">
      <c r="B16" s="111" t="s">
        <v>145</v>
      </c>
      <c r="C16" s="111"/>
      <c r="D16" s="155"/>
      <c r="E16" s="106">
        <v>8.5</v>
      </c>
      <c r="F16" s="53" t="s">
        <v>4</v>
      </c>
      <c r="H16" s="48"/>
      <c r="I16" s="48"/>
    </row>
    <row r="17" spans="2:14" x14ac:dyDescent="0.25">
      <c r="B17" s="111" t="s">
        <v>6</v>
      </c>
      <c r="C17" s="111"/>
      <c r="D17" s="155"/>
      <c r="E17" s="106">
        <v>19.25</v>
      </c>
      <c r="F17" s="53" t="s">
        <v>4</v>
      </c>
      <c r="H17" s="48"/>
      <c r="I17" s="48"/>
    </row>
    <row r="18" spans="2:14" x14ac:dyDescent="0.25">
      <c r="B18" s="111" t="s">
        <v>5</v>
      </c>
      <c r="C18" s="111"/>
      <c r="D18" s="155"/>
      <c r="E18" s="106">
        <v>20.5</v>
      </c>
      <c r="F18" s="53" t="s">
        <v>4</v>
      </c>
      <c r="G18" s="128" t="str">
        <f>IF(E17&gt;E18,"You have Input Slab Length Incorrectly. Please Check it.",IF(E18/E17&lt;=2,"Two Way Slab Is Confirm.","One Way Slab Is Confirm. Change it."))</f>
        <v>Two Way Slab Is Confirm.</v>
      </c>
      <c r="H18" s="128"/>
      <c r="I18" s="128"/>
      <c r="J18" s="128"/>
      <c r="K18" s="128"/>
      <c r="L18" s="128"/>
    </row>
    <row r="19" spans="2:14" x14ac:dyDescent="0.25">
      <c r="B19" s="46"/>
      <c r="C19" s="134" t="s">
        <v>12</v>
      </c>
      <c r="D19" s="134"/>
      <c r="E19" s="134"/>
      <c r="H19" s="48"/>
      <c r="I19" s="48"/>
    </row>
    <row r="20" spans="2:14" x14ac:dyDescent="0.25">
      <c r="B20" s="46"/>
      <c r="C20" s="46"/>
      <c r="D20" s="37" t="s">
        <v>13</v>
      </c>
      <c r="E20" s="107">
        <v>29.83</v>
      </c>
      <c r="F20" s="37" t="s">
        <v>4</v>
      </c>
      <c r="H20" s="48"/>
      <c r="I20" s="48"/>
    </row>
    <row r="21" spans="2:14" x14ac:dyDescent="0.25">
      <c r="B21" s="46"/>
      <c r="C21" s="46"/>
      <c r="D21" s="37" t="s">
        <v>8</v>
      </c>
      <c r="E21" s="107">
        <v>0.5</v>
      </c>
      <c r="F21" s="37" t="s">
        <v>4</v>
      </c>
      <c r="H21" s="48"/>
      <c r="I21" s="48"/>
    </row>
    <row r="22" spans="2:14" x14ac:dyDescent="0.25">
      <c r="B22" s="46"/>
      <c r="C22" s="46"/>
      <c r="D22" s="37" t="s">
        <v>15</v>
      </c>
      <c r="E22" s="107">
        <v>9.5</v>
      </c>
      <c r="F22" s="37" t="s">
        <v>17</v>
      </c>
      <c r="H22" s="48"/>
      <c r="I22" s="48"/>
    </row>
    <row r="23" spans="2:14" ht="15.75" thickBot="1" x14ac:dyDescent="0.3">
      <c r="B23" s="42"/>
      <c r="C23" s="42"/>
      <c r="D23" s="42" t="s">
        <v>91</v>
      </c>
      <c r="E23" s="106" t="s">
        <v>85</v>
      </c>
      <c r="F23" s="53"/>
      <c r="G23" s="54"/>
      <c r="J23" s="54"/>
      <c r="K23" s="54"/>
      <c r="L23" s="54"/>
      <c r="M23" s="54"/>
      <c r="N23" s="54"/>
    </row>
    <row r="24" spans="2:14" x14ac:dyDescent="0.25">
      <c r="B24" s="55" t="s">
        <v>71</v>
      </c>
      <c r="C24" s="56">
        <v>0.9</v>
      </c>
      <c r="D24" s="49">
        <f>(29*10^6)/(57000*SQRT(E9))</f>
        <v>9.6148857169013944</v>
      </c>
      <c r="F24" s="53"/>
      <c r="G24" s="138" t="str">
        <f>IF(F33="What!","How Dare You That You Have Change My Indentity! [This Program Is Being Crushed!]","Enjoy This Softwere But Please Don’t Change Anything Except 'Blue BOX' ")</f>
        <v xml:space="preserve">Enjoy This Softwere But Please Don’t Change Anything Except 'Blue BOX' </v>
      </c>
      <c r="H24" s="139"/>
      <c r="I24" s="139"/>
      <c r="J24" s="139"/>
      <c r="K24" s="139"/>
      <c r="L24" s="139"/>
      <c r="M24" s="139"/>
      <c r="N24" s="140"/>
    </row>
    <row r="25" spans="2:14" ht="15" customHeight="1" x14ac:dyDescent="0.25">
      <c r="B25" s="55" t="s">
        <v>74</v>
      </c>
      <c r="C25" s="56">
        <v>0.85</v>
      </c>
      <c r="F25" s="53"/>
      <c r="G25" s="138"/>
      <c r="H25" s="139"/>
      <c r="I25" s="139"/>
      <c r="J25" s="139"/>
      <c r="K25" s="139"/>
      <c r="L25" s="139"/>
      <c r="M25" s="139"/>
      <c r="N25" s="140"/>
    </row>
    <row r="26" spans="2:14" ht="19.5" customHeight="1" thickBot="1" x14ac:dyDescent="0.3">
      <c r="B26" s="37" t="s">
        <v>73</v>
      </c>
      <c r="C26" s="57">
        <f>0.85*C25*(E9/E10)*(0.003/(0.003+0.004))</f>
        <v>1.4449999999999999E-2</v>
      </c>
      <c r="F26" s="53"/>
      <c r="G26" s="141"/>
      <c r="H26" s="142"/>
      <c r="I26" s="142"/>
      <c r="J26" s="142"/>
      <c r="K26" s="142"/>
      <c r="L26" s="142"/>
      <c r="M26" s="142"/>
      <c r="N26" s="143"/>
    </row>
    <row r="27" spans="2:14" ht="14.25" customHeight="1" x14ac:dyDescent="0.25">
      <c r="B27" s="37" t="s">
        <v>39</v>
      </c>
      <c r="C27" s="56">
        <f>C26*E10*(1-((0.59*C26*E10)/E9))</f>
        <v>708.60838928571434</v>
      </c>
      <c r="F27" s="53"/>
    </row>
    <row r="28" spans="2:14" s="59" customFormat="1" x14ac:dyDescent="0.25">
      <c r="B28" s="145" t="s">
        <v>6</v>
      </c>
      <c r="C28" s="145"/>
      <c r="D28" s="145"/>
      <c r="E28" s="58">
        <f>E17</f>
        <v>19.25</v>
      </c>
      <c r="F28" s="59" t="s">
        <v>4</v>
      </c>
      <c r="G28" s="145" t="str">
        <f>IF(E29&gt;=E28," ",O8)</f>
        <v xml:space="preserve"> </v>
      </c>
      <c r="H28" s="145"/>
      <c r="I28" s="145"/>
      <c r="J28" s="145"/>
      <c r="K28" s="145"/>
      <c r="L28" s="145"/>
      <c r="M28" s="145"/>
    </row>
    <row r="29" spans="2:14" s="59" customFormat="1" x14ac:dyDescent="0.25">
      <c r="B29" s="145" t="s">
        <v>5</v>
      </c>
      <c r="C29" s="145"/>
      <c r="D29" s="145"/>
      <c r="E29" s="58">
        <f>E18</f>
        <v>20.5</v>
      </c>
      <c r="F29" s="59" t="s">
        <v>4</v>
      </c>
    </row>
    <row r="30" spans="2:14" s="59" customFormat="1" x14ac:dyDescent="0.25"/>
    <row r="31" spans="2:14" s="59" customFormat="1" x14ac:dyDescent="0.25">
      <c r="C31" s="60" t="s">
        <v>7</v>
      </c>
      <c r="D31" s="58">
        <f>E29/E28</f>
        <v>1.0649350649350648</v>
      </c>
      <c r="E31" s="145" t="str">
        <f>IF(D31&lt;2,"&lt;2 ;Two Way Slab Is Confurm!","One Way Slab Is Confurm!")</f>
        <v>&lt;2 ;Two Way Slab Is Confurm!</v>
      </c>
      <c r="F31" s="145"/>
      <c r="G31" s="145"/>
    </row>
    <row r="32" spans="2:14" s="59" customFormat="1" x14ac:dyDescent="0.25">
      <c r="H32" s="145" t="s">
        <v>147</v>
      </c>
      <c r="I32" s="145"/>
    </row>
    <row r="33" spans="2:16" x14ac:dyDescent="0.25">
      <c r="C33" s="134" t="s">
        <v>146</v>
      </c>
      <c r="D33" s="134"/>
      <c r="E33" s="135">
        <v>6</v>
      </c>
      <c r="F33" s="154">
        <f>'Slab Min Thickness Calculation'!D35</f>
        <v>5.9345422781271848</v>
      </c>
      <c r="G33" s="127" t="s">
        <v>9</v>
      </c>
      <c r="H33" s="149">
        <f>IF(F33&lt;=E33,E33,_xlfn.CEILING.MATH(F33,0.25))</f>
        <v>6</v>
      </c>
      <c r="I33" s="147" t="s">
        <v>10</v>
      </c>
      <c r="J33" s="62"/>
      <c r="K33" s="63"/>
      <c r="N33" s="64">
        <f>((1.7*C24*E9*E10*D35*12)-SQRT((1.7*C24*E9*E10*D35*12)^2-4*1.7*C24*E10*E10*E9*12*C60*12))/(2*C24*E10*E10)</f>
        <v>0.24271195388950359</v>
      </c>
    </row>
    <row r="34" spans="2:16" x14ac:dyDescent="0.25">
      <c r="C34" s="134"/>
      <c r="D34" s="134"/>
      <c r="E34" s="135"/>
      <c r="F34" s="154"/>
      <c r="G34" s="127"/>
      <c r="H34" s="149"/>
      <c r="I34" s="147"/>
      <c r="J34" s="62"/>
    </row>
    <row r="35" spans="2:16" x14ac:dyDescent="0.25">
      <c r="B35" s="37" t="s">
        <v>45</v>
      </c>
      <c r="C35" s="52" t="s">
        <v>42</v>
      </c>
      <c r="D35" s="65">
        <f>H33-0.75-(E15/16)</f>
        <v>5.0531249999999996</v>
      </c>
      <c r="E35" s="61" t="s">
        <v>10</v>
      </c>
      <c r="F35" s="133" t="str">
        <f>IF(G58&lt;D35,"","Please Increase Slab Thickness")</f>
        <v/>
      </c>
      <c r="G35" s="133"/>
      <c r="H35" s="133"/>
      <c r="I35" s="133"/>
      <c r="J35" s="133"/>
    </row>
    <row r="36" spans="2:16" x14ac:dyDescent="0.25">
      <c r="B36" s="37" t="s">
        <v>46</v>
      </c>
      <c r="C36" s="52" t="s">
        <v>42</v>
      </c>
      <c r="D36" s="37">
        <f>D35-(E15/8)</f>
        <v>4.6593749999999998</v>
      </c>
      <c r="E36" s="37" t="s">
        <v>10</v>
      </c>
    </row>
    <row r="37" spans="2:16" s="49" customFormat="1" x14ac:dyDescent="0.25">
      <c r="B37" s="148" t="s">
        <v>12</v>
      </c>
      <c r="C37" s="148"/>
    </row>
    <row r="38" spans="2:16" s="49" customFormat="1" x14ac:dyDescent="0.25">
      <c r="B38" s="49" t="s">
        <v>13</v>
      </c>
      <c r="C38" s="49">
        <f>E20</f>
        <v>29.83</v>
      </c>
      <c r="D38" s="49" t="s">
        <v>4</v>
      </c>
    </row>
    <row r="39" spans="2:16" s="49" customFormat="1" x14ac:dyDescent="0.25">
      <c r="B39" s="49" t="s">
        <v>14</v>
      </c>
      <c r="C39" s="49">
        <f>E21</f>
        <v>0.5</v>
      </c>
      <c r="D39" s="49" t="s">
        <v>4</v>
      </c>
    </row>
    <row r="40" spans="2:16" s="49" customFormat="1" x14ac:dyDescent="0.25">
      <c r="B40" s="49" t="s">
        <v>15</v>
      </c>
      <c r="C40" s="49">
        <f>E22</f>
        <v>9.5</v>
      </c>
      <c r="D40" s="49" t="s">
        <v>17</v>
      </c>
    </row>
    <row r="41" spans="2:16" s="49" customFormat="1" x14ac:dyDescent="0.25">
      <c r="B41" s="49" t="s">
        <v>16</v>
      </c>
      <c r="C41" s="49">
        <f>C38*C39*C40*120/(E28*E29)</f>
        <v>43.0867279062401</v>
      </c>
      <c r="D41" s="49" t="s">
        <v>11</v>
      </c>
    </row>
    <row r="43" spans="2:16" x14ac:dyDescent="0.25">
      <c r="B43" s="128" t="s">
        <v>19</v>
      </c>
      <c r="C43" s="128"/>
      <c r="D43" s="37">
        <f>((H33/12)*150)+C41+E11</f>
        <v>143.0867279062401</v>
      </c>
      <c r="E43" s="37" t="s">
        <v>11</v>
      </c>
    </row>
    <row r="44" spans="2:16" x14ac:dyDescent="0.25">
      <c r="B44" s="128" t="s">
        <v>20</v>
      </c>
      <c r="C44" s="128"/>
      <c r="D44" s="37">
        <f>(1.6*E12)+(1.2*D43)</f>
        <v>235.7040734874881</v>
      </c>
      <c r="E44" s="37" t="s">
        <v>11</v>
      </c>
    </row>
    <row r="45" spans="2:16" ht="15.75" thickBot="1" x14ac:dyDescent="0.3"/>
    <row r="46" spans="2:16" ht="15" customHeight="1" x14ac:dyDescent="0.25">
      <c r="B46" s="66" t="s">
        <v>21</v>
      </c>
      <c r="C46" s="67"/>
      <c r="D46" s="67"/>
      <c r="E46" s="68">
        <f>(E28/E29)</f>
        <v>0.93902439024390238</v>
      </c>
      <c r="F46" s="69"/>
      <c r="G46" s="70"/>
      <c r="H46" s="70"/>
      <c r="I46" s="70"/>
      <c r="J46" s="70"/>
      <c r="K46" s="70"/>
      <c r="L46" s="70"/>
      <c r="M46" s="70"/>
      <c r="N46" s="67"/>
      <c r="O46" s="67"/>
      <c r="P46" s="71"/>
    </row>
    <row r="47" spans="2:16" x14ac:dyDescent="0.25">
      <c r="D47" s="72" t="s">
        <v>92</v>
      </c>
      <c r="E47" s="56">
        <f>_xlfn.FLOOR.MATH(E46,0.05)</f>
        <v>0.9</v>
      </c>
      <c r="P47" s="73"/>
    </row>
    <row r="48" spans="2:16" x14ac:dyDescent="0.25">
      <c r="D48" s="72" t="s">
        <v>93</v>
      </c>
      <c r="E48" s="56">
        <f>_xlfn.CEILING.MATH(E46,0.05)</f>
        <v>0.95000000000000007</v>
      </c>
      <c r="G48" s="128" t="s">
        <v>28</v>
      </c>
      <c r="H48" s="128"/>
      <c r="I48" s="128"/>
      <c r="J48" s="128"/>
      <c r="K48" s="128"/>
      <c r="L48" s="128"/>
      <c r="M48" s="128"/>
      <c r="P48" s="73"/>
    </row>
    <row r="49" spans="2:18" x14ac:dyDescent="0.25">
      <c r="D49" s="74"/>
      <c r="G49" s="37" t="s">
        <v>24</v>
      </c>
      <c r="H49" s="37" t="s">
        <v>25</v>
      </c>
      <c r="I49" s="37" t="s">
        <v>22</v>
      </c>
      <c r="K49" s="37" t="s">
        <v>26</v>
      </c>
      <c r="L49" s="37" t="s">
        <v>23</v>
      </c>
      <c r="M49" s="73" t="s">
        <v>27</v>
      </c>
      <c r="P49" s="73"/>
    </row>
    <row r="50" spans="2:18" ht="15.75" thickBot="1" x14ac:dyDescent="0.3">
      <c r="D50" s="74"/>
      <c r="E50" s="75"/>
      <c r="F50" s="75"/>
      <c r="G50" s="76">
        <f>'Coefficients For  N M'!Q12</f>
        <v>0.06</v>
      </c>
      <c r="H50" s="76">
        <f>'Coefficients For  N M'!Q13</f>
        <v>4.4999999999999998E-2</v>
      </c>
      <c r="I50" s="76">
        <f>'Coefficients For DL P M '!R12</f>
        <v>3.3000000000000002E-2</v>
      </c>
      <c r="J50" s="76"/>
      <c r="K50" s="76">
        <f>'Coefficients For DL P M '!R13</f>
        <v>2.4E-2</v>
      </c>
      <c r="L50" s="76">
        <f>'Coefficients For LL P M '!R12</f>
        <v>3.9E-2</v>
      </c>
      <c r="M50" s="76">
        <f>'Coefficients For LL P M '!R13</f>
        <v>2.9000000000000001E-2</v>
      </c>
      <c r="N50" s="75"/>
      <c r="O50" s="75"/>
      <c r="P50" s="77"/>
    </row>
    <row r="53" spans="2:18" ht="15.75" thickBot="1" x14ac:dyDescent="0.3">
      <c r="B53" s="129" t="s">
        <v>29</v>
      </c>
      <c r="C53" s="130"/>
      <c r="D53" s="78"/>
    </row>
    <row r="54" spans="2:18" x14ac:dyDescent="0.25">
      <c r="B54" s="79"/>
      <c r="C54" s="42"/>
      <c r="D54" s="80"/>
      <c r="E54" s="124" t="s">
        <v>40</v>
      </c>
      <c r="F54" s="125"/>
      <c r="G54" s="126"/>
      <c r="Q54" s="49" t="s">
        <v>75</v>
      </c>
      <c r="R54" s="49">
        <f>C24*E10*E10</f>
        <v>3240000000</v>
      </c>
    </row>
    <row r="55" spans="2:18" x14ac:dyDescent="0.25">
      <c r="B55" s="131" t="s">
        <v>35</v>
      </c>
      <c r="C55" s="122"/>
      <c r="D55" s="132"/>
      <c r="E55" s="81" t="s">
        <v>41</v>
      </c>
      <c r="F55" s="82">
        <f>IF(E56&gt;E59,E56,E59)</f>
        <v>5240.5854439024379</v>
      </c>
      <c r="G55" s="83" t="s">
        <v>31</v>
      </c>
      <c r="Q55" s="49" t="s">
        <v>76</v>
      </c>
      <c r="R55" s="49">
        <f>-(1.7*C24*E9*E10*D35*12)</f>
        <v>-15586263000</v>
      </c>
    </row>
    <row r="56" spans="2:18" ht="16.5" thickBot="1" x14ac:dyDescent="0.3">
      <c r="B56" s="84" t="s">
        <v>30</v>
      </c>
      <c r="C56" s="56">
        <f>H50*D44*E29^2</f>
        <v>4457.4586597402595</v>
      </c>
      <c r="D56" s="80" t="s">
        <v>31</v>
      </c>
      <c r="E56" s="85">
        <f>IF(C56&gt;C57,C56,C57)</f>
        <v>4457.4586597402595</v>
      </c>
      <c r="Q56" s="49" t="s">
        <v>77</v>
      </c>
      <c r="R56" s="49">
        <f>1.7*E9*12*C60*12</f>
        <v>3592106886.6684875</v>
      </c>
    </row>
    <row r="57" spans="2:18" ht="15.75" x14ac:dyDescent="0.25">
      <c r="B57" s="84" t="s">
        <v>32</v>
      </c>
      <c r="C57" s="56">
        <f>(M50*E12*E29^2)+(K50*D43*E29^2)</f>
        <v>1930.6627376623378</v>
      </c>
      <c r="D57" s="80" t="s">
        <v>31</v>
      </c>
      <c r="F57" s="119" t="s">
        <v>38</v>
      </c>
      <c r="G57" s="120"/>
      <c r="H57" s="86"/>
      <c r="Q57" s="49" t="s">
        <v>78</v>
      </c>
      <c r="R57" s="49">
        <f>(-R55-SQRT(R55^2-4*R54*R56))/(2*R54)</f>
        <v>0.24271195388950359</v>
      </c>
    </row>
    <row r="58" spans="2:18" ht="16.5" thickBot="1" x14ac:dyDescent="0.3">
      <c r="B58" s="84"/>
      <c r="D58" s="80"/>
      <c r="F58" s="87" t="s">
        <v>52</v>
      </c>
      <c r="G58" s="88">
        <f>SQRT((F55*12)/(C24*C27*12))</f>
        <v>2.8665894854050413</v>
      </c>
      <c r="H58" s="89" t="s">
        <v>10</v>
      </c>
      <c r="I58" s="144" t="str">
        <f>IF(D36&gt;G58,"Depth Check Is ok!","Depth Check Is not Ok! Pls Try Again")</f>
        <v>Depth Check Is ok!</v>
      </c>
      <c r="J58" s="144"/>
      <c r="K58" s="144"/>
      <c r="L58" s="144"/>
      <c r="M58" s="144"/>
      <c r="N58" s="144"/>
      <c r="Q58" s="49" t="s">
        <v>79</v>
      </c>
      <c r="R58" s="49">
        <f>(-R55-(SQRT(((R55^2)-(4*R54*R56)))))/(2*R54)</f>
        <v>0.24271195388950359</v>
      </c>
    </row>
    <row r="59" spans="2:18" x14ac:dyDescent="0.25">
      <c r="B59" s="84" t="s">
        <v>36</v>
      </c>
      <c r="D59" s="80"/>
      <c r="E59" s="90">
        <f>IF(C60&gt;C61,C60,C61)</f>
        <v>5240.5854439024379</v>
      </c>
      <c r="Q59" s="49"/>
      <c r="R59" s="49"/>
    </row>
    <row r="60" spans="2:18" ht="15.75" x14ac:dyDescent="0.25">
      <c r="B60" s="84" t="s">
        <v>33</v>
      </c>
      <c r="C60" s="56">
        <f>G50*D44*E28^2</f>
        <v>5240.5854439024379</v>
      </c>
      <c r="D60" s="80" t="s">
        <v>31</v>
      </c>
      <c r="E60" s="90"/>
      <c r="Q60" s="49"/>
      <c r="R60" s="49"/>
    </row>
    <row r="61" spans="2:18" ht="15.75" x14ac:dyDescent="0.25">
      <c r="B61" s="84" t="s">
        <v>34</v>
      </c>
      <c r="C61" s="56">
        <f>(L50*E12*E28^2)+(I50*D43*E28^2)</f>
        <v>2327.8224951219513</v>
      </c>
      <c r="D61" s="80" t="s">
        <v>31</v>
      </c>
      <c r="E61" s="90"/>
      <c r="Q61" s="49">
        <f>(((1.7*C24*E9*E10*D35*12)-SQRT((1.7*C24*E9*E10*D35*12)^2-4*1.7*C24*E10*E10*E9*12*C60*12))/(2*C24*E10*E10))</f>
        <v>0.24271195388950359</v>
      </c>
      <c r="R61" s="49"/>
    </row>
    <row r="62" spans="2:18" x14ac:dyDescent="0.25">
      <c r="B62" s="84"/>
      <c r="D62" s="80"/>
    </row>
    <row r="63" spans="2:18" x14ac:dyDescent="0.25">
      <c r="B63" s="131" t="s">
        <v>37</v>
      </c>
      <c r="C63" s="122"/>
      <c r="D63" s="132"/>
    </row>
    <row r="64" spans="2:18" ht="15.75" x14ac:dyDescent="0.25">
      <c r="B64" s="84" t="s">
        <v>30</v>
      </c>
      <c r="C64" s="56">
        <f>C57/3</f>
        <v>643.55424588744597</v>
      </c>
      <c r="D64" s="80" t="s">
        <v>31</v>
      </c>
    </row>
    <row r="65" spans="2:20" ht="15.75" x14ac:dyDescent="0.25">
      <c r="B65" s="81" t="s">
        <v>33</v>
      </c>
      <c r="C65" s="82">
        <f>C61/3</f>
        <v>775.9408317073171</v>
      </c>
      <c r="D65" s="83" t="s">
        <v>31</v>
      </c>
    </row>
    <row r="68" spans="2:20" ht="15.75" thickBot="1" x14ac:dyDescent="0.3"/>
    <row r="69" spans="2:20" x14ac:dyDescent="0.25">
      <c r="B69" s="123" t="s">
        <v>43</v>
      </c>
      <c r="C69" s="123"/>
      <c r="D69" s="123"/>
      <c r="F69" s="115" t="s">
        <v>56</v>
      </c>
      <c r="G69" s="116"/>
      <c r="H69" s="116"/>
      <c r="I69" s="91"/>
      <c r="J69" s="86"/>
    </row>
    <row r="70" spans="2:20" x14ac:dyDescent="0.25">
      <c r="B70" s="136" t="s">
        <v>68</v>
      </c>
      <c r="C70" s="136"/>
      <c r="D70" s="92">
        <f>IF(E10&gt;=60000,(0.0018*12*H33),(0.002*12*H33))</f>
        <v>0.12959999999999999</v>
      </c>
      <c r="E70" s="37" t="s">
        <v>49</v>
      </c>
      <c r="F70" s="93"/>
      <c r="J70" s="94"/>
    </row>
    <row r="71" spans="2:20" ht="15.75" thickBot="1" x14ac:dyDescent="0.3">
      <c r="F71" s="121" t="s">
        <v>57</v>
      </c>
      <c r="G71" s="122"/>
      <c r="J71" s="94"/>
      <c r="K71" s="123" t="s">
        <v>80</v>
      </c>
      <c r="L71" s="123"/>
      <c r="M71" s="95">
        <f>2*H33</f>
        <v>12</v>
      </c>
      <c r="N71" s="95" t="s">
        <v>10</v>
      </c>
    </row>
    <row r="72" spans="2:20" ht="18.75" x14ac:dyDescent="0.3">
      <c r="B72" s="96" t="s">
        <v>47</v>
      </c>
      <c r="C72" s="91"/>
      <c r="D72" s="86"/>
      <c r="F72" s="93" t="s">
        <v>58</v>
      </c>
      <c r="G72" s="97">
        <f>(((3.1416/4)*(E15/8)^2)*12)/C74</f>
        <v>11.274785156249999</v>
      </c>
      <c r="H72" s="62" t="s">
        <v>9</v>
      </c>
      <c r="I72" s="109">
        <v>6</v>
      </c>
      <c r="J72" s="94" t="s">
        <v>10</v>
      </c>
    </row>
    <row r="73" spans="2:20" x14ac:dyDescent="0.25">
      <c r="B73" s="93" t="s">
        <v>48</v>
      </c>
      <c r="C73" s="57">
        <f>IF(D70&gt;(((1.7*C24*E9*E10*D35*12)-SQRT((1.7*C24*E9*E10*D35*12)^2-4*1.7*C24*E10*E10*E9*12*C60*12))/(2*C24*E10*E10)),D70,(((1.7*C24*E9*E10*D35*12)-SQRT((1.7*C24*E9*E10*D35*12)^2-4*1.7*C24*E10*E10*E9*12*C60*12))/(2*C24*E10*E10)))</f>
        <v>0.24271195388950359</v>
      </c>
      <c r="D73" s="94" t="s">
        <v>49</v>
      </c>
      <c r="F73" s="121" t="s">
        <v>59</v>
      </c>
      <c r="G73" s="122"/>
      <c r="J73" s="94"/>
    </row>
    <row r="74" spans="2:20" ht="19.5" thickBot="1" x14ac:dyDescent="0.35">
      <c r="B74" s="98" t="s">
        <v>50</v>
      </c>
      <c r="C74" s="99">
        <f>IF(D70&gt;(((1.7*C24*E9*E10*D35*12)-SQRT((1.7*C24*E9*E10*D35*12)^2-4*1.7*C24*E10*E10*E9*12*C61*12))/(2*C24*E10*E10)),D70,(((1.7*C24*E9*E10*D35*12)-SQRT((1.7*C24*E9*E10*D35*12)^2-4*1.7*C24*E10*E10*E9*12*C61*12))/(2*C24*E10*E10)))</f>
        <v>0.12959999999999999</v>
      </c>
      <c r="D74" s="89" t="s">
        <v>49</v>
      </c>
      <c r="F74" s="98" t="s">
        <v>81</v>
      </c>
      <c r="G74" s="100">
        <f>(((3.1416/4)*(E15/8)^2)*12)/C78</f>
        <v>11.274785156249999</v>
      </c>
      <c r="H74" s="101" t="s">
        <v>9</v>
      </c>
      <c r="I74" s="110">
        <v>6</v>
      </c>
      <c r="J74" s="89" t="s">
        <v>10</v>
      </c>
    </row>
    <row r="75" spans="2:20" ht="15.75" thickBot="1" x14ac:dyDescent="0.3">
      <c r="Q75" s="49"/>
      <c r="R75" s="49"/>
      <c r="S75" s="49" t="s">
        <v>173</v>
      </c>
      <c r="T75" s="49" t="s">
        <v>174</v>
      </c>
    </row>
    <row r="76" spans="2:20" x14ac:dyDescent="0.25">
      <c r="B76" s="119" t="s">
        <v>51</v>
      </c>
      <c r="C76" s="120"/>
      <c r="D76" s="86"/>
      <c r="F76" s="115" t="s">
        <v>60</v>
      </c>
      <c r="G76" s="116"/>
      <c r="H76" s="117" t="s">
        <v>64</v>
      </c>
      <c r="I76" s="118"/>
      <c r="K76" s="115" t="s">
        <v>60</v>
      </c>
      <c r="L76" s="116"/>
      <c r="M76" s="117" t="s">
        <v>67</v>
      </c>
      <c r="N76" s="118"/>
      <c r="Q76" s="49" t="s">
        <v>171</v>
      </c>
      <c r="R76" s="74">
        <f>C73-G78</f>
        <v>0.12094427420200361</v>
      </c>
      <c r="S76" s="49">
        <f>R76/((3.1416/4)*(E15/8)^2)</f>
        <v>0.99323789787561412</v>
      </c>
      <c r="T76" s="49">
        <f>S76*I72*2/12</f>
        <v>0.99323789787561412</v>
      </c>
    </row>
    <row r="77" spans="2:20" x14ac:dyDescent="0.25">
      <c r="B77" s="93" t="s">
        <v>48</v>
      </c>
      <c r="C77" s="57">
        <f>IF(D70&gt;((1.7*C24*E9*E10*D36*12)-SQRT((1.7*C24*E9*E10*D36*12)^2-4*1.7*C24*E10*E10*E9*12*C56*12))/(2*C24*E10*E10),D70,((1.7*C24*E9*E10*D36*12)-SQRT((1.7*C24*E9*E10*D36*12)^2-4*1.7*C24*E10*E10*E9*12*C56*12))/(2*C24*E10*E10))</f>
        <v>0.22389311062137227</v>
      </c>
      <c r="D77" s="94" t="s">
        <v>49</v>
      </c>
      <c r="F77" s="121" t="s">
        <v>61</v>
      </c>
      <c r="G77" s="122"/>
      <c r="I77" s="94"/>
      <c r="K77" s="121" t="s">
        <v>61</v>
      </c>
      <c r="L77" s="122"/>
      <c r="N77" s="94"/>
      <c r="Q77" s="49" t="s">
        <v>172</v>
      </c>
      <c r="R77" s="74">
        <f>C77-G82</f>
        <v>0.10212543093387229</v>
      </c>
      <c r="S77" s="49">
        <f>R77/((3.1416/4)*(E15/8)^2)</f>
        <v>0.83869078556775634</v>
      </c>
      <c r="T77" s="49">
        <f>S77*I74*2/12</f>
        <v>0.83869078556775634</v>
      </c>
    </row>
    <row r="78" spans="2:20" ht="15.75" thickBot="1" x14ac:dyDescent="0.3">
      <c r="B78" s="98" t="s">
        <v>50</v>
      </c>
      <c r="C78" s="99">
        <f>IF(D70&gt;((1.7*C24*E9*E10*D36*12)-SQRT((1.7*C24*E9*E10*D36*12)^2-4*1.7*C24*E10*E10*E9*12*C57*12))/(2*C24*E10*E10),D70,((1.7*C24*E9*E10*D36*12)-SQRT((1.7*C24*E9*E10*D36*12)^2-4*1.7*C24*E10*E10*E9*12*C57*12))/(2*C24*E10*E10))</f>
        <v>0.12959999999999999</v>
      </c>
      <c r="D78" s="89" t="s">
        <v>49</v>
      </c>
      <c r="F78" s="93" t="s">
        <v>62</v>
      </c>
      <c r="G78" s="57">
        <f>((((3.1416/4)*(E15/8)^2))*12)/(2*I72)</f>
        <v>0.12176767968749998</v>
      </c>
      <c r="H78" s="37" t="s">
        <v>49</v>
      </c>
      <c r="I78" s="94"/>
      <c r="K78" s="93" t="s">
        <v>62</v>
      </c>
      <c r="L78" s="57">
        <f>((((3.1416/4)*(E15/8)^2))*12)/(2*I72)</f>
        <v>0.12176767968749998</v>
      </c>
      <c r="M78" s="37" t="s">
        <v>49</v>
      </c>
      <c r="N78" s="94"/>
      <c r="Q78" s="49" t="s">
        <v>169</v>
      </c>
      <c r="R78" s="74">
        <f>C83-L78</f>
        <v>7.8323203125000157E-3</v>
      </c>
      <c r="S78" s="49">
        <f>R78/((3.1416/4)*(E15/8)^2)</f>
        <v>6.4321832629155695E-2</v>
      </c>
      <c r="T78" s="49">
        <f>S78*I72*2/12</f>
        <v>6.4321832629155695E-2</v>
      </c>
    </row>
    <row r="79" spans="2:20" x14ac:dyDescent="0.25">
      <c r="F79" s="93" t="s">
        <v>63</v>
      </c>
      <c r="G79" s="102">
        <f>T76</f>
        <v>0.99323789787561412</v>
      </c>
      <c r="H79" s="37" t="s">
        <v>65</v>
      </c>
      <c r="I79" s="94"/>
      <c r="K79" s="93" t="s">
        <v>63</v>
      </c>
      <c r="L79" s="102">
        <f>T78</f>
        <v>6.4321832629155695E-2</v>
      </c>
      <c r="M79" s="37" t="s">
        <v>65</v>
      </c>
      <c r="N79" s="94"/>
      <c r="Q79" s="49" t="s">
        <v>170</v>
      </c>
      <c r="R79" s="74">
        <f>C84-L82</f>
        <v>7.8323203125000157E-3</v>
      </c>
      <c r="S79" s="49">
        <f>R79/((3.1416/4)*(E15/8)^2)</f>
        <v>6.4321832629155695E-2</v>
      </c>
      <c r="T79" s="49">
        <f>S79*I74*2/12</f>
        <v>6.4321832629155695E-2</v>
      </c>
    </row>
    <row r="80" spans="2:20" ht="15.75" thickBot="1" x14ac:dyDescent="0.3">
      <c r="F80" s="93"/>
      <c r="I80" s="94"/>
      <c r="K80" s="93"/>
      <c r="N80" s="94"/>
    </row>
    <row r="81" spans="2:14" x14ac:dyDescent="0.25">
      <c r="B81" s="119" t="s">
        <v>53</v>
      </c>
      <c r="C81" s="120"/>
      <c r="D81" s="86"/>
      <c r="F81" s="121" t="s">
        <v>66</v>
      </c>
      <c r="G81" s="122"/>
      <c r="I81" s="94"/>
      <c r="K81" s="121" t="s">
        <v>66</v>
      </c>
      <c r="L81" s="122"/>
      <c r="N81" s="94"/>
    </row>
    <row r="82" spans="2:14" x14ac:dyDescent="0.25">
      <c r="B82" s="93"/>
      <c r="D82" s="94"/>
      <c r="F82" s="93" t="s">
        <v>62</v>
      </c>
      <c r="G82" s="57">
        <f>(((3.1416/4)*(E15/8)^2)*12)/(2*I74)</f>
        <v>0.12176767968749998</v>
      </c>
      <c r="H82" s="37" t="s">
        <v>49</v>
      </c>
      <c r="I82" s="94"/>
      <c r="K82" s="93" t="s">
        <v>62</v>
      </c>
      <c r="L82" s="57">
        <f>(((3.1416/4)*(E15/8)^2)*12)/(2*I74)</f>
        <v>0.12176767968749998</v>
      </c>
      <c r="M82" s="37" t="s">
        <v>49</v>
      </c>
      <c r="N82" s="94"/>
    </row>
    <row r="83" spans="2:14" ht="15.75" thickBot="1" x14ac:dyDescent="0.3">
      <c r="B83" s="93" t="s">
        <v>54</v>
      </c>
      <c r="C83" s="57">
        <f>IF(D70&gt;((1.7*C24*E9*E10*D35*12)-SQRT((1.7*C24*E9*E10*D35*12)^2-4*1.7*C24*E10*E10*E9*12*C65*12))/(2*C24*E10*E10),D70,((1.7*C24*E9*E10*D35*12)-SQRT((1.7*C24*E9*E10*D35*12)^2-4*1.7*C24*E10*E10*E9*12*C65*12))/(2*C24*E10*E10))</f>
        <v>0.12959999999999999</v>
      </c>
      <c r="D83" s="94" t="s">
        <v>49</v>
      </c>
      <c r="F83" s="98" t="s">
        <v>63</v>
      </c>
      <c r="G83" s="103">
        <f>T77</f>
        <v>0.83869078556775634</v>
      </c>
      <c r="H83" s="54" t="s">
        <v>65</v>
      </c>
      <c r="I83" s="89"/>
      <c r="K83" s="98" t="s">
        <v>63</v>
      </c>
      <c r="L83" s="103">
        <f>T79</f>
        <v>6.4321832629155695E-2</v>
      </c>
      <c r="M83" s="54" t="s">
        <v>65</v>
      </c>
      <c r="N83" s="89"/>
    </row>
    <row r="84" spans="2:14" ht="15.75" thickBot="1" x14ac:dyDescent="0.3">
      <c r="B84" s="98" t="s">
        <v>55</v>
      </c>
      <c r="C84" s="99">
        <f>IF(D70&gt;((1.7*C24*E9*E10*D36*12)-SQRT((1.7*C24*E9*E10*D36*12)^2-4*1.7*C24*E10*E10*E9*12*C64*12))/(2*C24*E10*E10),D70,((1.7*C24*E9*E10*D36*12)-SQRT((1.7*C24*E9*E10*D36*12)^2-4*1.7*C24*E10*E10*E9*12*C64*12))/(2*C24*E10*E10))</f>
        <v>0.12959999999999999</v>
      </c>
      <c r="D84" s="89" t="s">
        <v>49</v>
      </c>
    </row>
    <row r="103" spans="24:24" ht="15.75" thickBot="1" x14ac:dyDescent="0.3"/>
    <row r="104" spans="24:24" ht="210" x14ac:dyDescent="0.25">
      <c r="X104" s="104" t="s">
        <v>69</v>
      </c>
    </row>
  </sheetData>
  <sheetProtection algorithmName="SHA-512" hashValue="BxbD0xn+vdgllPkT7/+xjG6rqAud/bPCaBy/9+IF2pad/8zfJRxY43udpoIpzN2j6O9J23s1Ssopj+0wdLPk4g==" saltValue="pH85gg4Uk6G/0j9V0+o/4A==" spinCount="100000" sheet="1" selectLockedCells="1"/>
  <mergeCells count="60">
    <mergeCell ref="G18:L18"/>
    <mergeCell ref="H32:I32"/>
    <mergeCell ref="G28:M28"/>
    <mergeCell ref="C13:D13"/>
    <mergeCell ref="F33:F34"/>
    <mergeCell ref="C14:D14"/>
    <mergeCell ref="B16:D16"/>
    <mergeCell ref="B17:D17"/>
    <mergeCell ref="B18:D18"/>
    <mergeCell ref="C19:E19"/>
    <mergeCell ref="P4:P5"/>
    <mergeCell ref="Q4:Q5"/>
    <mergeCell ref="R4:R5"/>
    <mergeCell ref="J4:J5"/>
    <mergeCell ref="K4:K5"/>
    <mergeCell ref="L4:L5"/>
    <mergeCell ref="M4:M5"/>
    <mergeCell ref="N4:N5"/>
    <mergeCell ref="O4:O5"/>
    <mergeCell ref="B63:D63"/>
    <mergeCell ref="B70:C70"/>
    <mergeCell ref="B1:K1"/>
    <mergeCell ref="G24:N26"/>
    <mergeCell ref="B15:D15"/>
    <mergeCell ref="I58:N58"/>
    <mergeCell ref="B5:D5"/>
    <mergeCell ref="B28:D28"/>
    <mergeCell ref="B29:D29"/>
    <mergeCell ref="E31:G31"/>
    <mergeCell ref="B11:D11"/>
    <mergeCell ref="I33:I34"/>
    <mergeCell ref="B12:D12"/>
    <mergeCell ref="B37:C37"/>
    <mergeCell ref="B43:C43"/>
    <mergeCell ref="H33:H34"/>
    <mergeCell ref="F57:G57"/>
    <mergeCell ref="E54:G54"/>
    <mergeCell ref="G33:G34"/>
    <mergeCell ref="G48:M48"/>
    <mergeCell ref="B44:C44"/>
    <mergeCell ref="B53:C53"/>
    <mergeCell ref="B55:D55"/>
    <mergeCell ref="F35:J35"/>
    <mergeCell ref="C33:D34"/>
    <mergeCell ref="E33:E34"/>
    <mergeCell ref="K76:L76"/>
    <mergeCell ref="M76:N76"/>
    <mergeCell ref="B81:C81"/>
    <mergeCell ref="F69:H69"/>
    <mergeCell ref="F71:G71"/>
    <mergeCell ref="F73:G73"/>
    <mergeCell ref="F81:G81"/>
    <mergeCell ref="K77:L77"/>
    <mergeCell ref="K81:L81"/>
    <mergeCell ref="K71:L71"/>
    <mergeCell ref="F76:G76"/>
    <mergeCell ref="F77:G77"/>
    <mergeCell ref="H76:I76"/>
    <mergeCell ref="B69:D69"/>
    <mergeCell ref="B76:C76"/>
  </mergeCells>
  <conditionalFormatting sqref="G18:L18">
    <cfRule type="containsText" dxfId="1" priority="1" operator="containsText" text="Two Way Slab Is Confirm.">
      <formula>NOT(ISERROR(SEARCH("Two Way Slab Is Confirm.",G18)))</formula>
    </cfRule>
    <cfRule type="containsText" dxfId="0" priority="2" operator="containsText" text="You have Input Slab Length Incorrectly. Please Check it.">
      <formula>NOT(ISERROR(SEARCH("You have Input Slab Length Incorrectly. Please Check it.",G18)))</formula>
    </cfRule>
  </conditionalFormatting>
  <dataValidations count="1">
    <dataValidation type="list" allowBlank="1" showInputMessage="1" showErrorMessage="1" sqref="E23">
      <formula1>$J$3:$R$3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2"/>
  <sheetViews>
    <sheetView topLeftCell="A16" zoomScale="110" zoomScaleNormal="110" workbookViewId="0">
      <selection activeCell="G22" sqref="G22"/>
    </sheetView>
  </sheetViews>
  <sheetFormatPr defaultRowHeight="15" x14ac:dyDescent="0.25"/>
  <cols>
    <col min="1" max="1" width="12.140625" customWidth="1"/>
    <col min="3" max="3" width="24" customWidth="1"/>
    <col min="4" max="4" width="11.5703125" bestFit="1" customWidth="1"/>
  </cols>
  <sheetData>
    <row r="4" spans="1:7" x14ac:dyDescent="0.25">
      <c r="B4" s="14" t="s">
        <v>102</v>
      </c>
      <c r="C4" s="15">
        <f>'V1.3 (Updated 03-2025)'!E18</f>
        <v>20.5</v>
      </c>
      <c r="D4" t="s">
        <v>4</v>
      </c>
      <c r="E4" t="s">
        <v>103</v>
      </c>
    </row>
    <row r="5" spans="1:7" x14ac:dyDescent="0.25">
      <c r="B5" t="s">
        <v>104</v>
      </c>
      <c r="C5" s="15">
        <f>'V1.3 (Updated 03-2025)'!E17</f>
        <v>19.25</v>
      </c>
      <c r="D5" t="s">
        <v>4</v>
      </c>
      <c r="E5" t="s">
        <v>105</v>
      </c>
    </row>
    <row r="6" spans="1:7" x14ac:dyDescent="0.25">
      <c r="A6" s="156" t="s">
        <v>106</v>
      </c>
      <c r="B6" s="156"/>
      <c r="C6" s="16">
        <f>'V1.3 (Updated 03-2025)'!E13</f>
        <v>10</v>
      </c>
      <c r="D6" t="s">
        <v>10</v>
      </c>
    </row>
    <row r="7" spans="1:7" x14ac:dyDescent="0.25">
      <c r="A7" s="156" t="s">
        <v>107</v>
      </c>
      <c r="B7" s="156"/>
      <c r="C7" s="16">
        <f>'V1.3 (Updated 03-2025)'!E14</f>
        <v>18</v>
      </c>
      <c r="D7" t="s">
        <v>10</v>
      </c>
    </row>
    <row r="8" spans="1:7" x14ac:dyDescent="0.25">
      <c r="B8" t="s">
        <v>108</v>
      </c>
      <c r="C8" s="15">
        <f>'V1.3 (Updated 03-2025)'!E10</f>
        <v>60000</v>
      </c>
      <c r="D8" t="s">
        <v>3</v>
      </c>
      <c r="E8" t="s">
        <v>109</v>
      </c>
    </row>
    <row r="11" spans="1:7" x14ac:dyDescent="0.25">
      <c r="A11" s="6"/>
      <c r="B11" s="22" t="s">
        <v>110</v>
      </c>
      <c r="C11" s="12" t="s">
        <v>111</v>
      </c>
      <c r="D11" s="23">
        <f>C6</f>
        <v>10</v>
      </c>
      <c r="E11" s="6" t="s">
        <v>10</v>
      </c>
      <c r="F11" s="157" t="s">
        <v>112</v>
      </c>
      <c r="G11" s="157"/>
    </row>
    <row r="12" spans="1:7" ht="15.75" x14ac:dyDescent="0.25">
      <c r="A12" s="6"/>
      <c r="B12" s="22" t="s">
        <v>129</v>
      </c>
      <c r="C12" s="12" t="s">
        <v>111</v>
      </c>
      <c r="D12" s="23">
        <f>C7</f>
        <v>18</v>
      </c>
      <c r="E12" s="6" t="s">
        <v>10</v>
      </c>
      <c r="F12" s="157" t="s">
        <v>113</v>
      </c>
      <c r="G12" s="157"/>
    </row>
    <row r="13" spans="1:7" ht="18.75" x14ac:dyDescent="0.35">
      <c r="B13" s="17" t="s">
        <v>114</v>
      </c>
      <c r="C13" s="1" t="s">
        <v>111</v>
      </c>
      <c r="D13" s="24" t="s">
        <v>130</v>
      </c>
      <c r="F13" t="s">
        <v>131</v>
      </c>
    </row>
    <row r="14" spans="1:7" ht="17.25" x14ac:dyDescent="0.25">
      <c r="B14" s="18"/>
      <c r="C14" s="1" t="s">
        <v>111</v>
      </c>
      <c r="D14" s="24">
        <f>1.5*D11*(D12^3/12)</f>
        <v>7290</v>
      </c>
      <c r="E14" t="s">
        <v>115</v>
      </c>
    </row>
    <row r="15" spans="1:7" ht="18.75" x14ac:dyDescent="0.35">
      <c r="B15" s="17" t="s">
        <v>116</v>
      </c>
      <c r="C15" s="1" t="s">
        <v>111</v>
      </c>
      <c r="D15" s="24" t="s">
        <v>132</v>
      </c>
      <c r="F15" t="s">
        <v>133</v>
      </c>
    </row>
    <row r="16" spans="1:7" ht="17.25" x14ac:dyDescent="0.25">
      <c r="B16" s="17"/>
      <c r="C16" s="1" t="s">
        <v>111</v>
      </c>
      <c r="D16" s="25">
        <f>2*D11*(D12^3/12)</f>
        <v>9720</v>
      </c>
      <c r="E16" t="s">
        <v>115</v>
      </c>
    </row>
    <row r="17" spans="2:8" x14ac:dyDescent="0.25">
      <c r="B17" s="2" t="s">
        <v>117</v>
      </c>
      <c r="C17" s="1" t="s">
        <v>111</v>
      </c>
      <c r="D17" s="26">
        <f>C4</f>
        <v>20.5</v>
      </c>
      <c r="E17" t="s">
        <v>4</v>
      </c>
    </row>
    <row r="18" spans="2:8" x14ac:dyDescent="0.25">
      <c r="B18" s="2" t="s">
        <v>118</v>
      </c>
      <c r="C18" s="1" t="s">
        <v>111</v>
      </c>
      <c r="D18" s="26">
        <f>C5</f>
        <v>19.25</v>
      </c>
      <c r="E18" t="s">
        <v>4</v>
      </c>
    </row>
    <row r="19" spans="2:8" x14ac:dyDescent="0.25">
      <c r="B19" s="2" t="s">
        <v>119</v>
      </c>
      <c r="C19" s="1" t="s">
        <v>111</v>
      </c>
      <c r="D19" s="26">
        <f>'V1.3 (Updated 03-2025)'!E16</f>
        <v>8.5</v>
      </c>
      <c r="E19" t="s">
        <v>4</v>
      </c>
    </row>
    <row r="20" spans="2:8" x14ac:dyDescent="0.25">
      <c r="B20" s="2" t="s">
        <v>120</v>
      </c>
      <c r="C20" s="1" t="s">
        <v>111</v>
      </c>
      <c r="D20" s="26">
        <f>'V1.3 (Updated 03-2025)'!E33</f>
        <v>6</v>
      </c>
      <c r="E20" t="s">
        <v>10</v>
      </c>
    </row>
    <row r="21" spans="2:8" s="6" customFormat="1" ht="18.75" x14ac:dyDescent="0.35">
      <c r="B21" s="27" t="s">
        <v>134</v>
      </c>
      <c r="C21" s="12" t="s">
        <v>111</v>
      </c>
      <c r="D21" s="12">
        <f>(D17*(D20^3))</f>
        <v>4428</v>
      </c>
      <c r="E21" s="6" t="s">
        <v>135</v>
      </c>
    </row>
    <row r="22" spans="2:8" s="6" customFormat="1" ht="18.75" x14ac:dyDescent="0.35">
      <c r="B22" s="27" t="s">
        <v>136</v>
      </c>
      <c r="C22" s="12" t="s">
        <v>111</v>
      </c>
      <c r="D22" s="12">
        <f>(D18*(D20^3))</f>
        <v>4158</v>
      </c>
      <c r="E22" s="6" t="s">
        <v>135</v>
      </c>
    </row>
    <row r="23" spans="2:8" s="6" customFormat="1" ht="18.75" x14ac:dyDescent="0.35">
      <c r="B23" s="27" t="s">
        <v>137</v>
      </c>
      <c r="C23" s="12" t="s">
        <v>111</v>
      </c>
      <c r="D23" s="12">
        <f>(D19*(D20^3))</f>
        <v>1836</v>
      </c>
      <c r="E23" s="6" t="s">
        <v>135</v>
      </c>
    </row>
    <row r="24" spans="2:8" ht="18.75" x14ac:dyDescent="0.35">
      <c r="B24" s="2" t="s">
        <v>121</v>
      </c>
      <c r="C24" s="1" t="s">
        <v>111</v>
      </c>
      <c r="D24" s="19" t="s">
        <v>122</v>
      </c>
    </row>
    <row r="25" spans="2:8" s="6" customFormat="1" ht="18.75" x14ac:dyDescent="0.35">
      <c r="B25" s="28"/>
      <c r="C25" s="12" t="s">
        <v>111</v>
      </c>
      <c r="D25" s="29" t="s">
        <v>138</v>
      </c>
    </row>
    <row r="26" spans="2:8" x14ac:dyDescent="0.25">
      <c r="B26" s="2" t="s">
        <v>123</v>
      </c>
      <c r="C26" s="1" t="s">
        <v>111</v>
      </c>
      <c r="D26" s="1">
        <f>D16/D21</f>
        <v>2.1951219512195124</v>
      </c>
      <c r="E26" s="14"/>
    </row>
    <row r="27" spans="2:8" x14ac:dyDescent="0.25">
      <c r="B27" s="2" t="s">
        <v>124</v>
      </c>
      <c r="C27" s="1" t="s">
        <v>111</v>
      </c>
      <c r="D27" s="1">
        <f>D16/D22</f>
        <v>2.3376623376623376</v>
      </c>
      <c r="E27" s="14"/>
    </row>
    <row r="28" spans="2:8" x14ac:dyDescent="0.25">
      <c r="B28" s="2" t="s">
        <v>125</v>
      </c>
      <c r="C28" s="1" t="s">
        <v>111</v>
      </c>
      <c r="D28" s="1">
        <f>D14/D23</f>
        <v>3.9705882352941178</v>
      </c>
      <c r="E28" s="14"/>
    </row>
    <row r="29" spans="2:8" x14ac:dyDescent="0.25">
      <c r="B29" s="2" t="s">
        <v>126</v>
      </c>
      <c r="C29" s="1" t="s">
        <v>111</v>
      </c>
      <c r="D29" s="1">
        <f>(D26+D27+D28)/3</f>
        <v>2.8344575080586556</v>
      </c>
      <c r="E29" s="20" t="str">
        <f>IF(D29&lt;2,"&lt;2",IF(D29&gt;2,"&gt;2"))</f>
        <v>&gt;2</v>
      </c>
    </row>
    <row r="30" spans="2:8" x14ac:dyDescent="0.25">
      <c r="B30" s="21" t="s">
        <v>74</v>
      </c>
      <c r="C30" s="1" t="s">
        <v>111</v>
      </c>
      <c r="D30">
        <f>(D17-0.42)/(D18-0.42)</f>
        <v>1.0663834306956983</v>
      </c>
      <c r="E30" s="14"/>
    </row>
    <row r="31" spans="2:8" x14ac:dyDescent="0.25">
      <c r="B31" s="2"/>
      <c r="C31" s="1"/>
      <c r="D31" s="1"/>
      <c r="E31" s="14"/>
    </row>
    <row r="32" spans="2:8" ht="53.25" customHeight="1" x14ac:dyDescent="0.25">
      <c r="B32" s="3" t="s">
        <v>127</v>
      </c>
      <c r="C32" s="4" t="s">
        <v>111</v>
      </c>
      <c r="F32" s="4" t="s">
        <v>111</v>
      </c>
      <c r="G32" s="13">
        <f>MAX((D17*12*(0.8+(C8/200000)))/(36+5*D30*(D29-0.2)),5)</f>
        <v>5.4069489172843674</v>
      </c>
      <c r="H32" s="5" t="s">
        <v>10</v>
      </c>
    </row>
    <row r="33" spans="2:8" ht="52.5" customHeight="1" x14ac:dyDescent="0.25">
      <c r="B33" s="3" t="s">
        <v>128</v>
      </c>
      <c r="C33" s="4" t="s">
        <v>111</v>
      </c>
      <c r="F33" s="4" t="s">
        <v>111</v>
      </c>
      <c r="G33" s="13">
        <f>MAX(((D17*12*(0.8+(C8/200000)))/(36+9*D30)),3.5433)</f>
        <v>5.9345422781271848</v>
      </c>
      <c r="H33" s="5" t="s">
        <v>10</v>
      </c>
    </row>
    <row r="34" spans="2:8" x14ac:dyDescent="0.25">
      <c r="B34" s="2"/>
      <c r="C34" s="4"/>
      <c r="D34" s="1"/>
    </row>
    <row r="35" spans="2:8" ht="18" x14ac:dyDescent="0.35">
      <c r="B35" s="28" t="s">
        <v>139</v>
      </c>
      <c r="C35" s="30" t="s">
        <v>111</v>
      </c>
      <c r="D35" s="33">
        <f>IF(D29&lt;2,G32,IF(D29&gt;2,G33))</f>
        <v>5.9345422781271848</v>
      </c>
      <c r="E35" s="6" t="s">
        <v>10</v>
      </c>
    </row>
    <row r="36" spans="2:8" x14ac:dyDescent="0.25">
      <c r="B36" s="3"/>
      <c r="C36" s="1"/>
      <c r="D36" s="1"/>
    </row>
    <row r="37" spans="2:8" x14ac:dyDescent="0.25">
      <c r="B37" s="3"/>
      <c r="C37" s="1"/>
      <c r="D37" s="31"/>
    </row>
    <row r="38" spans="2:8" x14ac:dyDescent="0.25">
      <c r="B38" s="2"/>
      <c r="C38" s="1"/>
      <c r="D38" s="1"/>
    </row>
    <row r="39" spans="2:8" x14ac:dyDescent="0.25">
      <c r="B39" s="2"/>
      <c r="C39" s="1"/>
      <c r="D39" s="1"/>
    </row>
    <row r="40" spans="2:8" x14ac:dyDescent="0.25">
      <c r="B40" s="2"/>
      <c r="C40" s="1"/>
      <c r="D40" s="1"/>
    </row>
    <row r="41" spans="2:8" x14ac:dyDescent="0.25">
      <c r="B41" s="2"/>
      <c r="C41" s="1"/>
      <c r="D41" s="1"/>
    </row>
    <row r="42" spans="2:8" x14ac:dyDescent="0.25">
      <c r="B42" s="2"/>
      <c r="C42" s="1"/>
      <c r="D42" s="1"/>
    </row>
  </sheetData>
  <sheetProtection algorithmName="SHA-512" hashValue="kH4sH8nie4V1G+EZO888Q3mZn6OUfTHwMRen0CFkzVz9Ukr1QvYwFMnTkPYuot/cboZDz0pZXLV8b2nUBCSPng==" saltValue="5aVHWD/NLg+BzWV1v1IZ8Q==" spinCount="100000" sheet="1" objects="1" scenarios="1" selectLockedCells="1" selectUnlockedCells="1"/>
  <mergeCells count="4">
    <mergeCell ref="A6:B6"/>
    <mergeCell ref="A7:B7"/>
    <mergeCell ref="F11:G11"/>
    <mergeCell ref="F12:G12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25"/>
  <sheetViews>
    <sheetView topLeftCell="B1" workbookViewId="0">
      <selection activeCell="O28" sqref="O28"/>
    </sheetView>
  </sheetViews>
  <sheetFormatPr defaultRowHeight="15" x14ac:dyDescent="0.25"/>
  <sheetData>
    <row r="3" spans="3:19" x14ac:dyDescent="0.25">
      <c r="C3" s="1" t="s">
        <v>94</v>
      </c>
      <c r="D3" s="1"/>
      <c r="E3" s="1" t="s">
        <v>82</v>
      </c>
      <c r="F3" s="1" t="s">
        <v>83</v>
      </c>
      <c r="G3" s="1" t="s">
        <v>84</v>
      </c>
      <c r="H3" s="1" t="s">
        <v>85</v>
      </c>
      <c r="I3" s="1" t="s">
        <v>86</v>
      </c>
      <c r="J3" s="1" t="s">
        <v>87</v>
      </c>
      <c r="K3" s="1" t="s">
        <v>88</v>
      </c>
      <c r="L3" s="1" t="s">
        <v>89</v>
      </c>
      <c r="M3" s="1" t="s">
        <v>90</v>
      </c>
    </row>
    <row r="4" spans="3:19" x14ac:dyDescent="0.25">
      <c r="C4" s="1">
        <v>1</v>
      </c>
      <c r="D4" s="1" t="s">
        <v>95</v>
      </c>
      <c r="E4" s="1"/>
      <c r="F4" s="1">
        <v>4.4999999999999998E-2</v>
      </c>
      <c r="G4" s="1"/>
      <c r="H4" s="1">
        <v>0.05</v>
      </c>
      <c r="I4" s="1">
        <v>7.4999999999999997E-2</v>
      </c>
      <c r="J4" s="1">
        <v>7.0999999999999994E-2</v>
      </c>
      <c r="K4" s="1"/>
      <c r="L4" s="1">
        <v>3.3000000000000002E-2</v>
      </c>
      <c r="M4" s="1">
        <v>6.0999999999999999E-2</v>
      </c>
    </row>
    <row r="5" spans="3:19" x14ac:dyDescent="0.25">
      <c r="C5" s="1">
        <v>1</v>
      </c>
      <c r="D5" s="1" t="s">
        <v>96</v>
      </c>
      <c r="E5" s="1"/>
      <c r="F5" s="1">
        <v>4.4999999999999998E-2</v>
      </c>
      <c r="G5" s="1">
        <v>7.5999999999999998E-2</v>
      </c>
      <c r="H5" s="1">
        <v>0.05</v>
      </c>
      <c r="I5" s="1"/>
      <c r="J5" s="1"/>
      <c r="K5" s="1">
        <v>7.0999999999999994E-2</v>
      </c>
      <c r="L5" s="1">
        <v>6.0999999999999999E-2</v>
      </c>
      <c r="M5" s="1">
        <v>3.3000000000000002E-2</v>
      </c>
    </row>
    <row r="6" spans="3:19" x14ac:dyDescent="0.25">
      <c r="C6" s="1">
        <v>0.95</v>
      </c>
      <c r="D6" s="1" t="s">
        <v>95</v>
      </c>
      <c r="E6" s="1"/>
      <c r="F6" s="1">
        <v>0.05</v>
      </c>
      <c r="G6" s="1"/>
      <c r="H6" s="1">
        <v>5.5E-2</v>
      </c>
      <c r="I6" s="1">
        <v>7.9000000000000001E-2</v>
      </c>
      <c r="J6" s="1">
        <v>7.4999999999999997E-2</v>
      </c>
      <c r="K6" s="1"/>
      <c r="L6" s="1">
        <v>3.7999999999999999E-2</v>
      </c>
      <c r="M6" s="1">
        <v>6.5000000000000002E-2</v>
      </c>
    </row>
    <row r="7" spans="3:19" x14ac:dyDescent="0.25">
      <c r="C7" s="1">
        <v>0.95</v>
      </c>
      <c r="D7" s="1" t="s">
        <v>96</v>
      </c>
      <c r="E7" s="1"/>
      <c r="F7" s="1">
        <v>4.1000000000000002E-2</v>
      </c>
      <c r="G7" s="1">
        <v>7.1999999999999995E-2</v>
      </c>
      <c r="H7" s="1">
        <v>4.4999999999999998E-2</v>
      </c>
      <c r="I7" s="1"/>
      <c r="J7" s="1"/>
      <c r="K7" s="1">
        <v>6.7000000000000004E-2</v>
      </c>
      <c r="L7" s="1">
        <v>5.6000000000000001E-2</v>
      </c>
      <c r="M7" s="1">
        <v>2.9000000000000001E-2</v>
      </c>
      <c r="O7" s="6"/>
      <c r="P7" s="6"/>
      <c r="Q7" s="6"/>
      <c r="R7" s="6"/>
      <c r="S7" s="32"/>
    </row>
    <row r="8" spans="3:19" x14ac:dyDescent="0.25">
      <c r="C8" s="1">
        <v>0.9</v>
      </c>
      <c r="D8" s="1" t="s">
        <v>95</v>
      </c>
      <c r="E8" s="1"/>
      <c r="F8" s="1">
        <v>5.5E-2</v>
      </c>
      <c r="G8" s="1"/>
      <c r="H8" s="1">
        <v>0.06</v>
      </c>
      <c r="I8" s="1">
        <v>0.08</v>
      </c>
      <c r="J8" s="1">
        <v>7.9000000000000001E-2</v>
      </c>
      <c r="K8" s="1"/>
      <c r="L8" s="1">
        <v>4.2999999999999997E-2</v>
      </c>
      <c r="M8" s="1">
        <v>6.8000000000000005E-2</v>
      </c>
      <c r="O8" s="6"/>
      <c r="P8" s="6"/>
      <c r="Q8" s="6"/>
      <c r="R8" s="6"/>
      <c r="S8" s="32"/>
    </row>
    <row r="9" spans="3:19" x14ac:dyDescent="0.25">
      <c r="C9" s="1">
        <v>0.9</v>
      </c>
      <c r="D9" s="1" t="s">
        <v>96</v>
      </c>
      <c r="E9" s="1"/>
      <c r="F9" s="1">
        <v>3.6999999999999998E-2</v>
      </c>
      <c r="G9" s="1">
        <v>7.0000000000000007E-2</v>
      </c>
      <c r="H9" s="1">
        <v>0.04</v>
      </c>
      <c r="I9" s="1"/>
      <c r="J9" s="1"/>
      <c r="K9" s="1">
        <v>6.2E-2</v>
      </c>
      <c r="L9" s="1">
        <v>5.1999999999999998E-2</v>
      </c>
      <c r="M9" s="1">
        <v>2.5000000000000001E-2</v>
      </c>
      <c r="O9" s="6"/>
      <c r="P9" s="6" t="s">
        <v>97</v>
      </c>
      <c r="Q9" s="11">
        <f>'V1.3 (Updated 03-2025)'!E47</f>
        <v>0.9</v>
      </c>
      <c r="R9" s="6"/>
      <c r="S9" s="32"/>
    </row>
    <row r="10" spans="3:19" x14ac:dyDescent="0.25">
      <c r="C10" s="1">
        <v>0.85</v>
      </c>
      <c r="D10" s="1" t="s">
        <v>95</v>
      </c>
      <c r="E10" s="1"/>
      <c r="F10" s="1">
        <v>0.06</v>
      </c>
      <c r="G10" s="1"/>
      <c r="H10" s="1">
        <v>6.6000000000000003E-2</v>
      </c>
      <c r="I10" s="1">
        <v>8.2000000000000003E-2</v>
      </c>
      <c r="J10" s="1">
        <v>8.3000000000000004E-2</v>
      </c>
      <c r="K10" s="1"/>
      <c r="L10" s="1">
        <v>4.9000000000000002E-2</v>
      </c>
      <c r="M10" s="1">
        <v>7.1999999999999995E-2</v>
      </c>
      <c r="O10" s="6"/>
      <c r="P10" s="6" t="s">
        <v>98</v>
      </c>
      <c r="Q10" s="11">
        <f>'V1.3 (Updated 03-2025)'!E48</f>
        <v>0.95000000000000007</v>
      </c>
      <c r="R10" s="6"/>
      <c r="S10" s="32"/>
    </row>
    <row r="11" spans="3:19" x14ac:dyDescent="0.25">
      <c r="C11" s="1">
        <v>0.85</v>
      </c>
      <c r="D11" s="1" t="s">
        <v>96</v>
      </c>
      <c r="E11" s="1"/>
      <c r="F11" s="1">
        <v>3.1E-2</v>
      </c>
      <c r="G11" s="1">
        <v>6.5000000000000002E-2</v>
      </c>
      <c r="H11" s="1">
        <v>3.4000000000000002E-2</v>
      </c>
      <c r="I11" s="1"/>
      <c r="J11" s="1"/>
      <c r="K11" s="1">
        <v>5.7000000000000002E-2</v>
      </c>
      <c r="L11" s="1">
        <v>4.5999999999999999E-2</v>
      </c>
      <c r="M11" s="1">
        <v>2.1000000000000001E-2</v>
      </c>
      <c r="O11" s="6"/>
      <c r="P11" s="6" t="s">
        <v>91</v>
      </c>
      <c r="Q11" s="12" t="str">
        <f>'V1.3 (Updated 03-2025)'!E23</f>
        <v>Case 4</v>
      </c>
      <c r="R11" s="6"/>
      <c r="S11" s="32"/>
    </row>
    <row r="12" spans="3:19" x14ac:dyDescent="0.25">
      <c r="C12" s="1">
        <v>0.8</v>
      </c>
      <c r="D12" s="1" t="s">
        <v>95</v>
      </c>
      <c r="E12" s="1"/>
      <c r="F12" s="1">
        <v>6.5000000000000002E-2</v>
      </c>
      <c r="G12" s="1"/>
      <c r="H12" s="1">
        <v>7.0999999999999994E-2</v>
      </c>
      <c r="I12" s="1">
        <v>8.3000000000000004E-2</v>
      </c>
      <c r="J12" s="1">
        <v>8.5999999999999993E-2</v>
      </c>
      <c r="K12" s="1"/>
      <c r="L12" s="1">
        <v>5.5E-2</v>
      </c>
      <c r="M12" s="1">
        <v>7.4999999999999997E-2</v>
      </c>
      <c r="O12" s="6"/>
      <c r="P12" s="6" t="s">
        <v>95</v>
      </c>
      <c r="Q12" s="6">
        <f t="array" ref="Q12">INDEX(E4:M25,MATCH(Q9&amp;P12,C4:C25&amp;D4:D25,0),MATCH(Q11,E3:M3,0))</f>
        <v>0.06</v>
      </c>
      <c r="R12" s="6"/>
      <c r="S12" s="32"/>
    </row>
    <row r="13" spans="3:19" x14ac:dyDescent="0.25">
      <c r="C13" s="1">
        <v>0.8</v>
      </c>
      <c r="D13" s="1" t="s">
        <v>96</v>
      </c>
      <c r="E13" s="1"/>
      <c r="F13" s="1">
        <v>2.7E-2</v>
      </c>
      <c r="G13" s="1">
        <v>6.0999999999999999E-2</v>
      </c>
      <c r="H13" s="1">
        <v>2.9000000000000001E-2</v>
      </c>
      <c r="I13" s="1"/>
      <c r="J13" s="1"/>
      <c r="K13" s="1">
        <v>5.0999999999999997E-2</v>
      </c>
      <c r="L13" s="1">
        <v>4.1000000000000002E-2</v>
      </c>
      <c r="M13" s="1">
        <v>1.7000000000000001E-2</v>
      </c>
      <c r="O13" s="6"/>
      <c r="P13" s="6" t="s">
        <v>96</v>
      </c>
      <c r="Q13" s="6">
        <f t="array" ref="Q13">INDEX(E4:M25,MATCH(Q10&amp;P13,C4:C25&amp;D4:D25,0),MATCH(Q11,E3:M3,0))</f>
        <v>4.4999999999999998E-2</v>
      </c>
      <c r="R13" s="6"/>
      <c r="S13" s="32"/>
    </row>
    <row r="14" spans="3:19" x14ac:dyDescent="0.25">
      <c r="C14" s="1">
        <v>0.75</v>
      </c>
      <c r="D14" s="1" t="s">
        <v>95</v>
      </c>
      <c r="E14" s="1"/>
      <c r="F14" s="1">
        <v>6.9000000000000006E-2</v>
      </c>
      <c r="G14" s="1"/>
      <c r="H14" s="1">
        <v>7.5999999999999998E-2</v>
      </c>
      <c r="I14" s="1">
        <v>8.5000000000000006E-2</v>
      </c>
      <c r="J14" s="1">
        <v>8.7999999999999995E-2</v>
      </c>
      <c r="K14" s="1"/>
      <c r="L14" s="1">
        <v>6.0999999999999999E-2</v>
      </c>
      <c r="M14" s="1">
        <v>7.8E-2</v>
      </c>
      <c r="O14" s="6"/>
      <c r="P14" s="6"/>
      <c r="Q14" s="6"/>
      <c r="R14" s="6"/>
      <c r="S14" s="32"/>
    </row>
    <row r="15" spans="3:19" x14ac:dyDescent="0.25">
      <c r="C15" s="1">
        <v>0.75</v>
      </c>
      <c r="D15" s="1" t="s">
        <v>96</v>
      </c>
      <c r="E15" s="1"/>
      <c r="F15" s="1">
        <v>2.1999999999999999E-2</v>
      </c>
      <c r="G15" s="1">
        <v>5.6000000000000001E-2</v>
      </c>
      <c r="H15" s="1">
        <v>2.4E-2</v>
      </c>
      <c r="I15" s="1"/>
      <c r="J15" s="1"/>
      <c r="K15" s="1">
        <v>4.3999999999999997E-2</v>
      </c>
      <c r="L15" s="1">
        <v>3.5999999999999997E-2</v>
      </c>
      <c r="M15" s="1">
        <v>1.4E-2</v>
      </c>
      <c r="O15" s="6"/>
      <c r="P15" s="6"/>
      <c r="Q15" s="6"/>
      <c r="R15" s="6"/>
      <c r="S15" s="32"/>
    </row>
    <row r="16" spans="3:19" x14ac:dyDescent="0.25">
      <c r="C16" s="1">
        <v>0.7</v>
      </c>
      <c r="D16" s="1" t="s">
        <v>95</v>
      </c>
      <c r="E16" s="1"/>
      <c r="F16" s="1">
        <v>7.3999999999999996E-2</v>
      </c>
      <c r="G16" s="1"/>
      <c r="H16" s="1">
        <v>8.1000000000000003E-2</v>
      </c>
      <c r="I16" s="1">
        <v>8.5999999999999993E-2</v>
      </c>
      <c r="J16" s="1">
        <v>9.0999999999999998E-2</v>
      </c>
      <c r="K16" s="1"/>
      <c r="L16" s="1">
        <v>6.8000000000000005E-2</v>
      </c>
      <c r="M16" s="1">
        <v>8.1000000000000003E-2</v>
      </c>
      <c r="O16" s="6"/>
      <c r="P16" s="6"/>
      <c r="Q16" s="6"/>
      <c r="R16" s="6"/>
      <c r="S16" s="32"/>
    </row>
    <row r="17" spans="3:19" x14ac:dyDescent="0.25">
      <c r="C17" s="1">
        <v>0.7</v>
      </c>
      <c r="D17" s="1" t="s">
        <v>96</v>
      </c>
      <c r="E17" s="1"/>
      <c r="F17" s="1">
        <v>1.7000000000000001E-2</v>
      </c>
      <c r="G17" s="1">
        <v>0.05</v>
      </c>
      <c r="H17" s="1">
        <v>1.9E-2</v>
      </c>
      <c r="I17" s="1"/>
      <c r="J17" s="1"/>
      <c r="K17" s="1">
        <v>3.7999999999999999E-2</v>
      </c>
      <c r="L17" s="1">
        <v>2.9000000000000001E-2</v>
      </c>
      <c r="M17" s="1">
        <v>1.0999999999999999E-2</v>
      </c>
      <c r="O17" s="32"/>
      <c r="P17" s="32"/>
      <c r="Q17" s="32"/>
      <c r="R17" s="32"/>
      <c r="S17" s="32"/>
    </row>
    <row r="18" spans="3:19" x14ac:dyDescent="0.25">
      <c r="C18" s="1">
        <v>0.65</v>
      </c>
      <c r="D18" s="1" t="s">
        <v>95</v>
      </c>
      <c r="E18" s="1"/>
      <c r="F18" s="1">
        <v>7.6999999999999999E-2</v>
      </c>
      <c r="G18" s="1"/>
      <c r="H18" s="1">
        <v>8.5000000000000006E-2</v>
      </c>
      <c r="I18" s="1">
        <v>8.6999999999999994E-2</v>
      </c>
      <c r="J18" s="1">
        <v>9.2999999999999999E-2</v>
      </c>
      <c r="K18" s="1"/>
      <c r="L18" s="1">
        <v>7.3999999999999996E-2</v>
      </c>
      <c r="M18" s="1">
        <v>8.3000000000000004E-2</v>
      </c>
      <c r="O18" s="32"/>
      <c r="P18" s="32"/>
      <c r="Q18" s="32"/>
      <c r="R18" s="32"/>
      <c r="S18" s="32"/>
    </row>
    <row r="19" spans="3:19" x14ac:dyDescent="0.25">
      <c r="C19" s="1">
        <v>0.65</v>
      </c>
      <c r="D19" s="1" t="s">
        <v>96</v>
      </c>
      <c r="E19" s="1"/>
      <c r="F19" s="1">
        <v>1.4E-2</v>
      </c>
      <c r="G19" s="1">
        <v>4.2999999999999997E-2</v>
      </c>
      <c r="H19" s="1">
        <v>1.4999999999999999E-2</v>
      </c>
      <c r="I19" s="1"/>
      <c r="J19" s="1"/>
      <c r="K19" s="1">
        <v>3.1E-2</v>
      </c>
      <c r="L19" s="1">
        <v>2.4E-2</v>
      </c>
      <c r="M19" s="1">
        <v>8.0000000000000002E-3</v>
      </c>
    </row>
    <row r="20" spans="3:19" x14ac:dyDescent="0.25">
      <c r="C20" s="1">
        <v>0.6</v>
      </c>
      <c r="D20" s="1" t="s">
        <v>95</v>
      </c>
      <c r="E20" s="1"/>
      <c r="F20" s="1">
        <v>8.1000000000000003E-2</v>
      </c>
      <c r="G20" s="1"/>
      <c r="H20" s="1">
        <v>8.8999999999999996E-2</v>
      </c>
      <c r="I20" s="1">
        <v>8.7999999999999995E-2</v>
      </c>
      <c r="J20" s="1">
        <v>9.5000000000000001E-2</v>
      </c>
      <c r="K20" s="1"/>
      <c r="L20" s="1">
        <v>0.08</v>
      </c>
      <c r="M20" s="1">
        <v>8.5000000000000006E-2</v>
      </c>
    </row>
    <row r="21" spans="3:19" x14ac:dyDescent="0.25">
      <c r="C21" s="1">
        <v>0.6</v>
      </c>
      <c r="D21" s="1" t="s">
        <v>96</v>
      </c>
      <c r="E21" s="1"/>
      <c r="F21" s="1">
        <v>0.01</v>
      </c>
      <c r="G21" s="1">
        <v>3.5000000000000003E-2</v>
      </c>
      <c r="H21" s="1">
        <v>1.0999999999999999E-2</v>
      </c>
      <c r="I21" s="1"/>
      <c r="J21" s="1"/>
      <c r="K21" s="1">
        <v>2.4E-2</v>
      </c>
      <c r="L21" s="1">
        <v>1.7999999999999999E-2</v>
      </c>
      <c r="M21" s="1">
        <v>6.0000000000000001E-3</v>
      </c>
    </row>
    <row r="22" spans="3:19" x14ac:dyDescent="0.25">
      <c r="C22" s="1">
        <v>0.55000000000000004</v>
      </c>
      <c r="D22" s="1" t="s">
        <v>95</v>
      </c>
      <c r="E22" s="1"/>
      <c r="F22" s="1">
        <v>8.4000000000000005E-2</v>
      </c>
      <c r="G22" s="1"/>
      <c r="H22" s="1">
        <v>9.1999999999999998E-2</v>
      </c>
      <c r="I22" s="1">
        <v>8.8999999999999996E-2</v>
      </c>
      <c r="J22" s="1">
        <v>9.6000000000000002E-2</v>
      </c>
      <c r="K22" s="1"/>
      <c r="L22" s="1">
        <v>8.5000000000000006E-2</v>
      </c>
      <c r="M22" s="1">
        <v>8.5999999999999993E-2</v>
      </c>
    </row>
    <row r="23" spans="3:19" x14ac:dyDescent="0.25">
      <c r="C23" s="1">
        <v>0.55000000000000004</v>
      </c>
      <c r="D23" s="1" t="s">
        <v>96</v>
      </c>
      <c r="E23" s="1"/>
      <c r="F23" s="1">
        <v>7.0000000000000001E-3</v>
      </c>
      <c r="G23" s="1">
        <v>2.8000000000000001E-2</v>
      </c>
      <c r="H23" s="1">
        <v>8.0000000000000002E-3</v>
      </c>
      <c r="I23" s="1"/>
      <c r="J23" s="1"/>
      <c r="K23" s="1">
        <v>1.9E-2</v>
      </c>
      <c r="L23" s="1">
        <v>1.4E-2</v>
      </c>
      <c r="M23" s="1">
        <v>5.0000000000000001E-3</v>
      </c>
    </row>
    <row r="24" spans="3:19" x14ac:dyDescent="0.25">
      <c r="C24" s="1">
        <v>0.5</v>
      </c>
      <c r="D24" s="1" t="s">
        <v>95</v>
      </c>
      <c r="E24" s="1"/>
      <c r="F24" s="1">
        <v>8.5999999999999993E-2</v>
      </c>
      <c r="G24" s="1"/>
      <c r="H24" s="1">
        <v>9.4E-2</v>
      </c>
      <c r="I24" s="1">
        <v>0.09</v>
      </c>
      <c r="J24" s="1">
        <v>9.7000000000000003E-2</v>
      </c>
      <c r="K24" s="1"/>
      <c r="L24" s="1">
        <v>8.8999999999999996E-2</v>
      </c>
      <c r="M24" s="1">
        <v>8.7999999999999995E-2</v>
      </c>
    </row>
    <row r="25" spans="3:19" x14ac:dyDescent="0.25">
      <c r="C25" s="1">
        <v>0.5</v>
      </c>
      <c r="D25" s="1" t="s">
        <v>96</v>
      </c>
      <c r="E25" s="1"/>
      <c r="F25" s="1">
        <v>6.0000000000000001E-3</v>
      </c>
      <c r="G25" s="1">
        <v>2.1999999999999999E-2</v>
      </c>
      <c r="H25" s="1">
        <v>6.0000000000000001E-3</v>
      </c>
      <c r="I25" s="1"/>
      <c r="J25" s="1"/>
      <c r="K25" s="1">
        <v>1.4E-2</v>
      </c>
      <c r="L25" s="1">
        <v>0.01</v>
      </c>
      <c r="M25" s="1">
        <v>3.0000000000000001E-3</v>
      </c>
    </row>
  </sheetData>
  <sheetProtection algorithmName="SHA-512" hashValue="V4rcYbzSAvkuDHqnAKSIe6XaVC6B7QaYHh29muAvY1BDdezTl0tBvqDxulOrghGA0JGGeY6WqEw+bAa8BJ4KXA==" saltValue="E4yrc2bWi5+phFx02eByXQ==" spinCount="100000" sheet="1" objects="1" scenarios="1"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W29"/>
  <sheetViews>
    <sheetView topLeftCell="B1" workbookViewId="0">
      <selection activeCell="N33" sqref="N33"/>
    </sheetView>
  </sheetViews>
  <sheetFormatPr defaultRowHeight="15" x14ac:dyDescent="0.25"/>
  <cols>
    <col min="8" max="8" width="9.140625" style="32"/>
  </cols>
  <sheetData>
    <row r="4" spans="2:23" x14ac:dyDescent="0.25">
      <c r="C4" s="7"/>
      <c r="D4" s="7"/>
      <c r="E4" s="8" t="s">
        <v>82</v>
      </c>
      <c r="F4" s="8" t="s">
        <v>83</v>
      </c>
      <c r="G4" s="8" t="s">
        <v>84</v>
      </c>
      <c r="H4" s="34" t="s">
        <v>85</v>
      </c>
      <c r="I4" s="8" t="s">
        <v>86</v>
      </c>
      <c r="J4" s="8" t="s">
        <v>87</v>
      </c>
      <c r="K4" s="8" t="s">
        <v>88</v>
      </c>
      <c r="L4" s="8" t="s">
        <v>89</v>
      </c>
      <c r="M4" s="8" t="s">
        <v>90</v>
      </c>
      <c r="O4" s="32"/>
      <c r="P4" s="32"/>
      <c r="Q4" s="32"/>
      <c r="R4" s="32"/>
      <c r="S4" s="32"/>
      <c r="T4" s="32"/>
      <c r="U4" s="32"/>
      <c r="V4" s="32"/>
      <c r="W4" s="32"/>
    </row>
    <row r="5" spans="2:23" x14ac:dyDescent="0.25">
      <c r="B5">
        <v>1</v>
      </c>
      <c r="C5" s="9">
        <v>1</v>
      </c>
      <c r="D5" s="10" t="s">
        <v>99</v>
      </c>
      <c r="E5" s="7">
        <v>3.5999999999999997E-2</v>
      </c>
      <c r="F5" s="7">
        <v>1.7999999999999999E-2</v>
      </c>
      <c r="G5" s="7">
        <v>1.7999999999999999E-2</v>
      </c>
      <c r="H5" s="35">
        <v>2.7E-2</v>
      </c>
      <c r="I5" s="7">
        <v>2.7E-2</v>
      </c>
      <c r="J5" s="7">
        <v>3.3000000000000002E-2</v>
      </c>
      <c r="K5" s="7">
        <v>2.7E-2</v>
      </c>
      <c r="L5" s="7">
        <v>0.02</v>
      </c>
      <c r="M5" s="7">
        <v>2.3E-2</v>
      </c>
      <c r="O5" s="32"/>
      <c r="P5" s="32"/>
      <c r="Q5" s="32"/>
      <c r="R5" s="32"/>
      <c r="S5" s="32"/>
      <c r="T5" s="32"/>
      <c r="U5" s="32"/>
      <c r="V5" s="32"/>
      <c r="W5" s="32"/>
    </row>
    <row r="6" spans="2:23" x14ac:dyDescent="0.25">
      <c r="B6">
        <v>2</v>
      </c>
      <c r="C6" s="9">
        <v>1</v>
      </c>
      <c r="D6" s="10" t="s">
        <v>100</v>
      </c>
      <c r="E6" s="7">
        <v>3.5999999999999997E-2</v>
      </c>
      <c r="F6" s="7">
        <v>1.7999999999999999E-2</v>
      </c>
      <c r="G6" s="7">
        <v>2.7E-2</v>
      </c>
      <c r="H6" s="35">
        <v>2.7E-2</v>
      </c>
      <c r="I6" s="7">
        <v>1.7999999999999999E-2</v>
      </c>
      <c r="J6" s="7">
        <v>2.7E-2</v>
      </c>
      <c r="K6" s="7">
        <v>3.3000000000000002E-2</v>
      </c>
      <c r="L6" s="7">
        <v>2.3E-2</v>
      </c>
      <c r="M6" s="7">
        <v>0.02</v>
      </c>
      <c r="O6" s="32"/>
      <c r="P6" s="32"/>
      <c r="Q6" s="32"/>
      <c r="R6" s="32"/>
      <c r="S6" s="32"/>
      <c r="T6" s="32"/>
      <c r="U6" s="32"/>
      <c r="V6" s="32"/>
      <c r="W6" s="32"/>
    </row>
    <row r="7" spans="2:23" x14ac:dyDescent="0.25">
      <c r="B7">
        <v>3</v>
      </c>
      <c r="C7" s="9">
        <v>0.95</v>
      </c>
      <c r="D7" s="10" t="s">
        <v>99</v>
      </c>
      <c r="E7" s="7">
        <v>0.04</v>
      </c>
      <c r="F7" s="7">
        <v>0.02</v>
      </c>
      <c r="G7" s="7">
        <v>2.1000000000000001E-2</v>
      </c>
      <c r="H7" s="35">
        <v>0.03</v>
      </c>
      <c r="I7" s="7">
        <v>2.8000000000000001E-2</v>
      </c>
      <c r="J7" s="7">
        <v>3.5999999999999997E-2</v>
      </c>
      <c r="K7" s="7">
        <v>3.1E-2</v>
      </c>
      <c r="L7" s="7">
        <v>2.1999999999999999E-2</v>
      </c>
      <c r="M7" s="7">
        <v>2.4E-2</v>
      </c>
      <c r="O7" s="32"/>
      <c r="P7" s="32"/>
      <c r="Q7" s="32"/>
      <c r="R7" s="32"/>
      <c r="S7" s="32"/>
      <c r="T7" s="32"/>
      <c r="U7" s="32"/>
      <c r="V7" s="32"/>
      <c r="W7" s="32"/>
    </row>
    <row r="8" spans="2:23" x14ac:dyDescent="0.25">
      <c r="B8">
        <v>4</v>
      </c>
      <c r="C8" s="9">
        <v>0.95</v>
      </c>
      <c r="D8" s="10" t="s">
        <v>100</v>
      </c>
      <c r="E8" s="7">
        <v>3.3000000000000002E-2</v>
      </c>
      <c r="F8" s="7">
        <v>1.6E-2</v>
      </c>
      <c r="G8" s="7">
        <v>2.5000000000000001E-2</v>
      </c>
      <c r="H8" s="35">
        <v>2.4E-2</v>
      </c>
      <c r="I8" s="7">
        <v>1.4999999999999999E-2</v>
      </c>
      <c r="J8" s="7">
        <v>2.4E-2</v>
      </c>
      <c r="K8" s="7">
        <v>3.1E-2</v>
      </c>
      <c r="L8" s="7">
        <v>2.1000000000000001E-2</v>
      </c>
      <c r="M8" s="7">
        <v>1.7000000000000001E-2</v>
      </c>
      <c r="O8" s="32"/>
      <c r="P8" s="32"/>
      <c r="Q8" s="32"/>
      <c r="R8" s="32"/>
      <c r="S8" s="32"/>
      <c r="T8" s="32"/>
      <c r="U8" s="32"/>
      <c r="V8" s="32"/>
      <c r="W8" s="32"/>
    </row>
    <row r="9" spans="2:23" x14ac:dyDescent="0.25">
      <c r="B9">
        <v>5</v>
      </c>
      <c r="C9" s="9">
        <v>0.9</v>
      </c>
      <c r="D9" s="10" t="s">
        <v>99</v>
      </c>
      <c r="E9" s="7">
        <v>4.4999999999999998E-2</v>
      </c>
      <c r="F9" s="7">
        <v>2.1999999999999999E-2</v>
      </c>
      <c r="G9" s="7">
        <v>2.5000000000000001E-2</v>
      </c>
      <c r="H9" s="35">
        <v>3.3000000000000002E-2</v>
      </c>
      <c r="I9" s="7">
        <v>2.9000000000000001E-2</v>
      </c>
      <c r="J9" s="7">
        <v>3.9E-2</v>
      </c>
      <c r="K9" s="7">
        <v>3.5000000000000003E-2</v>
      </c>
      <c r="L9" s="7">
        <v>2.5000000000000001E-2</v>
      </c>
      <c r="M9" s="7">
        <v>2.5999999999999999E-2</v>
      </c>
      <c r="O9" s="32"/>
      <c r="P9" s="32"/>
      <c r="Q9" s="32" t="s">
        <v>97</v>
      </c>
      <c r="R9" s="36">
        <f>'V1.3 (Updated 03-2025)'!E47</f>
        <v>0.9</v>
      </c>
      <c r="S9" s="32"/>
      <c r="T9" s="32"/>
      <c r="U9" s="32"/>
      <c r="V9" s="32"/>
      <c r="W9" s="32"/>
    </row>
    <row r="10" spans="2:23" x14ac:dyDescent="0.25">
      <c r="B10">
        <v>6</v>
      </c>
      <c r="C10" s="9">
        <v>0.9</v>
      </c>
      <c r="D10" s="10" t="s">
        <v>100</v>
      </c>
      <c r="E10" s="7">
        <v>2.9000000000000001E-2</v>
      </c>
      <c r="F10" s="7">
        <v>1.4E-2</v>
      </c>
      <c r="G10" s="7">
        <v>2.4E-2</v>
      </c>
      <c r="H10" s="35">
        <v>2.1999999999999999E-2</v>
      </c>
      <c r="I10" s="7">
        <v>1.2999999999999999E-2</v>
      </c>
      <c r="J10" s="7">
        <v>2.1000000000000001E-2</v>
      </c>
      <c r="K10" s="7">
        <v>2.8000000000000001E-2</v>
      </c>
      <c r="L10" s="7">
        <v>1.9E-2</v>
      </c>
      <c r="M10" s="7">
        <v>1.4999999999999999E-2</v>
      </c>
      <c r="O10" s="32"/>
      <c r="P10" s="32"/>
      <c r="Q10" s="32" t="s">
        <v>98</v>
      </c>
      <c r="R10" s="36">
        <f>'V1.3 (Updated 03-2025)'!E48</f>
        <v>0.95000000000000007</v>
      </c>
      <c r="S10" s="32"/>
      <c r="T10" s="32"/>
      <c r="U10" s="32"/>
      <c r="V10" s="32"/>
      <c r="W10" s="32"/>
    </row>
    <row r="11" spans="2:23" x14ac:dyDescent="0.25">
      <c r="B11">
        <v>7</v>
      </c>
      <c r="C11" s="9">
        <v>0.85</v>
      </c>
      <c r="D11" s="10" t="s">
        <v>99</v>
      </c>
      <c r="E11" s="7">
        <v>0.05</v>
      </c>
      <c r="F11" s="7">
        <v>2.4E-2</v>
      </c>
      <c r="G11" s="7">
        <v>2.9000000000000001E-2</v>
      </c>
      <c r="H11" s="35">
        <v>3.5999999999999997E-2</v>
      </c>
      <c r="I11" s="7">
        <v>3.1E-2</v>
      </c>
      <c r="J11" s="7">
        <v>4.2000000000000003E-2</v>
      </c>
      <c r="K11" s="7">
        <v>0.04</v>
      </c>
      <c r="L11" s="7">
        <v>2.9000000000000001E-2</v>
      </c>
      <c r="M11" s="7">
        <v>2.8000000000000001E-2</v>
      </c>
      <c r="O11" s="32"/>
      <c r="P11" s="32"/>
      <c r="Q11" s="32" t="s">
        <v>91</v>
      </c>
      <c r="R11" s="25" t="str">
        <f>'V1.3 (Updated 03-2025)'!E23</f>
        <v>Case 4</v>
      </c>
      <c r="S11" s="32"/>
      <c r="T11" s="32"/>
      <c r="U11" s="32"/>
      <c r="V11" s="32"/>
      <c r="W11" s="32"/>
    </row>
    <row r="12" spans="2:23" x14ac:dyDescent="0.25">
      <c r="B12">
        <v>8</v>
      </c>
      <c r="C12" s="9">
        <v>0.85</v>
      </c>
      <c r="D12" s="10" t="s">
        <v>100</v>
      </c>
      <c r="E12" s="7">
        <v>2.5999999999999999E-2</v>
      </c>
      <c r="F12" s="7">
        <v>1.2E-2</v>
      </c>
      <c r="G12" s="7">
        <v>2.1999999999999999E-2</v>
      </c>
      <c r="H12" s="35">
        <v>1.9E-2</v>
      </c>
      <c r="I12" s="7">
        <v>1.0999999999999999E-2</v>
      </c>
      <c r="J12" s="7">
        <v>1.7000000000000001E-2</v>
      </c>
      <c r="K12" s="7">
        <v>2.5000000000000001E-2</v>
      </c>
      <c r="L12" s="7">
        <v>1.7000000000000001E-2</v>
      </c>
      <c r="M12" s="7">
        <v>1.2999999999999999E-2</v>
      </c>
      <c r="O12" s="32"/>
      <c r="P12" s="32"/>
      <c r="Q12" s="32" t="s">
        <v>99</v>
      </c>
      <c r="R12" s="32">
        <f t="array" ref="R12">INDEX(E5:M26,MATCH(R9&amp;Q12,C5:C26&amp;D5:D26,0),MATCH(R11,E4:M4,0))</f>
        <v>3.3000000000000002E-2</v>
      </c>
      <c r="S12" s="32"/>
      <c r="T12" s="32"/>
      <c r="U12" s="32"/>
      <c r="V12" s="32"/>
      <c r="W12" s="32"/>
    </row>
    <row r="13" spans="2:23" x14ac:dyDescent="0.25">
      <c r="B13">
        <v>9</v>
      </c>
      <c r="C13" s="9">
        <v>0.8</v>
      </c>
      <c r="D13" s="10" t="s">
        <v>99</v>
      </c>
      <c r="E13" s="7">
        <v>5.6000000000000001E-2</v>
      </c>
      <c r="F13" s="7">
        <v>2.5999999999999999E-2</v>
      </c>
      <c r="G13" s="7">
        <v>3.4000000000000002E-2</v>
      </c>
      <c r="H13" s="35">
        <v>3.9E-2</v>
      </c>
      <c r="I13" s="7">
        <v>3.2000000000000001E-2</v>
      </c>
      <c r="J13" s="7">
        <v>4.4999999999999998E-2</v>
      </c>
      <c r="K13" s="7">
        <v>4.4999999999999998E-2</v>
      </c>
      <c r="L13" s="7">
        <v>3.2000000000000001E-2</v>
      </c>
      <c r="M13" s="7">
        <v>2.9000000000000001E-2</v>
      </c>
      <c r="O13" s="32"/>
      <c r="P13" s="32"/>
      <c r="Q13" s="32" t="s">
        <v>100</v>
      </c>
      <c r="R13" s="32">
        <f t="array" ref="R13">INDEX(E5:M26,MATCH(R10&amp;Q13,C5:C26&amp;D5:D26,0),MATCH(R11,E4:M4,0))</f>
        <v>2.4E-2</v>
      </c>
      <c r="S13" s="32"/>
      <c r="T13" s="32"/>
      <c r="U13" s="32"/>
      <c r="V13" s="32"/>
      <c r="W13" s="32"/>
    </row>
    <row r="14" spans="2:23" x14ac:dyDescent="0.25">
      <c r="B14">
        <v>10</v>
      </c>
      <c r="C14" s="9">
        <v>0.8</v>
      </c>
      <c r="D14" s="10" t="s">
        <v>100</v>
      </c>
      <c r="E14" s="7">
        <v>2.3E-2</v>
      </c>
      <c r="F14" s="7">
        <v>1.0999999999999999E-2</v>
      </c>
      <c r="G14" s="7">
        <v>0.02</v>
      </c>
      <c r="H14" s="35">
        <v>1.6E-2</v>
      </c>
      <c r="I14" s="7">
        <v>8.9999999999999993E-3</v>
      </c>
      <c r="J14" s="7">
        <v>1.4999999999999999E-2</v>
      </c>
      <c r="K14" s="7">
        <v>2.1999999999999999E-2</v>
      </c>
      <c r="L14" s="7">
        <v>1.4999999999999999E-2</v>
      </c>
      <c r="M14" s="7">
        <v>0.01</v>
      </c>
      <c r="O14" s="32"/>
      <c r="P14" s="32"/>
      <c r="Q14" s="32"/>
      <c r="R14" s="32"/>
      <c r="S14" s="32"/>
      <c r="T14" s="32"/>
      <c r="U14" s="32"/>
      <c r="V14" s="32"/>
      <c r="W14" s="32"/>
    </row>
    <row r="15" spans="2:23" x14ac:dyDescent="0.25">
      <c r="B15">
        <v>11</v>
      </c>
      <c r="C15" s="9">
        <v>0.75</v>
      </c>
      <c r="D15" s="10" t="s">
        <v>99</v>
      </c>
      <c r="E15" s="7">
        <v>6.0999999999999999E-2</v>
      </c>
      <c r="F15" s="7">
        <v>2.8000000000000001E-2</v>
      </c>
      <c r="G15" s="7">
        <v>0.04</v>
      </c>
      <c r="H15" s="35">
        <v>4.2999999999999997E-2</v>
      </c>
      <c r="I15" s="7">
        <v>3.3000000000000002E-2</v>
      </c>
      <c r="J15" s="7">
        <v>4.8000000000000001E-2</v>
      </c>
      <c r="K15" s="7">
        <v>5.0999999999999997E-2</v>
      </c>
      <c r="L15" s="7">
        <v>3.5999999999999997E-2</v>
      </c>
      <c r="M15" s="7">
        <v>3.1E-2</v>
      </c>
      <c r="O15" s="32"/>
      <c r="P15" s="32"/>
      <c r="Q15" s="32"/>
      <c r="R15" s="32"/>
      <c r="S15" s="32"/>
      <c r="T15" s="32"/>
      <c r="U15" s="32"/>
      <c r="V15" s="32"/>
      <c r="W15" s="32"/>
    </row>
    <row r="16" spans="2:23" x14ac:dyDescent="0.25">
      <c r="B16">
        <v>12</v>
      </c>
      <c r="C16" s="9">
        <v>0.75</v>
      </c>
      <c r="D16" s="10" t="s">
        <v>100</v>
      </c>
      <c r="E16" s="7">
        <v>1.9E-2</v>
      </c>
      <c r="F16" s="7">
        <v>8.9999999999999993E-3</v>
      </c>
      <c r="G16" s="7">
        <v>1.7999999999999999E-2</v>
      </c>
      <c r="H16" s="35">
        <v>1.2999999999999999E-2</v>
      </c>
      <c r="I16" s="7">
        <v>7.0000000000000001E-3</v>
      </c>
      <c r="J16" s="7">
        <v>1.2E-2</v>
      </c>
      <c r="K16" s="7">
        <v>0.02</v>
      </c>
      <c r="L16" s="7">
        <v>1.2999999999999999E-2</v>
      </c>
      <c r="M16" s="7">
        <v>7.0000000000000001E-3</v>
      </c>
      <c r="O16" s="32"/>
      <c r="P16" s="32"/>
      <c r="Q16" s="32"/>
      <c r="R16" s="32"/>
      <c r="S16" s="32"/>
      <c r="T16" s="32"/>
      <c r="U16" s="32"/>
      <c r="V16" s="32"/>
      <c r="W16" s="32"/>
    </row>
    <row r="17" spans="2:23" x14ac:dyDescent="0.25">
      <c r="B17">
        <v>13</v>
      </c>
      <c r="C17" s="9">
        <v>0.7</v>
      </c>
      <c r="D17" s="10" t="s">
        <v>99</v>
      </c>
      <c r="E17" s="7">
        <v>6.8000000000000005E-2</v>
      </c>
      <c r="F17" s="7">
        <v>0.03</v>
      </c>
      <c r="G17" s="7">
        <v>4.5999999999999999E-2</v>
      </c>
      <c r="H17" s="35">
        <v>4.5999999999999999E-2</v>
      </c>
      <c r="I17" s="7">
        <v>3.5000000000000003E-2</v>
      </c>
      <c r="J17" s="7">
        <v>5.0999999999999997E-2</v>
      </c>
      <c r="K17" s="7">
        <v>5.8000000000000003E-2</v>
      </c>
      <c r="L17" s="7">
        <v>0.04</v>
      </c>
      <c r="M17" s="7">
        <v>3.3000000000000002E-2</v>
      </c>
      <c r="O17" s="32"/>
      <c r="P17" s="32"/>
      <c r="Q17" s="32"/>
      <c r="R17" s="32"/>
      <c r="S17" s="32"/>
      <c r="T17" s="32"/>
      <c r="U17" s="32"/>
      <c r="V17" s="32"/>
      <c r="W17" s="32"/>
    </row>
    <row r="18" spans="2:23" x14ac:dyDescent="0.25">
      <c r="B18">
        <v>14</v>
      </c>
      <c r="C18" s="9">
        <v>0.7</v>
      </c>
      <c r="D18" s="10" t="s">
        <v>100</v>
      </c>
      <c r="E18" s="7">
        <v>1.6E-2</v>
      </c>
      <c r="F18" s="7">
        <v>7.0000000000000001E-3</v>
      </c>
      <c r="G18" s="7">
        <v>1.6E-2</v>
      </c>
      <c r="H18" s="35">
        <v>1.0999999999999999E-2</v>
      </c>
      <c r="I18" s="7">
        <v>5.0000000000000001E-3</v>
      </c>
      <c r="J18" s="7">
        <v>8.9999999999999993E-3</v>
      </c>
      <c r="K18" s="7">
        <v>1.7000000000000001E-2</v>
      </c>
      <c r="L18" s="7">
        <v>1.0999999999999999E-2</v>
      </c>
      <c r="M18" s="7">
        <v>6.0000000000000001E-3</v>
      </c>
      <c r="O18" s="32"/>
      <c r="P18" s="32"/>
      <c r="Q18" s="32"/>
      <c r="R18" s="32"/>
      <c r="S18" s="32"/>
      <c r="T18" s="32"/>
      <c r="U18" s="32"/>
      <c r="V18" s="32"/>
      <c r="W18" s="32"/>
    </row>
    <row r="19" spans="2:23" x14ac:dyDescent="0.25">
      <c r="B19">
        <v>15</v>
      </c>
      <c r="C19" s="9">
        <v>0.65</v>
      </c>
      <c r="D19" s="10" t="s">
        <v>99</v>
      </c>
      <c r="E19" s="7">
        <v>7.3999999999999996E-2</v>
      </c>
      <c r="F19" s="7">
        <v>3.2000000000000001E-2</v>
      </c>
      <c r="G19" s="7">
        <v>5.3999999999999999E-2</v>
      </c>
      <c r="H19" s="35">
        <v>0.05</v>
      </c>
      <c r="I19" s="7">
        <v>3.5999999999999997E-2</v>
      </c>
      <c r="J19" s="7">
        <v>5.3999999999999999E-2</v>
      </c>
      <c r="K19" s="7">
        <v>6.5000000000000002E-2</v>
      </c>
      <c r="L19" s="7">
        <v>4.3999999999999997E-2</v>
      </c>
      <c r="M19" s="7">
        <v>3.4000000000000002E-2</v>
      </c>
      <c r="O19" s="32"/>
      <c r="P19" s="32"/>
      <c r="Q19" s="32"/>
      <c r="R19" s="32"/>
      <c r="S19" s="32"/>
      <c r="T19" s="32"/>
      <c r="U19" s="32"/>
      <c r="V19" s="32"/>
      <c r="W19" s="32"/>
    </row>
    <row r="20" spans="2:23" x14ac:dyDescent="0.25">
      <c r="B20">
        <v>16</v>
      </c>
      <c r="C20" s="9">
        <v>0.65</v>
      </c>
      <c r="D20" s="10" t="s">
        <v>100</v>
      </c>
      <c r="E20" s="7">
        <v>1.2999999999999999E-2</v>
      </c>
      <c r="F20" s="7">
        <v>6.0000000000000001E-3</v>
      </c>
      <c r="G20" s="7">
        <v>1.4E-2</v>
      </c>
      <c r="H20" s="35">
        <v>8.9999999999999993E-3</v>
      </c>
      <c r="I20" s="7">
        <v>4.0000000000000001E-3</v>
      </c>
      <c r="J20" s="7">
        <v>7.0000000000000001E-3</v>
      </c>
      <c r="K20" s="7">
        <v>1.4E-2</v>
      </c>
      <c r="L20" s="7">
        <v>8.9999999999999993E-3</v>
      </c>
      <c r="M20" s="7">
        <v>5.0000000000000001E-3</v>
      </c>
      <c r="O20" s="32"/>
      <c r="P20" s="32"/>
      <c r="Q20" s="32"/>
      <c r="R20" s="32"/>
      <c r="S20" s="32"/>
      <c r="T20" s="32"/>
      <c r="U20" s="32"/>
      <c r="V20" s="32"/>
      <c r="W20" s="32"/>
    </row>
    <row r="21" spans="2:23" x14ac:dyDescent="0.25">
      <c r="B21">
        <v>17</v>
      </c>
      <c r="C21" s="9">
        <v>0.6</v>
      </c>
      <c r="D21" s="10" t="s">
        <v>99</v>
      </c>
      <c r="E21" s="7">
        <v>8.1000000000000003E-2</v>
      </c>
      <c r="F21" s="7">
        <v>3.4000000000000002E-2</v>
      </c>
      <c r="G21" s="7">
        <v>6.2E-2</v>
      </c>
      <c r="H21" s="35">
        <v>5.2999999999999999E-2</v>
      </c>
      <c r="I21" s="7">
        <v>3.6999999999999998E-2</v>
      </c>
      <c r="J21" s="7">
        <v>5.6000000000000001E-2</v>
      </c>
      <c r="K21" s="7">
        <v>7.2999999999999995E-2</v>
      </c>
      <c r="L21" s="7">
        <v>4.8000000000000001E-2</v>
      </c>
      <c r="M21" s="7">
        <v>3.5999999999999997E-2</v>
      </c>
      <c r="O21" s="32"/>
      <c r="P21" s="32"/>
      <c r="Q21" s="32"/>
      <c r="R21" s="32"/>
      <c r="S21" s="32"/>
      <c r="T21" s="32"/>
      <c r="U21" s="32"/>
      <c r="V21" s="32"/>
      <c r="W21" s="32"/>
    </row>
    <row r="22" spans="2:23" x14ac:dyDescent="0.25">
      <c r="B22">
        <v>18</v>
      </c>
      <c r="C22" s="9">
        <v>0.6</v>
      </c>
      <c r="D22" s="10" t="s">
        <v>100</v>
      </c>
      <c r="E22" s="7">
        <v>0.01</v>
      </c>
      <c r="F22" s="7">
        <v>4.0000000000000001E-3</v>
      </c>
      <c r="G22" s="7">
        <v>1.0999999999999999E-2</v>
      </c>
      <c r="H22" s="35">
        <v>7.0000000000000001E-3</v>
      </c>
      <c r="I22" s="7">
        <v>3.0000000000000001E-3</v>
      </c>
      <c r="J22" s="7">
        <v>6.0000000000000001E-3</v>
      </c>
      <c r="K22" s="7">
        <v>1.2E-2</v>
      </c>
      <c r="L22" s="7">
        <v>7.0000000000000001E-3</v>
      </c>
      <c r="M22" s="7">
        <v>4.0000000000000001E-3</v>
      </c>
      <c r="O22" s="32"/>
      <c r="P22" s="32"/>
      <c r="Q22" s="32"/>
      <c r="R22" s="32"/>
      <c r="S22" s="32"/>
      <c r="T22" s="32"/>
      <c r="U22" s="32"/>
      <c r="V22" s="32"/>
      <c r="W22" s="32"/>
    </row>
    <row r="23" spans="2:23" x14ac:dyDescent="0.25">
      <c r="B23">
        <v>19</v>
      </c>
      <c r="C23" s="9">
        <v>0.55000000000000004</v>
      </c>
      <c r="D23" s="10" t="s">
        <v>99</v>
      </c>
      <c r="E23" s="7">
        <v>8.7999999999999995E-2</v>
      </c>
      <c r="F23" s="7">
        <v>3.5000000000000003E-2</v>
      </c>
      <c r="G23" s="7">
        <v>7.0999999999999994E-2</v>
      </c>
      <c r="H23" s="35">
        <v>5.6000000000000001E-2</v>
      </c>
      <c r="I23" s="7">
        <v>3.7999999999999999E-2</v>
      </c>
      <c r="J23" s="7">
        <v>5.8000000000000003E-2</v>
      </c>
      <c r="K23" s="7">
        <v>8.1000000000000003E-2</v>
      </c>
      <c r="L23" s="7">
        <v>5.1999999999999998E-2</v>
      </c>
      <c r="M23" s="7">
        <v>3.6999999999999998E-2</v>
      </c>
      <c r="O23" s="32"/>
      <c r="P23" s="32"/>
      <c r="Q23" s="32"/>
      <c r="R23" s="32"/>
      <c r="S23" s="32"/>
      <c r="T23" s="32"/>
      <c r="U23" s="32"/>
      <c r="V23" s="32"/>
      <c r="W23" s="32"/>
    </row>
    <row r="24" spans="2:23" x14ac:dyDescent="0.25">
      <c r="B24">
        <v>20</v>
      </c>
      <c r="C24" s="9">
        <v>0.55000000000000004</v>
      </c>
      <c r="D24" s="10" t="s">
        <v>100</v>
      </c>
      <c r="E24" s="7">
        <v>8.0000000000000002E-3</v>
      </c>
      <c r="F24" s="7">
        <v>3.0000000000000001E-3</v>
      </c>
      <c r="G24" s="7">
        <v>8.9999999999999993E-3</v>
      </c>
      <c r="H24" s="35">
        <v>5.0000000000000001E-3</v>
      </c>
      <c r="I24" s="7">
        <v>2E-3</v>
      </c>
      <c r="J24" s="7">
        <v>4.0000000000000001E-3</v>
      </c>
      <c r="K24" s="7">
        <v>8.9999999999999993E-3</v>
      </c>
      <c r="L24" s="7">
        <v>5.0000000000000001E-3</v>
      </c>
      <c r="M24" s="7">
        <v>3.0000000000000001E-3</v>
      </c>
      <c r="O24" s="32"/>
      <c r="P24" s="32"/>
      <c r="Q24" s="32"/>
      <c r="R24" s="32"/>
      <c r="S24" s="32"/>
      <c r="T24" s="32"/>
      <c r="U24" s="32"/>
      <c r="V24" s="32"/>
      <c r="W24" s="32"/>
    </row>
    <row r="25" spans="2:23" x14ac:dyDescent="0.25">
      <c r="B25">
        <v>21</v>
      </c>
      <c r="C25" s="9">
        <v>0.5</v>
      </c>
      <c r="D25" s="10" t="s">
        <v>99</v>
      </c>
      <c r="E25" s="7">
        <v>9.5000000000000001E-2</v>
      </c>
      <c r="F25" s="7">
        <v>3.6999999999999998E-2</v>
      </c>
      <c r="G25" s="7">
        <v>0.08</v>
      </c>
      <c r="H25" s="35">
        <v>5.8999999999999997E-2</v>
      </c>
      <c r="I25" s="7">
        <v>3.9E-2</v>
      </c>
      <c r="J25" s="7">
        <v>6.0999999999999999E-2</v>
      </c>
      <c r="K25" s="7">
        <v>8.8999999999999996E-2</v>
      </c>
      <c r="L25" s="7">
        <v>5.6000000000000001E-2</v>
      </c>
      <c r="M25" s="7">
        <v>3.7999999999999999E-2</v>
      </c>
      <c r="O25" s="32"/>
      <c r="P25" s="32"/>
      <c r="Q25" s="32"/>
      <c r="R25" s="32"/>
      <c r="S25" s="32"/>
      <c r="T25" s="32"/>
      <c r="U25" s="32"/>
      <c r="V25" s="32"/>
      <c r="W25" s="32"/>
    </row>
    <row r="26" spans="2:23" x14ac:dyDescent="0.25">
      <c r="B26">
        <v>22</v>
      </c>
      <c r="C26" s="9">
        <v>0.5</v>
      </c>
      <c r="D26" s="10" t="s">
        <v>100</v>
      </c>
      <c r="E26" s="7">
        <v>6.0000000000000001E-3</v>
      </c>
      <c r="F26" s="7">
        <v>2E-3</v>
      </c>
      <c r="G26" s="7">
        <v>7.0000000000000001E-3</v>
      </c>
      <c r="H26" s="35">
        <v>4.0000000000000001E-3</v>
      </c>
      <c r="I26" s="7">
        <v>1E-3</v>
      </c>
      <c r="J26" s="7">
        <v>3.0000000000000001E-3</v>
      </c>
      <c r="K26" s="7">
        <v>7.0000000000000001E-3</v>
      </c>
      <c r="L26" s="7">
        <v>4.0000000000000001E-3</v>
      </c>
      <c r="M26" s="7">
        <v>2E-3</v>
      </c>
      <c r="O26" s="32"/>
      <c r="P26" s="32"/>
      <c r="Q26" s="32"/>
      <c r="R26" s="32"/>
      <c r="S26" s="32"/>
      <c r="T26" s="32"/>
      <c r="U26" s="32"/>
      <c r="V26" s="32"/>
      <c r="W26" s="32"/>
    </row>
    <row r="27" spans="2:23" x14ac:dyDescent="0.25">
      <c r="O27" s="32"/>
      <c r="P27" s="32"/>
      <c r="Q27" s="32"/>
      <c r="R27" s="32"/>
      <c r="S27" s="32"/>
      <c r="T27" s="32"/>
      <c r="U27" s="32"/>
      <c r="V27" s="32"/>
      <c r="W27" s="32"/>
    </row>
    <row r="28" spans="2:23" x14ac:dyDescent="0.25">
      <c r="O28" s="32"/>
      <c r="P28" s="32"/>
      <c r="Q28" s="32"/>
      <c r="R28" s="32"/>
      <c r="S28" s="32"/>
      <c r="T28" s="32"/>
      <c r="U28" s="32"/>
      <c r="V28" s="32"/>
      <c r="W28" s="32"/>
    </row>
    <row r="29" spans="2:23" x14ac:dyDescent="0.25">
      <c r="O29" s="32"/>
      <c r="P29" s="32"/>
      <c r="Q29" s="32"/>
      <c r="R29" s="32"/>
      <c r="S29" s="32"/>
      <c r="T29" s="32"/>
      <c r="U29" s="32"/>
      <c r="V29" s="32"/>
      <c r="W29" s="32"/>
    </row>
  </sheetData>
  <sheetProtection algorithmName="SHA-512" hashValue="foAV/REICWSNuQfrqCKRIzj6Jil6vOIq/N4Tc97+KqC1DLX9k6DqOiX90VksRb2XobFflUsMh0UZNwQp8fjAVw==" saltValue="ptqauVoohJeaGmnLcyddZQ==" spinCount="100000" sheet="1" objects="1" scenarios="1" selectLockedCells="1" selectUnlockedCells="1"/>
  <dataValidations count="1">
    <dataValidation type="list" allowBlank="1" showInputMessage="1" showErrorMessage="1" sqref="R5">
      <formula1>$E$4:$M$4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31"/>
  <sheetViews>
    <sheetView topLeftCell="B1" workbookViewId="0">
      <selection activeCell="R29" sqref="R29"/>
    </sheetView>
  </sheetViews>
  <sheetFormatPr defaultRowHeight="15" x14ac:dyDescent="0.25"/>
  <sheetData>
    <row r="4" spans="2:21" x14ac:dyDescent="0.25">
      <c r="C4" s="7"/>
      <c r="D4" s="7"/>
      <c r="E4" s="8" t="s">
        <v>82</v>
      </c>
      <c r="F4" s="8" t="s">
        <v>83</v>
      </c>
      <c r="G4" s="8" t="s">
        <v>84</v>
      </c>
      <c r="H4" s="8" t="s">
        <v>85</v>
      </c>
      <c r="I4" s="8" t="s">
        <v>86</v>
      </c>
      <c r="J4" s="8" t="s">
        <v>87</v>
      </c>
      <c r="K4" s="8" t="s">
        <v>88</v>
      </c>
      <c r="L4" s="8" t="s">
        <v>89</v>
      </c>
      <c r="M4" s="8" t="s">
        <v>90</v>
      </c>
    </row>
    <row r="5" spans="2:21" x14ac:dyDescent="0.25">
      <c r="B5">
        <v>1</v>
      </c>
      <c r="C5" s="9">
        <v>1</v>
      </c>
      <c r="D5" s="10" t="s">
        <v>149</v>
      </c>
      <c r="E5" s="7">
        <v>3.5999999999999997E-2</v>
      </c>
      <c r="F5" s="7">
        <v>2.7E-2</v>
      </c>
      <c r="G5" s="7">
        <v>2.7E-2</v>
      </c>
      <c r="H5" s="7">
        <v>3.2000000000000001E-2</v>
      </c>
      <c r="I5" s="7">
        <v>3.2000000000000001E-2</v>
      </c>
      <c r="J5" s="7">
        <v>3.5000000000000003E-2</v>
      </c>
      <c r="K5" s="7">
        <v>3.2000000000000001E-2</v>
      </c>
      <c r="L5" s="7">
        <v>2.8000000000000001E-2</v>
      </c>
      <c r="M5" s="7">
        <v>0.03</v>
      </c>
      <c r="P5" s="6"/>
      <c r="Q5" s="6"/>
      <c r="R5" s="6"/>
      <c r="S5" s="6"/>
      <c r="T5" s="6"/>
      <c r="U5" s="6"/>
    </row>
    <row r="6" spans="2:21" x14ac:dyDescent="0.25">
      <c r="B6">
        <v>2</v>
      </c>
      <c r="C6" s="9">
        <v>1</v>
      </c>
      <c r="D6" s="10" t="s">
        <v>150</v>
      </c>
      <c r="E6" s="7">
        <v>3.5999999999999997E-2</v>
      </c>
      <c r="F6" s="7">
        <v>2.7E-2</v>
      </c>
      <c r="G6" s="7">
        <v>3.2000000000000001E-2</v>
      </c>
      <c r="H6" s="7">
        <v>3.2000000000000001E-2</v>
      </c>
      <c r="I6" s="7">
        <v>2.7E-2</v>
      </c>
      <c r="J6" s="7">
        <v>3.2000000000000001E-2</v>
      </c>
      <c r="K6" s="7">
        <v>3.5000000000000003E-2</v>
      </c>
      <c r="L6" s="7">
        <v>0.03</v>
      </c>
      <c r="M6" s="7">
        <v>2.8000000000000001E-2</v>
      </c>
      <c r="O6" s="32"/>
      <c r="P6" s="6"/>
      <c r="Q6" s="6"/>
      <c r="R6" s="6"/>
      <c r="S6" s="6"/>
      <c r="T6" s="6"/>
      <c r="U6" s="6"/>
    </row>
    <row r="7" spans="2:21" x14ac:dyDescent="0.25">
      <c r="B7">
        <v>3</v>
      </c>
      <c r="C7" s="9">
        <v>0.95</v>
      </c>
      <c r="D7" s="10" t="s">
        <v>149</v>
      </c>
      <c r="E7" s="7">
        <v>0.04</v>
      </c>
      <c r="F7" s="7">
        <v>0.03</v>
      </c>
      <c r="G7" s="7">
        <v>3.1E-2</v>
      </c>
      <c r="H7" s="7">
        <v>3.5000000000000003E-2</v>
      </c>
      <c r="I7" s="7">
        <v>3.4000000000000002E-2</v>
      </c>
      <c r="J7" s="7">
        <v>3.7999999999999999E-2</v>
      </c>
      <c r="K7" s="7">
        <v>3.5999999999999997E-2</v>
      </c>
      <c r="L7" s="7">
        <v>3.1E-2</v>
      </c>
      <c r="M7" s="7">
        <v>3.2000000000000001E-2</v>
      </c>
      <c r="O7" s="32"/>
      <c r="P7" s="6"/>
      <c r="Q7" s="6"/>
      <c r="R7" s="6"/>
      <c r="S7" s="6"/>
      <c r="T7" s="6"/>
      <c r="U7" s="6"/>
    </row>
    <row r="8" spans="2:21" x14ac:dyDescent="0.25">
      <c r="B8">
        <v>4</v>
      </c>
      <c r="C8" s="9">
        <v>0.95</v>
      </c>
      <c r="D8" s="10" t="s">
        <v>150</v>
      </c>
      <c r="E8" s="7">
        <v>3.3000000000000002E-2</v>
      </c>
      <c r="F8" s="7">
        <v>2.5000000000000001E-2</v>
      </c>
      <c r="G8" s="7">
        <v>2.9000000000000001E-2</v>
      </c>
      <c r="H8" s="7">
        <v>2.9000000000000001E-2</v>
      </c>
      <c r="I8" s="7">
        <v>2.4E-2</v>
      </c>
      <c r="J8" s="7">
        <v>2.9000000000000001E-2</v>
      </c>
      <c r="K8" s="7">
        <v>3.2000000000000001E-2</v>
      </c>
      <c r="L8" s="7">
        <v>2.7E-2</v>
      </c>
      <c r="M8" s="7">
        <v>2.5000000000000001E-2</v>
      </c>
      <c r="O8" s="32"/>
      <c r="P8" s="6"/>
      <c r="Q8" s="6"/>
      <c r="R8" s="6"/>
      <c r="S8" s="6"/>
      <c r="T8" s="6"/>
      <c r="U8" s="6"/>
    </row>
    <row r="9" spans="2:21" x14ac:dyDescent="0.25">
      <c r="B9">
        <v>5</v>
      </c>
      <c r="C9" s="9">
        <v>0.9</v>
      </c>
      <c r="D9" s="10" t="s">
        <v>149</v>
      </c>
      <c r="E9" s="7">
        <v>4.4999999999999998E-2</v>
      </c>
      <c r="F9" s="7">
        <v>3.4000000000000002E-2</v>
      </c>
      <c r="G9" s="7">
        <v>3.5000000000000003E-2</v>
      </c>
      <c r="H9" s="7">
        <v>3.9E-2</v>
      </c>
      <c r="I9" s="7">
        <v>3.6999999999999998E-2</v>
      </c>
      <c r="J9" s="7">
        <v>4.2000000000000003E-2</v>
      </c>
      <c r="K9" s="7">
        <v>0.04</v>
      </c>
      <c r="L9" s="7">
        <v>3.5000000000000003E-2</v>
      </c>
      <c r="M9" s="7">
        <v>3.5999999999999997E-2</v>
      </c>
      <c r="O9" s="32"/>
      <c r="P9" s="6"/>
      <c r="Q9" s="6" t="s">
        <v>97</v>
      </c>
      <c r="R9" s="11">
        <f>'V1.3 (Updated 03-2025)'!E47</f>
        <v>0.9</v>
      </c>
      <c r="S9" s="6"/>
      <c r="T9" s="6"/>
      <c r="U9" s="6"/>
    </row>
    <row r="10" spans="2:21" x14ac:dyDescent="0.25">
      <c r="B10">
        <v>6</v>
      </c>
      <c r="C10" s="9">
        <v>0.9</v>
      </c>
      <c r="D10" s="10" t="s">
        <v>150</v>
      </c>
      <c r="E10" s="7">
        <v>2.9000000000000001E-2</v>
      </c>
      <c r="F10" s="7">
        <v>2.1999999999999999E-2</v>
      </c>
      <c r="G10" s="7">
        <v>2.7E-2</v>
      </c>
      <c r="H10" s="7">
        <v>2.5999999999999999E-2</v>
      </c>
      <c r="I10" s="7">
        <v>2.1000000000000001E-2</v>
      </c>
      <c r="J10" s="7">
        <v>2.5000000000000001E-2</v>
      </c>
      <c r="K10" s="7">
        <v>2.9000000000000001E-2</v>
      </c>
      <c r="L10" s="7">
        <v>2.4E-2</v>
      </c>
      <c r="M10" s="7">
        <v>2.1999999999999999E-2</v>
      </c>
      <c r="O10" s="32"/>
      <c r="P10" s="6"/>
      <c r="Q10" s="6" t="s">
        <v>98</v>
      </c>
      <c r="R10" s="11">
        <f>'V1.3 (Updated 03-2025)'!E48</f>
        <v>0.95000000000000007</v>
      </c>
      <c r="S10" s="6"/>
      <c r="T10" s="6"/>
      <c r="U10" s="6"/>
    </row>
    <row r="11" spans="2:21" x14ac:dyDescent="0.25">
      <c r="B11">
        <v>7</v>
      </c>
      <c r="C11" s="9">
        <v>0.85</v>
      </c>
      <c r="D11" s="10" t="s">
        <v>149</v>
      </c>
      <c r="E11" s="7">
        <v>0.05</v>
      </c>
      <c r="F11" s="7">
        <v>3.6999999999999998E-2</v>
      </c>
      <c r="G11" s="7">
        <v>0.04</v>
      </c>
      <c r="H11" s="7">
        <v>4.2999999999999997E-2</v>
      </c>
      <c r="I11" s="7">
        <v>4.1000000000000002E-2</v>
      </c>
      <c r="J11" s="7">
        <v>4.5999999999999999E-2</v>
      </c>
      <c r="K11" s="7">
        <v>4.4999999999999998E-2</v>
      </c>
      <c r="L11" s="7">
        <v>0.04</v>
      </c>
      <c r="M11" s="7">
        <v>3.9E-2</v>
      </c>
      <c r="O11" s="32"/>
      <c r="P11" s="6"/>
      <c r="Q11" s="6" t="s">
        <v>91</v>
      </c>
      <c r="R11" s="12" t="str">
        <f>'V1.3 (Updated 03-2025)'!E23</f>
        <v>Case 4</v>
      </c>
      <c r="S11" s="6"/>
      <c r="T11" s="6"/>
      <c r="U11" s="6"/>
    </row>
    <row r="12" spans="2:21" x14ac:dyDescent="0.25">
      <c r="B12">
        <v>8</v>
      </c>
      <c r="C12" s="9">
        <v>0.85</v>
      </c>
      <c r="D12" s="10" t="s">
        <v>150</v>
      </c>
      <c r="E12" s="7">
        <v>2.5999999999999999E-2</v>
      </c>
      <c r="F12" s="7">
        <v>1.9E-2</v>
      </c>
      <c r="G12" s="7">
        <v>2.4E-2</v>
      </c>
      <c r="H12" s="7">
        <v>2.3E-2</v>
      </c>
      <c r="I12" s="7">
        <v>1.9E-2</v>
      </c>
      <c r="J12" s="7">
        <v>2.1999999999999999E-2</v>
      </c>
      <c r="K12" s="7">
        <v>2.5999999999999999E-2</v>
      </c>
      <c r="L12" s="7">
        <v>2.1999999999999999E-2</v>
      </c>
      <c r="M12" s="7">
        <v>0.02</v>
      </c>
      <c r="O12" s="32"/>
      <c r="P12" s="6"/>
      <c r="Q12" s="6" t="s">
        <v>149</v>
      </c>
      <c r="R12" s="6">
        <f t="array" ref="R12">INDEX(E5:M26,MATCH(R9&amp;Q12,C5:C26&amp;D5:D26,0),MATCH(R11,E4:M4,0))</f>
        <v>3.9E-2</v>
      </c>
      <c r="S12" s="6"/>
      <c r="T12" s="6"/>
      <c r="U12" s="6"/>
    </row>
    <row r="13" spans="2:21" x14ac:dyDescent="0.25">
      <c r="B13">
        <v>9</v>
      </c>
      <c r="C13" s="9">
        <v>0.8</v>
      </c>
      <c r="D13" s="10" t="s">
        <v>149</v>
      </c>
      <c r="E13" s="7">
        <v>5.6000000000000001E-2</v>
      </c>
      <c r="F13" s="7">
        <v>4.1000000000000002E-2</v>
      </c>
      <c r="G13" s="7">
        <v>4.4999999999999998E-2</v>
      </c>
      <c r="H13" s="7">
        <v>4.8000000000000001E-2</v>
      </c>
      <c r="I13" s="7">
        <v>4.3999999999999997E-2</v>
      </c>
      <c r="J13" s="7">
        <v>5.0999999999999997E-2</v>
      </c>
      <c r="K13" s="7">
        <v>5.0999999999999997E-2</v>
      </c>
      <c r="L13" s="7">
        <v>4.3999999999999997E-2</v>
      </c>
      <c r="M13" s="7">
        <v>4.2000000000000003E-2</v>
      </c>
      <c r="O13" s="32"/>
      <c r="P13" s="6"/>
      <c r="Q13" s="6" t="s">
        <v>150</v>
      </c>
      <c r="R13" s="6">
        <f t="array" ref="R13">INDEX(E5:M26,MATCH(R10&amp;Q13,C5:C26&amp;D5:D26,0),MATCH(R11,E4:M4,0))</f>
        <v>2.9000000000000001E-2</v>
      </c>
      <c r="S13" s="6"/>
      <c r="T13" s="6"/>
      <c r="U13" s="6"/>
    </row>
    <row r="14" spans="2:21" x14ac:dyDescent="0.25">
      <c r="B14">
        <v>10</v>
      </c>
      <c r="C14" s="9">
        <v>0.8</v>
      </c>
      <c r="D14" s="10" t="s">
        <v>150</v>
      </c>
      <c r="E14" s="7">
        <v>2.3E-2</v>
      </c>
      <c r="F14" s="7">
        <v>1.7000000000000001E-2</v>
      </c>
      <c r="G14" s="7">
        <v>2.1999999999999999E-2</v>
      </c>
      <c r="H14" s="7">
        <v>0.02</v>
      </c>
      <c r="I14" s="7">
        <v>1.6E-2</v>
      </c>
      <c r="J14" s="7">
        <v>1.9E-2</v>
      </c>
      <c r="K14" s="7">
        <v>2.3E-2</v>
      </c>
      <c r="L14" s="7">
        <v>1.9E-2</v>
      </c>
      <c r="M14" s="7">
        <v>1.7000000000000001E-2</v>
      </c>
      <c r="O14" s="32"/>
      <c r="P14" s="6"/>
      <c r="Q14" s="6"/>
      <c r="R14" s="6"/>
      <c r="S14" s="6"/>
      <c r="T14" s="6"/>
      <c r="U14" s="6"/>
    </row>
    <row r="15" spans="2:21" x14ac:dyDescent="0.25">
      <c r="B15">
        <v>11</v>
      </c>
      <c r="C15" s="9">
        <v>0.75</v>
      </c>
      <c r="D15" s="10" t="s">
        <v>149</v>
      </c>
      <c r="E15" s="7">
        <v>6.0999999999999999E-2</v>
      </c>
      <c r="F15" s="7">
        <v>4.4999999999999998E-2</v>
      </c>
      <c r="G15" s="7">
        <v>5.0999999999999997E-2</v>
      </c>
      <c r="H15" s="7">
        <v>5.1999999999999998E-2</v>
      </c>
      <c r="I15" s="7">
        <v>4.7E-2</v>
      </c>
      <c r="J15" s="7">
        <v>5.5E-2</v>
      </c>
      <c r="K15" s="7">
        <v>5.6000000000000001E-2</v>
      </c>
      <c r="L15" s="7">
        <v>4.9000000000000002E-2</v>
      </c>
      <c r="M15" s="7">
        <v>4.5999999999999999E-2</v>
      </c>
      <c r="O15" s="32"/>
      <c r="P15" s="6"/>
      <c r="Q15" s="6"/>
      <c r="R15" s="6"/>
      <c r="S15" s="6"/>
      <c r="T15" s="6"/>
      <c r="U15" s="6"/>
    </row>
    <row r="16" spans="2:21" x14ac:dyDescent="0.25">
      <c r="B16">
        <v>12</v>
      </c>
      <c r="C16" s="9">
        <v>0.75</v>
      </c>
      <c r="D16" s="10" t="s">
        <v>150</v>
      </c>
      <c r="E16" s="7">
        <v>1.9E-2</v>
      </c>
      <c r="F16" s="7">
        <v>1.4E-2</v>
      </c>
      <c r="G16" s="7">
        <v>1.9E-2</v>
      </c>
      <c r="H16" s="7">
        <v>1.6E-2</v>
      </c>
      <c r="I16" s="7">
        <v>1.2999999999999999E-2</v>
      </c>
      <c r="J16" s="7">
        <v>1.6E-2</v>
      </c>
      <c r="K16" s="7">
        <v>0.02</v>
      </c>
      <c r="L16" s="7">
        <v>1.6E-2</v>
      </c>
      <c r="M16" s="7">
        <v>1.2999999999999999E-2</v>
      </c>
      <c r="O16" s="32"/>
      <c r="P16" s="6"/>
      <c r="Q16" s="6"/>
      <c r="R16" s="6"/>
      <c r="S16" s="6"/>
      <c r="T16" s="6"/>
      <c r="U16" s="6"/>
    </row>
    <row r="17" spans="2:21" x14ac:dyDescent="0.25">
      <c r="B17">
        <v>13</v>
      </c>
      <c r="C17" s="9">
        <v>0.7</v>
      </c>
      <c r="D17" s="10" t="s">
        <v>149</v>
      </c>
      <c r="E17" s="7">
        <v>6.8000000000000005E-2</v>
      </c>
      <c r="F17" s="7">
        <v>4.9000000000000002E-2</v>
      </c>
      <c r="G17" s="7">
        <v>5.7000000000000002E-2</v>
      </c>
      <c r="H17" s="7">
        <v>5.7000000000000002E-2</v>
      </c>
      <c r="I17" s="7">
        <v>5.0999999999999997E-2</v>
      </c>
      <c r="J17" s="7">
        <v>0.06</v>
      </c>
      <c r="K17" s="7">
        <v>6.3E-2</v>
      </c>
      <c r="L17" s="7">
        <v>5.3999999999999999E-2</v>
      </c>
      <c r="M17" s="7">
        <v>0.05</v>
      </c>
      <c r="O17" s="32"/>
      <c r="P17" s="6"/>
      <c r="Q17" s="6"/>
      <c r="R17" s="6"/>
      <c r="S17" s="6"/>
      <c r="T17" s="6"/>
      <c r="U17" s="6"/>
    </row>
    <row r="18" spans="2:21" x14ac:dyDescent="0.25">
      <c r="B18">
        <v>14</v>
      </c>
      <c r="C18" s="9">
        <v>0.7</v>
      </c>
      <c r="D18" s="10" t="s">
        <v>150</v>
      </c>
      <c r="E18" s="7">
        <v>1.6E-2</v>
      </c>
      <c r="F18" s="7">
        <v>1.2E-2</v>
      </c>
      <c r="G18" s="7">
        <v>1.6E-2</v>
      </c>
      <c r="H18" s="7">
        <v>1.4E-2</v>
      </c>
      <c r="I18" s="7">
        <v>1.0999999999999999E-2</v>
      </c>
      <c r="J18" s="7">
        <v>1.2999999999999999E-2</v>
      </c>
      <c r="K18" s="7">
        <v>1.7000000000000001E-2</v>
      </c>
      <c r="L18" s="7">
        <v>1.4E-2</v>
      </c>
      <c r="M18" s="7">
        <v>1.0999999999999999E-2</v>
      </c>
      <c r="O18" s="32"/>
      <c r="P18" s="6"/>
      <c r="Q18" s="6"/>
      <c r="R18" s="6"/>
      <c r="S18" s="6"/>
      <c r="T18" s="6"/>
      <c r="U18" s="6"/>
    </row>
    <row r="19" spans="2:21" x14ac:dyDescent="0.25">
      <c r="B19">
        <v>15</v>
      </c>
      <c r="C19" s="9">
        <v>0.65</v>
      </c>
      <c r="D19" s="10" t="s">
        <v>149</v>
      </c>
      <c r="E19" s="7">
        <v>7.3999999999999996E-2</v>
      </c>
      <c r="F19" s="7">
        <v>5.2999999999999999E-2</v>
      </c>
      <c r="G19" s="7">
        <v>6.4000000000000001E-2</v>
      </c>
      <c r="H19" s="7">
        <v>6.2E-2</v>
      </c>
      <c r="I19" s="7">
        <v>5.5E-2</v>
      </c>
      <c r="J19" s="7">
        <v>6.4000000000000001E-2</v>
      </c>
      <c r="K19" s="7">
        <v>7.0000000000000007E-2</v>
      </c>
      <c r="L19" s="7">
        <v>5.8999999999999997E-2</v>
      </c>
      <c r="M19" s="7">
        <v>5.3999999999999999E-2</v>
      </c>
      <c r="O19" s="32"/>
      <c r="P19" s="6"/>
      <c r="Q19" s="6"/>
      <c r="R19" s="6"/>
      <c r="S19" s="6"/>
      <c r="T19" s="6"/>
      <c r="U19" s="6"/>
    </row>
    <row r="20" spans="2:21" x14ac:dyDescent="0.25">
      <c r="B20">
        <v>16</v>
      </c>
      <c r="C20" s="9">
        <v>0.65</v>
      </c>
      <c r="D20" s="10" t="s">
        <v>150</v>
      </c>
      <c r="E20" s="7">
        <v>1.2999999999999999E-2</v>
      </c>
      <c r="F20" s="7">
        <v>0.01</v>
      </c>
      <c r="G20" s="7">
        <v>1.4E-2</v>
      </c>
      <c r="H20" s="7">
        <v>1.0999999999999999E-2</v>
      </c>
      <c r="I20" s="7">
        <v>8.9999999999999993E-3</v>
      </c>
      <c r="J20" s="7">
        <v>0.01</v>
      </c>
      <c r="K20" s="7">
        <v>1.4E-2</v>
      </c>
      <c r="L20" s="7">
        <v>1.0999999999999999E-2</v>
      </c>
      <c r="M20" s="7">
        <v>8.9999999999999993E-3</v>
      </c>
      <c r="O20" s="32"/>
      <c r="P20" s="32"/>
      <c r="Q20" s="32"/>
      <c r="R20" s="32"/>
      <c r="S20" s="32"/>
      <c r="T20" s="32"/>
      <c r="U20" s="32"/>
    </row>
    <row r="21" spans="2:21" x14ac:dyDescent="0.25">
      <c r="B21">
        <v>17</v>
      </c>
      <c r="C21" s="9">
        <v>0.6</v>
      </c>
      <c r="D21" s="10" t="s">
        <v>149</v>
      </c>
      <c r="E21" s="7">
        <v>8.1000000000000003E-2</v>
      </c>
      <c r="F21" s="7">
        <v>5.8000000000000003E-2</v>
      </c>
      <c r="G21" s="7">
        <v>7.0999999999999994E-2</v>
      </c>
      <c r="H21" s="7">
        <v>6.7000000000000004E-2</v>
      </c>
      <c r="I21" s="7">
        <v>5.8999999999999997E-2</v>
      </c>
      <c r="J21" s="7">
        <v>6.8000000000000005E-2</v>
      </c>
      <c r="K21" s="7">
        <v>7.6999999999999999E-2</v>
      </c>
      <c r="L21" s="7">
        <v>6.5000000000000002E-2</v>
      </c>
      <c r="M21" s="7">
        <v>5.8999999999999997E-2</v>
      </c>
      <c r="O21" s="32"/>
      <c r="P21" s="32"/>
      <c r="Q21" s="32"/>
      <c r="R21" s="32"/>
      <c r="S21" s="32"/>
      <c r="T21" s="32"/>
      <c r="U21" s="32"/>
    </row>
    <row r="22" spans="2:21" x14ac:dyDescent="0.25">
      <c r="B22">
        <v>18</v>
      </c>
      <c r="C22" s="9">
        <v>0.6</v>
      </c>
      <c r="D22" s="10" t="s">
        <v>150</v>
      </c>
      <c r="E22" s="7">
        <v>0.01</v>
      </c>
      <c r="F22" s="7">
        <v>7.0000000000000001E-3</v>
      </c>
      <c r="G22" s="7">
        <v>1.0999999999999999E-2</v>
      </c>
      <c r="H22" s="7">
        <v>8.9999999999999993E-3</v>
      </c>
      <c r="I22" s="7">
        <v>7.0000000000000001E-3</v>
      </c>
      <c r="J22" s="7">
        <v>8.0000000000000002E-3</v>
      </c>
      <c r="K22" s="7">
        <v>1.0999999999999999E-2</v>
      </c>
      <c r="L22" s="7">
        <v>8.9999999999999993E-3</v>
      </c>
      <c r="M22" s="7">
        <v>7.0000000000000001E-3</v>
      </c>
      <c r="O22" s="32"/>
      <c r="P22" s="32"/>
      <c r="Q22" s="32"/>
      <c r="R22" s="32"/>
      <c r="S22" s="32"/>
      <c r="T22" s="32"/>
      <c r="U22" s="32"/>
    </row>
    <row r="23" spans="2:21" x14ac:dyDescent="0.25">
      <c r="B23">
        <v>19</v>
      </c>
      <c r="C23" s="9">
        <v>0.55000000000000004</v>
      </c>
      <c r="D23" s="10" t="s">
        <v>149</v>
      </c>
      <c r="E23" s="7">
        <v>8.7999999999999995E-2</v>
      </c>
      <c r="F23" s="7">
        <v>6.2E-2</v>
      </c>
      <c r="G23" s="7">
        <v>0.08</v>
      </c>
      <c r="H23" s="7">
        <v>7.1999999999999995E-2</v>
      </c>
      <c r="I23" s="7">
        <v>6.3E-2</v>
      </c>
      <c r="J23" s="7">
        <v>7.2999999999999995E-2</v>
      </c>
      <c r="K23" s="7">
        <v>8.5000000000000006E-2</v>
      </c>
      <c r="L23" s="7">
        <v>7.0000000000000007E-2</v>
      </c>
      <c r="M23" s="7">
        <v>6.3E-2</v>
      </c>
      <c r="O23" s="32"/>
      <c r="P23" s="32"/>
      <c r="Q23" s="32"/>
      <c r="R23" s="32"/>
      <c r="S23" s="32"/>
      <c r="T23" s="32"/>
      <c r="U23" s="32"/>
    </row>
    <row r="24" spans="2:21" x14ac:dyDescent="0.25">
      <c r="B24">
        <v>20</v>
      </c>
      <c r="C24" s="9">
        <v>0.55000000000000004</v>
      </c>
      <c r="D24" s="10" t="s">
        <v>150</v>
      </c>
      <c r="E24" s="7">
        <v>8.0000000000000002E-3</v>
      </c>
      <c r="F24" s="7">
        <v>6.0000000000000001E-3</v>
      </c>
      <c r="G24" s="7">
        <v>8.9999999999999993E-3</v>
      </c>
      <c r="H24" s="7">
        <v>7.0000000000000001E-3</v>
      </c>
      <c r="I24" s="7">
        <v>5.0000000000000001E-3</v>
      </c>
      <c r="J24" s="7">
        <v>6.0000000000000001E-3</v>
      </c>
      <c r="K24" s="7">
        <v>8.9999999999999993E-3</v>
      </c>
      <c r="L24" s="7">
        <v>7.0000000000000001E-3</v>
      </c>
      <c r="M24" s="7">
        <v>6.0000000000000001E-3</v>
      </c>
      <c r="O24" s="32"/>
      <c r="P24" s="32"/>
      <c r="Q24" s="32"/>
      <c r="R24" s="32"/>
      <c r="S24" s="32"/>
      <c r="T24" s="32"/>
      <c r="U24" s="32"/>
    </row>
    <row r="25" spans="2:21" x14ac:dyDescent="0.25">
      <c r="B25">
        <v>21</v>
      </c>
      <c r="C25" s="9">
        <v>0.5</v>
      </c>
      <c r="D25" s="10" t="s">
        <v>149</v>
      </c>
      <c r="E25" s="7">
        <v>9.5000000000000001E-2</v>
      </c>
      <c r="F25" s="7">
        <v>6.6000000000000003E-2</v>
      </c>
      <c r="G25" s="7">
        <v>8.7999999999999995E-2</v>
      </c>
      <c r="H25" s="7">
        <v>7.6999999999999999E-2</v>
      </c>
      <c r="I25" s="7">
        <v>6.7000000000000004E-2</v>
      </c>
      <c r="J25" s="7">
        <v>7.8E-2</v>
      </c>
      <c r="K25" s="7">
        <v>9.1999999999999998E-2</v>
      </c>
      <c r="L25" s="7">
        <v>7.5999999999999998E-2</v>
      </c>
      <c r="M25" s="7">
        <v>6.7000000000000004E-2</v>
      </c>
      <c r="O25" s="32"/>
      <c r="P25" s="32"/>
      <c r="Q25" s="32"/>
      <c r="R25" s="32"/>
      <c r="S25" s="32"/>
      <c r="T25" s="32"/>
      <c r="U25" s="32"/>
    </row>
    <row r="26" spans="2:21" x14ac:dyDescent="0.25">
      <c r="B26">
        <v>22</v>
      </c>
      <c r="C26" s="9">
        <v>0.5</v>
      </c>
      <c r="D26" s="10" t="s">
        <v>150</v>
      </c>
      <c r="E26" s="7">
        <v>6.0000000000000001E-3</v>
      </c>
      <c r="F26" s="7">
        <v>4.0000000000000001E-3</v>
      </c>
      <c r="G26" s="7">
        <v>7.0000000000000001E-3</v>
      </c>
      <c r="H26" s="7">
        <v>5.0000000000000001E-3</v>
      </c>
      <c r="I26" s="7">
        <v>4.0000000000000001E-3</v>
      </c>
      <c r="J26" s="7">
        <v>5.0000000000000001E-3</v>
      </c>
      <c r="K26" s="7">
        <v>7.0000000000000001E-3</v>
      </c>
      <c r="L26" s="7">
        <v>5.0000000000000001E-3</v>
      </c>
      <c r="M26" s="7">
        <v>4.0000000000000001E-3</v>
      </c>
      <c r="O26" s="32"/>
      <c r="P26" s="32"/>
      <c r="Q26" s="32"/>
      <c r="R26" s="32"/>
      <c r="S26" s="32"/>
      <c r="T26" s="32"/>
      <c r="U26" s="32"/>
    </row>
    <row r="27" spans="2:21" x14ac:dyDescent="0.25">
      <c r="O27" s="32"/>
      <c r="P27" s="32"/>
      <c r="Q27" s="32"/>
      <c r="R27" s="32"/>
      <c r="S27" s="32"/>
      <c r="T27" s="32"/>
      <c r="U27" s="32"/>
    </row>
    <row r="28" spans="2:21" x14ac:dyDescent="0.25">
      <c r="O28" s="32"/>
      <c r="P28" s="32"/>
      <c r="Q28" s="32"/>
      <c r="R28" s="32"/>
      <c r="S28" s="32"/>
      <c r="T28" s="32"/>
      <c r="U28" s="32"/>
    </row>
    <row r="29" spans="2:21" x14ac:dyDescent="0.25">
      <c r="O29" s="32"/>
      <c r="P29" s="32"/>
      <c r="Q29" s="32"/>
      <c r="R29" s="32"/>
      <c r="S29" s="32"/>
      <c r="T29" s="32"/>
      <c r="U29" s="32"/>
    </row>
    <row r="30" spans="2:21" x14ac:dyDescent="0.25">
      <c r="O30" s="32"/>
      <c r="P30" s="32"/>
      <c r="Q30" s="32"/>
      <c r="R30" s="32"/>
      <c r="S30" s="32"/>
      <c r="T30" s="32"/>
      <c r="U30" s="32"/>
    </row>
    <row r="31" spans="2:21" x14ac:dyDescent="0.25">
      <c r="O31" s="32"/>
      <c r="P31" s="32"/>
      <c r="Q31" s="32"/>
      <c r="R31" s="32"/>
      <c r="S31" s="32"/>
      <c r="T31" s="32"/>
      <c r="U31" s="32"/>
    </row>
  </sheetData>
  <sheetProtection algorithmName="SHA-512" hashValue="JzvKgUq2xEpI5Z5EPCQ/VcjVzeAzSs19Kuf8S9s4G16vCBwkC1BgSFFE3Ja18ug7kFa3FAKWy92ZVOsZUKUfDA==" saltValue="zxeqmSaORVGnbWVQlzEe3A==" spinCount="100000" sheet="1" objects="1" scenarios="1" selectLockedCells="1" selectUnlockedCells="1"/>
  <dataValidations disablePrompts="1" count="1">
    <dataValidation type="list" allowBlank="1" showInputMessage="1" showErrorMessage="1" sqref="R5">
      <formula1>$E$4:$M$4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Video &amp; Instruction </vt:lpstr>
      <vt:lpstr>V1.3 (Updated 03-2025)</vt:lpstr>
      <vt:lpstr>Slab Min Thickness Calculation</vt:lpstr>
      <vt:lpstr>Coefficients For  N M</vt:lpstr>
      <vt:lpstr>Coefficients For DL P M </vt:lpstr>
      <vt:lpstr>Coefficients For LL P 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2025-07-30T16:39:19Z</dcterms:modified>
</cp:coreProperties>
</file>