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5105" windowHeight="7965" tabRatio="672" activeTab="3"/>
  </bookViews>
  <sheets>
    <sheet name="Video &amp; Instruction " sheetId="8" r:id="rId1"/>
    <sheet name="MWFRS (Any Ht.)" sheetId="5" r:id="rId2"/>
    <sheet name="e1 &amp; e2 ratio Cal." sheetId="7" r:id="rId3"/>
    <sheet name="Software Input" sheetId="1" r:id="rId4"/>
    <sheet name="BNBC 20 Data" sheetId="2" state="hidden" r:id="rId5"/>
    <sheet name="Gust Factor Cal." sheetId="4" state="hidden" r:id="rId6"/>
    <sheet name="Kh and Kz Cal." sheetId="6" state="hidden" r:id="rId7"/>
  </sheets>
  <externalReferences>
    <externalReference r:id="rId8"/>
  </externalReferences>
  <definedNames>
    <definedName name="asd">'MWFRS (Any Ht.)'!$E$65</definedName>
    <definedName name="asds">'MWFRS (Any Ht.)'!$J$54</definedName>
    <definedName name="B">'MWFRS (Any Ht.)'!$O$12</definedName>
    <definedName name="Cp.L">'MWFRS (Any Ht.)'!$C$57</definedName>
    <definedName name="Cp.S">'MWFRS (Any Ht.)'!$C$58</definedName>
    <definedName name="Cp.w">'MWFRS (Any Ht.)'!$C$56</definedName>
    <definedName name="f">'Gust Factor Cal.'!$H$22</definedName>
    <definedName name="framesystem">[1]Sheet3!$B$39:$B$45</definedName>
    <definedName name="G">'Gust Factor Cal.'!$C$7</definedName>
    <definedName name="G.">'MWFRS (Any Ht.)'!$C$49</definedName>
    <definedName name="GCpi_N">'MWFRS (Any Ht.)'!$O$37</definedName>
    <definedName name="GCpi_P">'MWFRS (Any Ht.)'!$O$36</definedName>
    <definedName name="gQ">'Gust Factor Cal.'!$H$34</definedName>
    <definedName name="gR">'Gust Factor Cal.'!$H$33</definedName>
    <definedName name="gv">'Gust Factor Cal.'!$H$35</definedName>
    <definedName name="h">'MWFRS (Any Ht.)'!$O$14</definedName>
    <definedName name="I">'MWFRS (Any Ht.)'!$O$50</definedName>
    <definedName name="Iz">'Gust Factor Cal.'!$C$6</definedName>
    <definedName name="Kd">'MWFRS (Any Ht.)'!$J$54</definedName>
    <definedName name="Kd.">'MWFRS (Any Ht.)'!$O$51</definedName>
    <definedName name="Kzt">'MWFRS (Any Ht.)'!$E$65</definedName>
    <definedName name="Kzt.">'MWFRS (Any Ht.)'!$O$40</definedName>
    <definedName name="L">'MWFRS (Any Ht.)'!$O$13</definedName>
    <definedName name="Lz">'Gust Factor Cal.'!$C$4</definedName>
    <definedName name="N.1">'Gust Factor Cal.'!$H$27</definedName>
    <definedName name="Ƞb">'Gust Factor Cal.'!$M$24</definedName>
    <definedName name="Ƞh">'Gust Factor Cal.'!$M$23</definedName>
    <definedName name="ȠL">'Gust Factor Cal.'!$M$25</definedName>
    <definedName name="Q">'Gust Factor Cal.'!$C$5</definedName>
    <definedName name="qi">'MWFRS (Any Ht.)'!$O$62</definedName>
    <definedName name="R.">'Gust Factor Cal.'!$H$31</definedName>
    <definedName name="RB">'Gust Factor Cal.'!$H$24</definedName>
    <definedName name="Rh">'Gust Factor Cal.'!$H$23</definedName>
    <definedName name="RL">'Gust Factor Cal.'!$H$25</definedName>
    <definedName name="Rn">'Gust Factor Cal.'!$H$29</definedName>
    <definedName name="V">'MWFRS (Any Ht.)'!$O$18</definedName>
    <definedName name="Zg">'MWFRS (Any Ht.)'!$O$59</definedName>
    <definedName name="α">'MWFRS (Any Ht.)'!$O$58</definedName>
    <definedName name="β">'MWFRS (Any Ht.)'!$C$16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4" i="7" l="1"/>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K78" i="7"/>
  <c r="K77" i="7"/>
  <c r="K76" i="7"/>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M5" i="7" l="1"/>
  <c r="H7" i="7" l="1"/>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6" i="7"/>
  <c r="F75" i="5" l="1"/>
  <c r="F77" i="5"/>
  <c r="F78" i="5"/>
  <c r="F79" i="5"/>
  <c r="F80" i="5"/>
  <c r="F81" i="5"/>
  <c r="F82" i="5"/>
  <c r="F83" i="5"/>
  <c r="F84" i="5"/>
  <c r="G75" i="5"/>
  <c r="G77" i="5"/>
  <c r="G78" i="5"/>
  <c r="G79" i="5"/>
  <c r="G80" i="5"/>
  <c r="G81" i="5"/>
  <c r="G82" i="5"/>
  <c r="G83" i="5"/>
  <c r="G84" i="5"/>
  <c r="C66" i="5" l="1"/>
  <c r="C67" i="5"/>
  <c r="C68" i="5"/>
  <c r="C69" i="5"/>
  <c r="C70" i="5"/>
  <c r="C71" i="5"/>
  <c r="C72" i="5"/>
  <c r="C73" i="5"/>
  <c r="C74" i="5"/>
  <c r="C75" i="5"/>
  <c r="C76" i="5"/>
  <c r="C77" i="5"/>
  <c r="C78" i="5"/>
  <c r="C79" i="5"/>
  <c r="C80" i="5"/>
  <c r="C81" i="5"/>
  <c r="C82" i="5"/>
  <c r="C83" i="5"/>
  <c r="C84" i="5"/>
  <c r="C65" i="5"/>
  <c r="O59" i="5" l="1"/>
  <c r="O58" i="5"/>
  <c r="O8" i="5" l="1"/>
  <c r="O10" i="5"/>
  <c r="O11" i="5"/>
  <c r="O6" i="5"/>
  <c r="S11" i="5" l="1"/>
  <c r="R7" i="5" s="1"/>
  <c r="S10" i="5"/>
  <c r="S8" i="5" l="1"/>
  <c r="N4" i="7"/>
  <c r="O13" i="5"/>
  <c r="R8" i="5"/>
  <c r="O12" i="5"/>
  <c r="C58" i="5"/>
  <c r="C56" i="5"/>
  <c r="O46" i="5" l="1"/>
  <c r="O48" i="5" s="1"/>
  <c r="S7" i="5"/>
  <c r="N5" i="7"/>
  <c r="O4" i="7" s="1"/>
  <c r="K13" i="7" s="1"/>
  <c r="O5" i="7"/>
  <c r="E16" i="1"/>
  <c r="L13" i="7" l="1"/>
  <c r="E17" i="1"/>
  <c r="L11" i="7"/>
  <c r="L12" i="7"/>
  <c r="L7" i="7"/>
  <c r="L6" i="7"/>
  <c r="L8" i="7"/>
  <c r="L9" i="7"/>
  <c r="L10" i="7"/>
  <c r="K8" i="7"/>
  <c r="K12" i="7"/>
  <c r="K11" i="7"/>
  <c r="K10" i="7"/>
  <c r="K6" i="7"/>
  <c r="K7" i="7"/>
  <c r="K9" i="7"/>
  <c r="E11" i="1"/>
  <c r="O51" i="5"/>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Q16" i="7" l="1"/>
  <c r="Q15" i="7"/>
  <c r="E10" i="1"/>
  <c r="C43" i="5"/>
  <c r="O40" i="5"/>
  <c r="E12" i="1" s="1"/>
  <c r="O35" i="5" l="1"/>
  <c r="O36" i="5" s="1"/>
  <c r="O37" i="5" s="1"/>
  <c r="F4" i="4" l="1"/>
  <c r="F5" i="4"/>
  <c r="F7" i="4"/>
  <c r="O20" i="5"/>
  <c r="O21" i="5" s="1"/>
  <c r="O22" i="5" l="1"/>
  <c r="C23" i="5" l="1"/>
  <c r="O7" i="5" s="1"/>
  <c r="O45" i="5" s="1"/>
  <c r="C24" i="5" l="1"/>
  <c r="O17" i="5"/>
  <c r="C28" i="5" s="1"/>
  <c r="D24" i="5"/>
  <c r="C57" i="5" l="1"/>
  <c r="O16" i="5"/>
  <c r="O14" i="5"/>
  <c r="L7" i="6" s="1"/>
  <c r="C27" i="5" l="1"/>
  <c r="U29" i="5"/>
  <c r="F6" i="4"/>
  <c r="O23" i="5"/>
  <c r="O31" i="5" l="1"/>
  <c r="P31" i="5" s="1"/>
  <c r="L8" i="6" s="1"/>
  <c r="C39" i="5" s="1"/>
  <c r="V29" i="5"/>
  <c r="O24" i="5"/>
  <c r="C32" i="5"/>
  <c r="O60" i="5" l="1"/>
  <c r="S59" i="5" s="1"/>
  <c r="L87" i="5"/>
  <c r="L91" i="5"/>
  <c r="L95" i="5"/>
  <c r="L99" i="5"/>
  <c r="L103" i="5"/>
  <c r="L107" i="5"/>
  <c r="L111" i="5"/>
  <c r="L115" i="5"/>
  <c r="L119" i="5"/>
  <c r="L123" i="5"/>
  <c r="L127" i="5"/>
  <c r="L131" i="5"/>
  <c r="L135" i="5"/>
  <c r="L139" i="5"/>
  <c r="L143" i="5"/>
  <c r="L147" i="5"/>
  <c r="L151" i="5"/>
  <c r="L155" i="5"/>
  <c r="L159" i="5"/>
  <c r="L163" i="5"/>
  <c r="L167" i="5"/>
  <c r="L171" i="5"/>
  <c r="L175" i="5"/>
  <c r="L179" i="5"/>
  <c r="L183" i="5"/>
  <c r="L187" i="5"/>
  <c r="L191" i="5"/>
  <c r="L195" i="5"/>
  <c r="L199" i="5"/>
  <c r="L203" i="5"/>
  <c r="L207" i="5"/>
  <c r="L211" i="5"/>
  <c r="L215" i="5"/>
  <c r="L219" i="5"/>
  <c r="L223" i="5"/>
  <c r="L227" i="5"/>
  <c r="L231" i="5"/>
  <c r="L235" i="5"/>
  <c r="L76" i="5"/>
  <c r="D76" i="5" s="1"/>
  <c r="L80" i="5"/>
  <c r="L84" i="5"/>
  <c r="L88" i="5"/>
  <c r="L92" i="5"/>
  <c r="L96" i="5"/>
  <c r="L100" i="5"/>
  <c r="L104" i="5"/>
  <c r="L108" i="5"/>
  <c r="L112" i="5"/>
  <c r="L116" i="5"/>
  <c r="L120" i="5"/>
  <c r="L124" i="5"/>
  <c r="L128" i="5"/>
  <c r="L132" i="5"/>
  <c r="L136" i="5"/>
  <c r="L140" i="5"/>
  <c r="L144" i="5"/>
  <c r="L148" i="5"/>
  <c r="L152" i="5"/>
  <c r="L156" i="5"/>
  <c r="L160" i="5"/>
  <c r="L164" i="5"/>
  <c r="L168" i="5"/>
  <c r="L172" i="5"/>
  <c r="L176" i="5"/>
  <c r="L180" i="5"/>
  <c r="L184" i="5"/>
  <c r="L188" i="5"/>
  <c r="L192" i="5"/>
  <c r="L196" i="5"/>
  <c r="L200" i="5"/>
  <c r="L204" i="5"/>
  <c r="L208" i="5"/>
  <c r="L212" i="5"/>
  <c r="L216" i="5"/>
  <c r="L220" i="5"/>
  <c r="L224" i="5"/>
  <c r="L228" i="5"/>
  <c r="L232" i="5"/>
  <c r="L236" i="5"/>
  <c r="L77" i="5"/>
  <c r="L81" i="5"/>
  <c r="L85" i="5"/>
  <c r="L89" i="5"/>
  <c r="L93" i="5"/>
  <c r="L97" i="5"/>
  <c r="L90" i="5"/>
  <c r="L102" i="5"/>
  <c r="L110" i="5"/>
  <c r="L118" i="5"/>
  <c r="L126" i="5"/>
  <c r="L134" i="5"/>
  <c r="L142" i="5"/>
  <c r="L150" i="5"/>
  <c r="L158" i="5"/>
  <c r="L166" i="5"/>
  <c r="L174" i="5"/>
  <c r="L182" i="5"/>
  <c r="L190" i="5"/>
  <c r="L198" i="5"/>
  <c r="L206" i="5"/>
  <c r="L214" i="5"/>
  <c r="L222" i="5"/>
  <c r="L230" i="5"/>
  <c r="L75" i="5"/>
  <c r="L83" i="5"/>
  <c r="L94" i="5"/>
  <c r="L105" i="5"/>
  <c r="L113" i="5"/>
  <c r="L121" i="5"/>
  <c r="L129" i="5"/>
  <c r="L137" i="5"/>
  <c r="L145" i="5"/>
  <c r="L153" i="5"/>
  <c r="L161" i="5"/>
  <c r="L169" i="5"/>
  <c r="L177" i="5"/>
  <c r="L185" i="5"/>
  <c r="L193" i="5"/>
  <c r="L201" i="5"/>
  <c r="L209" i="5"/>
  <c r="L217" i="5"/>
  <c r="L225" i="5"/>
  <c r="L233" i="5"/>
  <c r="L78" i="5"/>
  <c r="L98" i="5"/>
  <c r="L106" i="5"/>
  <c r="L114" i="5"/>
  <c r="L122" i="5"/>
  <c r="L130" i="5"/>
  <c r="L138" i="5"/>
  <c r="L146" i="5"/>
  <c r="L154" i="5"/>
  <c r="L162" i="5"/>
  <c r="L170" i="5"/>
  <c r="L178" i="5"/>
  <c r="L186" i="5"/>
  <c r="L194" i="5"/>
  <c r="L202" i="5"/>
  <c r="L210" i="5"/>
  <c r="L218" i="5"/>
  <c r="L226" i="5"/>
  <c r="L234" i="5"/>
  <c r="L79" i="5"/>
  <c r="L86" i="5"/>
  <c r="L101" i="5"/>
  <c r="L109" i="5"/>
  <c r="L117" i="5"/>
  <c r="L125" i="5"/>
  <c r="L133" i="5"/>
  <c r="L141" i="5"/>
  <c r="L149" i="5"/>
  <c r="L157" i="5"/>
  <c r="L165" i="5"/>
  <c r="L173" i="5"/>
  <c r="L181" i="5"/>
  <c r="L189" i="5"/>
  <c r="L197" i="5"/>
  <c r="L205" i="5"/>
  <c r="L213" i="5"/>
  <c r="L221" i="5"/>
  <c r="L229" i="5"/>
  <c r="L237" i="5"/>
  <c r="L82" i="5"/>
  <c r="L65" i="5"/>
  <c r="D65" i="5" s="1"/>
  <c r="L66" i="5"/>
  <c r="D66" i="5" s="1"/>
  <c r="L70" i="5"/>
  <c r="D70" i="5" s="1"/>
  <c r="L74" i="5"/>
  <c r="D74" i="5" s="1"/>
  <c r="D78" i="5"/>
  <c r="E78" i="5" s="1"/>
  <c r="D82" i="5"/>
  <c r="E82" i="5" s="1"/>
  <c r="L68" i="5"/>
  <c r="D68" i="5" s="1"/>
  <c r="D80" i="5"/>
  <c r="E80" i="5" s="1"/>
  <c r="L69" i="5"/>
  <c r="D69" i="5" s="1"/>
  <c r="L73" i="5"/>
  <c r="D73" i="5" s="1"/>
  <c r="D77" i="5"/>
  <c r="E77" i="5" s="1"/>
  <c r="D81" i="5"/>
  <c r="E81" i="5" s="1"/>
  <c r="L67" i="5"/>
  <c r="D67" i="5" s="1"/>
  <c r="L71" i="5"/>
  <c r="D71" i="5" s="1"/>
  <c r="D75" i="5"/>
  <c r="E75" i="5" s="1"/>
  <c r="D79" i="5"/>
  <c r="E79" i="5" s="1"/>
  <c r="D83" i="5"/>
  <c r="E83" i="5" s="1"/>
  <c r="L72" i="5"/>
  <c r="D72" i="5" s="1"/>
  <c r="D84" i="5"/>
  <c r="E84" i="5" s="1"/>
  <c r="H22" i="4"/>
  <c r="H33" i="4" s="1"/>
  <c r="O26" i="5"/>
  <c r="C33" i="5"/>
  <c r="O11" i="7" s="1"/>
  <c r="D35" i="5"/>
  <c r="O61" i="5" l="1"/>
  <c r="C35" i="5"/>
  <c r="H18" i="4"/>
  <c r="H17" i="4"/>
  <c r="L16" i="4"/>
  <c r="H16" i="4" s="1"/>
  <c r="H19" i="4" l="1"/>
  <c r="O18" i="5"/>
  <c r="E8" i="1" l="1"/>
  <c r="E9" i="1" s="1"/>
  <c r="O50" i="5" s="1"/>
  <c r="C52" i="5" s="1"/>
  <c r="M24" i="4"/>
  <c r="H24" i="4" s="1"/>
  <c r="M23" i="4"/>
  <c r="H23" i="4" s="1"/>
  <c r="M25" i="4"/>
  <c r="H25" i="4" s="1"/>
  <c r="E76" i="5" l="1"/>
  <c r="E74" i="5"/>
  <c r="E68" i="5"/>
  <c r="E67" i="5"/>
  <c r="O62" i="5"/>
  <c r="E65" i="5"/>
  <c r="E73" i="5"/>
  <c r="E70" i="5"/>
  <c r="E69" i="5"/>
  <c r="E71" i="5"/>
  <c r="E66" i="5"/>
  <c r="E72" i="5"/>
  <c r="C6" i="4"/>
  <c r="C4" i="4"/>
  <c r="H27" i="4" l="1"/>
  <c r="H29" i="4" s="1"/>
  <c r="H31" i="4" s="1"/>
  <c r="C5" i="4"/>
  <c r="J13" i="7" l="1"/>
  <c r="I13" i="7"/>
  <c r="J9" i="7"/>
  <c r="I9" i="7"/>
  <c r="J10" i="7"/>
  <c r="I10" i="7"/>
  <c r="J7" i="7"/>
  <c r="J11" i="7"/>
  <c r="I7" i="7"/>
  <c r="I11" i="7"/>
  <c r="J6" i="7"/>
  <c r="J8" i="7"/>
  <c r="J12" i="7"/>
  <c r="I8" i="7"/>
  <c r="I12" i="7"/>
  <c r="I6" i="7"/>
  <c r="C7" i="4"/>
  <c r="C47" i="5" s="1"/>
  <c r="H38" i="4"/>
  <c r="C48" i="5" s="1"/>
  <c r="C49" i="5" l="1"/>
  <c r="O53" i="5"/>
  <c r="E13" i="1" s="1"/>
  <c r="Q12" i="7"/>
  <c r="O13" i="7" s="1"/>
  <c r="E14" i="1" s="1"/>
  <c r="Q13" i="7"/>
  <c r="O14" i="7" s="1"/>
  <c r="E15" i="1" s="1"/>
  <c r="F76" i="5" l="1"/>
  <c r="G76" i="5"/>
  <c r="F66" i="5"/>
  <c r="F67" i="5"/>
  <c r="F68" i="5"/>
  <c r="F69" i="5"/>
  <c r="F70" i="5"/>
  <c r="F71" i="5"/>
  <c r="F72" i="5"/>
  <c r="F73" i="5"/>
  <c r="F74" i="5"/>
  <c r="G68" i="5"/>
  <c r="H65" i="5"/>
  <c r="G66" i="5"/>
  <c r="G74" i="5"/>
  <c r="G67" i="5"/>
  <c r="G73" i="5"/>
  <c r="G71" i="5"/>
  <c r="G72" i="5"/>
  <c r="G70" i="5"/>
  <c r="G69" i="5"/>
  <c r="F65" i="5"/>
  <c r="G65" i="5"/>
  <c r="K65" i="5"/>
  <c r="J65" i="5"/>
  <c r="I65" i="5"/>
</calcChain>
</file>

<file path=xl/comments1.xml><?xml version="1.0" encoding="utf-8"?>
<comments xmlns="http://schemas.openxmlformats.org/spreadsheetml/2006/main">
  <authors>
    <author>Author</author>
  </authors>
  <commentList>
    <comment ref="C6" authorId="0" shapeId="0">
      <text>
        <r>
          <rPr>
            <sz val="9"/>
            <color indexed="81"/>
            <rFont val="Tahoma"/>
            <charset val="1"/>
          </rPr>
          <t xml:space="preserve">The basic wind speed, used in the determination of design wind loads on buildings and other structures shall be as given in Table 6.2.8 except as provided in Sec 2.4.4. The wind shall be assumed to come from any horizontal direction. </t>
        </r>
      </text>
    </comment>
    <comment ref="C7" authorId="0" shapeId="0">
      <text>
        <r>
          <rPr>
            <sz val="9"/>
            <color indexed="81"/>
            <rFont val="Tahoma"/>
            <charset val="1"/>
          </rPr>
          <t xml:space="preserve">Use or Occupancy of Buildings and Structures                                                                                   Occupancy Category 
Buildings and other structures that represent a low risk to human life in the event of failure                                      I
All buildings and other structures except those listed in Risk Categories I, III, and IV                                                II
Buildings and other structures, the failure of which could pose a substantial risk to human life.                                  III
Buildings and other structures, not included in Risk Category IV, with potential to cause a substantial
economic impact and/or mass disruption of day-to-day civilian life in the event of failure.
Buildings and other structures not included in Risk Category IV (including, but not limited to, facilities that
manufacture, process, handle, store, use, or dispose of such substances as hazardous fuels, hazardous
chemicals, hazardous waste, or explosives) containing toxic or explosive substances where their quantity
exceeds a threshold quantity established by the authority having jurisdiction and is sufficient to pose a threat
to the public if released.
Buildings and other structures designated as essential facilities.                                                                              IV
Buildings and other structures, the failure of which could pose a substantial hazard to the community.
Buildings and other structures (including, but not limited to, facilities that manufacture, process, handle, store,
use, or dispose of such substances as hazardous fuels, hazardous chemicals, or hazardous waste) containing
sufficient quantities of highly toxic substances where the quantity exceeds a threshold quantity established by
the authority having jurisdiction to be dangerous to the public if released and is sufficient to pose a threat to
the public if released.a
Buildings and other structures required to maintain the functionality of other Risk Category IV structures.
a Buildings and other structures containing toxic, highly toxic, or explosive substances shall be eligible for classification to a lower Risk Category if it can be demonstrated to the satisfaction of the authority having jurisdiction by a hazard assessment as described that a release of the substances is commensurate with the risk associated with that Risk Category.
</t>
        </r>
      </text>
    </comment>
    <comment ref="C8" authorId="0" shapeId="0">
      <text>
        <r>
          <rPr>
            <sz val="9"/>
            <color indexed="81"/>
            <rFont val="Tahoma"/>
            <charset val="1"/>
          </rPr>
          <t xml:space="preserve">Surface Roughness Categories for the purpose of assigning Exposure Category are defined as follows:
Surface Roughness "A":
Urban and suburban areas, wooded areas or other terrain with numerous closely spaced obstructions having the size of single family dwellings or larger.
Surface Roughness "B":
Open terrain with scattered obstructions having heights generally &lt; 30 ft.  This category includes flat open country and grass lands.
Surface Roughness "C":
Flat, unobstructed areas and water surfaces.  This category includes smooth mud flats, salt flats, and unbroken ice.
Exposure Categories are defined as follows:
Exposure "A":
Exposure A shall apply where the ground surface roughness condition, as defined by Surface Roughness A, prevails in the upwind direction for a distance of at least 2600 ft. or 20 times the building height, whichever is greater.
   Exception: For buildings whose mean roof height &lt;= 30 ft., the upwind 
   distance may be reduced to 1500 ft.
Exposure "B":
Exposure C shall apply for all cases where exposures A and C do not apply.
Exposure "C":
Exposure C shall apply where the ground surface roughness, as defined by Surface Roughness C, prevails in the upwind diection for a distance &gt;= 5,000 ft. or 20 times the building height, whichever is greater.  Exposure C shall extend into downwind areas of Surface Roughness A or B for a distance of 600 ft. or 20 times the height of the building, whichever is greater.
</t>
        </r>
      </text>
    </comment>
    <comment ref="C10" authorId="0" shapeId="0">
      <text>
        <r>
          <rPr>
            <b/>
            <sz val="9"/>
            <color indexed="81"/>
            <rFont val="Tahoma"/>
            <charset val="1"/>
          </rPr>
          <t>Engr Hedaetullah:</t>
        </r>
        <r>
          <rPr>
            <sz val="9"/>
            <color indexed="81"/>
            <rFont val="Tahoma"/>
            <charset val="1"/>
          </rPr>
          <t xml:space="preserve">
The eave height, 'he', is the distance from the ground surface adjacent to the building to the roof eave line at a particular wall.  
If the height of the eave varies along the wall, the average height shall be used.</t>
        </r>
      </text>
    </comment>
    <comment ref="C14" authorId="0" shapeId="0">
      <text>
        <r>
          <rPr>
            <sz val="9"/>
            <color indexed="81"/>
            <rFont val="Tahoma"/>
            <charset val="1"/>
          </rPr>
          <t>This program assumes that a Gable roof is symmetrical, as the ridge line is assumed in the center of the building width.
For flat roofs (roof angle = 0 degrees), either Gable or Monoslope may be used.</t>
        </r>
      </text>
    </comment>
    <comment ref="C15" authorId="0" shapeId="0">
      <text>
        <r>
          <rPr>
            <b/>
            <sz val="9"/>
            <color indexed="81"/>
            <rFont val="Tahoma"/>
            <family val="2"/>
          </rPr>
          <t># Enclosure Classification
Open Building --&gt; OB
Partially Enclosed Building --&gt; PEB
Enclosed Building --&gt; EB
------------------------------------------
1.  An enclosed building is a building that does not comply with the requirements  for open or partially enclosed     
     buildings. 
2.  An open building is a structure having all walls at least 80% open.
3.  A partially enclosed building complies with both of the following conditions:
     a.  the total area of openings in a wall that receives positive external pressure exceeds the sum of the areas  
          of the openings in the balance of the building envelope (walls and roof) by more than 10%; and
     b.  the total area of openings in a wall that receives positive external pressure exceeds 4 sq ft or 1% of the  
          area of that wall, whichever is smaller, and the % of openings in balance of the building envelope does 
          not exceed 20%.
-------------------------------------------
Note:</t>
        </r>
        <r>
          <rPr>
            <sz val="9"/>
            <color indexed="81"/>
            <rFont val="Tahoma"/>
            <family val="2"/>
          </rPr>
          <t xml:space="preserve">
1. Plus and minus signs signify pressures acting toward and away from the internal surfaces, respectively.
2. Values of GCpi shall be used with qz or qh as specified in Sec 2.4.11.
3. Two cases shall be considered to determine the critical load requirements for the appropriate condition:
    (i) a positive value of GCpi applied to all internal surfaces
    (ii) a negative value of GCpi applied to all internal surfaces.
</t>
        </r>
      </text>
    </comment>
    <comment ref="C16" authorId="0" shapeId="0">
      <text>
        <r>
          <rPr>
            <sz val="9"/>
            <color indexed="81"/>
            <rFont val="Tahoma"/>
            <family val="2"/>
          </rPr>
          <t xml:space="preserve">The Damping Ratio, b, is the percent of critical damping. It is only used in the calculation of the Gust Factor, Gf, when a building is considered "flexible".  A building is considered "flexible" when it has a natural frequency, f &lt; 1 hz. Otherwise the building is considered "rigid".
Suggested range of values is from 0.010 to 0.070 as indicated  below:
    Material/Construction                      b (Damping Ratio)
     Welded steel,                                  0.01 to 0.02
     prestressed concrete
     Reinforced concrete                          0.03 to 0.05
     Bolted or riveted steel,                       0.05 to 0.07
     wood
Note:  if the building is "flexible", the smaller the value of the damping ratio, the larger the gust effect factor, Gf, becomes.
</t>
        </r>
      </text>
    </comment>
    <comment ref="C17" authorId="0" shapeId="0">
      <text>
        <r>
          <rPr>
            <sz val="9"/>
            <color indexed="81"/>
            <rFont val="Tahoma"/>
            <family val="2"/>
          </rPr>
          <t xml:space="preserve">Select Types of Structures:-
-------------------------------------
Buildings-Main Wind Force Resisting System -- TYPE-1
Buildings-Components and Cladding --TYPE-2
Arched Roofs -- TYPE-3
Chimneys, Tanks, and Similar Structures-Square -- TYPE-4
Chimneys, Tanks, and Similar Structures-Hexagonal  -- TYPE-5
Chimneys, Tanks, and Similar Structures-Round -- TYPE-6
Open Signs and Lattice Framework -- TYPE-7
Trussed Towers-Triangular, square, rectangular -- TYPE-8
Trussed Towers-All other cross section -- TYPE-9
</t>
        </r>
      </text>
    </comment>
    <comment ref="C18" authorId="0" shapeId="0">
      <text>
        <r>
          <rPr>
            <sz val="9"/>
            <color indexed="81"/>
            <rFont val="Tahoma"/>
            <family val="2"/>
          </rPr>
          <t>Structure Frame Types:
Concrete moment-resisting frames- (CMRF)
Steel moment-resisting frames - (SMRF)
Eccentrically braced steel frame - (EBSF)
All other structural systems - (AOSS)</t>
        </r>
      </text>
    </comment>
    <comment ref="C19" authorId="0" shapeId="0">
      <text>
        <r>
          <rPr>
            <sz val="9"/>
            <color indexed="81"/>
            <rFont val="Tahoma"/>
            <family val="2"/>
          </rPr>
          <t xml:space="preserve">The Topographic Factor, Kzt, accounts for effect of wind speed-up over isolated hills and escarpments (Sect. 26.8 and Fig. 26.8-1).
Kzt = (1+K1*K2*K3)^2   (Eq. 26.8-1), where:
H   = height of hill or escarpment relative to the upwind terrain, in feet.
Lh  = Distance upwind of crest to where the difference in ground elevation is    
         half the height of hill or escarpment, in feet.
K1 = factor to account for shape of topographic feature and maximum   
        speed-up effect.
K2 = factor to account for reduction in speed-up with distance upwind or     
        downwind of crest.
K3 = factor to account for reduction in speed-up with height above local terrain.
x = distance (upwind or downwind) from the crest to the building site, in feet.
z = height above local ground level, in feet.
The effect of wind speed-up shall not be required to be considered (Kzt = 1.0) when H/Lh &lt; 0.2, or H &lt; 15' for Exposures 'C' and 'D', or H &lt; 60' for Exposure 'B'.
</t>
        </r>
      </text>
    </comment>
    <comment ref="C35" authorId="0" shapeId="0">
      <text>
        <r>
          <rPr>
            <sz val="9"/>
            <color indexed="81"/>
            <rFont val="Tahoma"/>
            <family val="2"/>
          </rPr>
          <t xml:space="preserve">Buildings which have a natural frequency, f &gt;= 1 Hz are considered "rigid".
Buildings which have a natural frequency, f &lt; 1 Hz are considered "flexible".
</t>
        </r>
      </text>
    </comment>
    <comment ref="C47" authorId="0" shapeId="0">
      <text>
        <r>
          <rPr>
            <sz val="9"/>
            <color indexed="81"/>
            <rFont val="Tahoma"/>
            <family val="2"/>
          </rPr>
          <t xml:space="preserve">G for Rigid Structures ;
if Nstural Frequency, f&lt;1
</t>
        </r>
      </text>
    </comment>
    <comment ref="C48" authorId="0" shapeId="0">
      <text>
        <r>
          <rPr>
            <b/>
            <sz val="9"/>
            <color indexed="81"/>
            <rFont val="Tahoma"/>
            <family val="2"/>
          </rPr>
          <t>Gf for Flexible or dynamically Sensitive Structures ;
if Natural Frequency, f&gt;=1</t>
        </r>
      </text>
    </comment>
  </commentList>
</comments>
</file>

<file path=xl/sharedStrings.xml><?xml version="1.0" encoding="utf-8"?>
<sst xmlns="http://schemas.openxmlformats.org/spreadsheetml/2006/main" count="452" uniqueCount="360">
  <si>
    <t>Occupancy Category</t>
  </si>
  <si>
    <t>Location</t>
  </si>
  <si>
    <t>Angarpota</t>
  </si>
  <si>
    <t>Lalmonirhat</t>
  </si>
  <si>
    <t>Bagerhat</t>
  </si>
  <si>
    <t>Madaripur</t>
  </si>
  <si>
    <t>Bandarban</t>
  </si>
  <si>
    <t>Magura</t>
  </si>
  <si>
    <t>Barguna</t>
  </si>
  <si>
    <t>Manikganj</t>
  </si>
  <si>
    <t>Barisal</t>
  </si>
  <si>
    <t>Meherpur</t>
  </si>
  <si>
    <t>Bhola</t>
  </si>
  <si>
    <t>Maheshkhali</t>
  </si>
  <si>
    <t>Bogra</t>
  </si>
  <si>
    <t>Moulvibazar</t>
  </si>
  <si>
    <t>Brahmanbaria</t>
  </si>
  <si>
    <t>Munshiganj</t>
  </si>
  <si>
    <t>Chandpur</t>
  </si>
  <si>
    <t>Mymensingh</t>
  </si>
  <si>
    <t>Chapai Nawabganj</t>
  </si>
  <si>
    <t>Naogaon</t>
  </si>
  <si>
    <t>Chittagong</t>
  </si>
  <si>
    <t>Narail</t>
  </si>
  <si>
    <t>Chuadanga</t>
  </si>
  <si>
    <t>Narayanganj</t>
  </si>
  <si>
    <t>Comilla</t>
  </si>
  <si>
    <t>Narsinghdi</t>
  </si>
  <si>
    <t>Cox’s Bazar</t>
  </si>
  <si>
    <t>Natore</t>
  </si>
  <si>
    <t>Dahagram</t>
  </si>
  <si>
    <t>Netrokona</t>
  </si>
  <si>
    <t>Dhaka</t>
  </si>
  <si>
    <t>Nilphamari</t>
  </si>
  <si>
    <t>Dinajpur</t>
  </si>
  <si>
    <t>Noakhali</t>
  </si>
  <si>
    <t>Faridpur</t>
  </si>
  <si>
    <t>Pabna</t>
  </si>
  <si>
    <t>Feni</t>
  </si>
  <si>
    <t>Panchagarh</t>
  </si>
  <si>
    <t>Gaibandha</t>
  </si>
  <si>
    <t>Patuakhali</t>
  </si>
  <si>
    <t>Gazipur</t>
  </si>
  <si>
    <t>Pirojpur</t>
  </si>
  <si>
    <t>Gopalganj</t>
  </si>
  <si>
    <t>Rajbari</t>
  </si>
  <si>
    <t>Habiganj</t>
  </si>
  <si>
    <t>Rajshahi</t>
  </si>
  <si>
    <t>Hatiya</t>
  </si>
  <si>
    <t>Rangamati</t>
  </si>
  <si>
    <t>Ishurdi</t>
  </si>
  <si>
    <t>Rangpur</t>
  </si>
  <si>
    <t>Joypurhat</t>
  </si>
  <si>
    <t>Satkhira</t>
  </si>
  <si>
    <t>Jamalpur</t>
  </si>
  <si>
    <t>Shariatpur</t>
  </si>
  <si>
    <t>Jessore</t>
  </si>
  <si>
    <t>Sherpur</t>
  </si>
  <si>
    <t>Jhalakati</t>
  </si>
  <si>
    <t>Sirajganj</t>
  </si>
  <si>
    <t>Jhenaidah</t>
  </si>
  <si>
    <t>Srimangal</t>
  </si>
  <si>
    <t>Khagrachhari</t>
  </si>
  <si>
    <t>St. Martin’s Island</t>
  </si>
  <si>
    <t>Khulna</t>
  </si>
  <si>
    <t>Sunamganj</t>
  </si>
  <si>
    <t>Kutubdia</t>
  </si>
  <si>
    <t>Sylhet</t>
  </si>
  <si>
    <t>Kishoreganj</t>
  </si>
  <si>
    <t>Sandwip</t>
  </si>
  <si>
    <t>Kurigram</t>
  </si>
  <si>
    <t>Tangail</t>
  </si>
  <si>
    <t>Kushtia</t>
  </si>
  <si>
    <t>Teknaf</t>
  </si>
  <si>
    <t>Lakshmipur</t>
  </si>
  <si>
    <t>Thakurgaon</t>
  </si>
  <si>
    <t>Basic Wind Speed (m/s)</t>
  </si>
  <si>
    <t>I</t>
  </si>
  <si>
    <t>II</t>
  </si>
  <si>
    <t>III</t>
  </si>
  <si>
    <t>IV</t>
  </si>
  <si>
    <t>Cyclone Prone Regions with               V = 38-44 m/s</t>
  </si>
  <si>
    <t>Cyclone Prone Regions with V &gt; 44 m/s</t>
  </si>
  <si>
    <t>Table 6.2.9: Importance Factor, I (Wind Loads)</t>
  </si>
  <si>
    <t>Table 6.2.8: Basic Wind Speeds, V, for Selected Locations in Bangladesh</t>
  </si>
  <si>
    <t>Required Data For Etbas Input</t>
  </si>
  <si>
    <t>Importance Factor (I)</t>
  </si>
  <si>
    <t>B</t>
  </si>
  <si>
    <t>Structure Type</t>
  </si>
  <si>
    <t>Arched Roofs</t>
  </si>
  <si>
    <t xml:space="preserve">Directionality
Factor Kd 
</t>
  </si>
  <si>
    <t>Buildings-Main Wind Force Resisting System</t>
  </si>
  <si>
    <t xml:space="preserve">Chimneys, Tanks, and Similar Structures-Square </t>
  </si>
  <si>
    <t>Chimneys, Tanks, and Similar Structures-Round</t>
  </si>
  <si>
    <t xml:space="preserve">Chimneys, Tanks, and Similar Structures-Hexagonal </t>
  </si>
  <si>
    <t xml:space="preserve">Open Signs and Lattice Framework </t>
  </si>
  <si>
    <t xml:space="preserve">Trussed Towers-Triangular, square, rectangular </t>
  </si>
  <si>
    <t>Trussed Towers-All other cross section</t>
  </si>
  <si>
    <r>
      <rPr>
        <b/>
        <sz val="11"/>
        <color theme="1"/>
        <rFont val="Calibri"/>
        <family val="2"/>
        <scheme val="minor"/>
      </rPr>
      <t>Buildings</t>
    </r>
    <r>
      <rPr>
        <sz val="11"/>
        <color theme="1"/>
        <rFont val="Calibri"/>
        <family val="2"/>
        <scheme val="minor"/>
      </rPr>
      <t>-Components and Cladding</t>
    </r>
  </si>
  <si>
    <t>Directionality Factor (Kd)</t>
  </si>
  <si>
    <t>Exposure type</t>
  </si>
  <si>
    <t>Topographical Factor (Kzt)</t>
  </si>
  <si>
    <t xml:space="preserve">Gust Factor </t>
  </si>
  <si>
    <t>Exposure</t>
  </si>
  <si>
    <t>α</t>
  </si>
  <si>
    <t>â</t>
  </si>
  <si>
    <t xml:space="preserve"> </t>
  </si>
  <si>
    <t xml:space="preserve">ᾱ  </t>
  </si>
  <si>
    <t xml:space="preserve">  </t>
  </si>
  <si>
    <t>c</t>
  </si>
  <si>
    <t>l (m)</t>
  </si>
  <si>
    <t>zmin (m)*</t>
  </si>
  <si>
    <t>A</t>
  </si>
  <si>
    <t>C</t>
  </si>
  <si>
    <t>Zg (m)</t>
  </si>
  <si>
    <t>Table 6.2.10: Terrain Exposure Constants</t>
  </si>
  <si>
    <t>l (m) =</t>
  </si>
  <si>
    <t>Ehos z bar=</t>
  </si>
  <si>
    <t>Q=</t>
  </si>
  <si>
    <t>C=</t>
  </si>
  <si>
    <t>G=</t>
  </si>
  <si>
    <t>Structure type</t>
  </si>
  <si>
    <t>Ct</t>
  </si>
  <si>
    <t>m</t>
  </si>
  <si>
    <t>Concrete moment-resisting frames</t>
  </si>
  <si>
    <t>CMRF</t>
  </si>
  <si>
    <t>Steel moment-resisting frames</t>
  </si>
  <si>
    <t>SMRF</t>
  </si>
  <si>
    <t>Eccentrically braced steel frame</t>
  </si>
  <si>
    <t>EBSF</t>
  </si>
  <si>
    <t>All other structural systems</t>
  </si>
  <si>
    <t>AOSS</t>
  </si>
  <si>
    <t>Basic Wind Speed (mph)</t>
  </si>
  <si>
    <t>This is the Poperty of School of civil Engineering</t>
  </si>
  <si>
    <t>Support us And stay connected</t>
  </si>
  <si>
    <t>This file is only for edicational Perpose. Pls don't misuse it.</t>
  </si>
  <si>
    <t>Input Data</t>
  </si>
  <si>
    <t>Location=</t>
  </si>
  <si>
    <t>Occupancy Category=</t>
  </si>
  <si>
    <t>Exposure Type=</t>
  </si>
  <si>
    <t>Sec-1.2.3 &amp; Table-6.1.1</t>
  </si>
  <si>
    <t>Sec-2.4.4 &amp; Table-6.2.8</t>
  </si>
  <si>
    <t>Ridge Height, hr =</t>
  </si>
  <si>
    <t>ft. (hr &gt;= he)</t>
  </si>
  <si>
    <t>Eave Height, he =</t>
  </si>
  <si>
    <t>ft. (he &lt;= hr)</t>
  </si>
  <si>
    <t>Gable</t>
  </si>
  <si>
    <t>Monoslope</t>
  </si>
  <si>
    <t>Roof Types</t>
  </si>
  <si>
    <t>Roof Types=</t>
  </si>
  <si>
    <t>Sec-2.4.6</t>
  </si>
  <si>
    <t>Calculation</t>
  </si>
  <si>
    <t>For Rigid Structure</t>
  </si>
  <si>
    <t>For Flexible Structure</t>
  </si>
  <si>
    <t>V=</t>
  </si>
  <si>
    <t>m/s</t>
  </si>
  <si>
    <t>ᾱ=</t>
  </si>
  <si>
    <t>Yes</t>
  </si>
  <si>
    <t>No</t>
  </si>
  <si>
    <t>(Suggested Range = 0.010-0.070)</t>
  </si>
  <si>
    <t>Parameters and Coefficients Calculation:</t>
  </si>
  <si>
    <t>Roof Angle, θ =</t>
  </si>
  <si>
    <t>deg</t>
  </si>
  <si>
    <t>Mean Roof  Ht., h =</t>
  </si>
  <si>
    <t>ft</t>
  </si>
  <si>
    <t>Lesser of L or B =</t>
  </si>
  <si>
    <t>hr=</t>
  </si>
  <si>
    <t>he=</t>
  </si>
  <si>
    <t>B=</t>
  </si>
  <si>
    <t>L=</t>
  </si>
  <si>
    <t>Check Criteria for a Low-Rise Building:</t>
  </si>
  <si>
    <t>1.  Is h &lt;= 60' ?</t>
  </si>
  <si>
    <t>Check 'Low-Rise' Criteria:</t>
  </si>
  <si>
    <t>Is h &lt;= 60'?</t>
  </si>
  <si>
    <t>Is h &lt;= Lesser L,B?</t>
  </si>
  <si>
    <t>2.  Is h &lt;= Lesser of L or B?</t>
  </si>
  <si>
    <t>h=</t>
  </si>
  <si>
    <r>
      <t>R</t>
    </r>
    <r>
      <rPr>
        <sz val="9"/>
        <color theme="1"/>
        <rFont val="Calibri"/>
        <family val="2"/>
        <scheme val="minor"/>
      </rPr>
      <t>h=</t>
    </r>
  </si>
  <si>
    <r>
      <t>R</t>
    </r>
    <r>
      <rPr>
        <sz val="9"/>
        <color theme="1"/>
        <rFont val="Calibri"/>
        <family val="2"/>
        <scheme val="minor"/>
      </rPr>
      <t>B=</t>
    </r>
  </si>
  <si>
    <r>
      <t>R</t>
    </r>
    <r>
      <rPr>
        <sz val="9"/>
        <color theme="1"/>
        <rFont val="Calibri"/>
        <family val="2"/>
        <scheme val="minor"/>
      </rPr>
      <t>L=</t>
    </r>
  </si>
  <si>
    <t>Ƞ=</t>
  </si>
  <si>
    <t>Structure Frame type=</t>
  </si>
  <si>
    <t>Ct=</t>
  </si>
  <si>
    <t>m=</t>
  </si>
  <si>
    <t>T=</t>
  </si>
  <si>
    <t>n1/f=</t>
  </si>
  <si>
    <t>Hz</t>
  </si>
  <si>
    <t>Sec.</t>
  </si>
  <si>
    <r>
      <rPr>
        <sz val="12"/>
        <color theme="1"/>
        <rFont val="Calibri"/>
        <family val="2"/>
        <scheme val="minor"/>
      </rPr>
      <t>f/n</t>
    </r>
    <r>
      <rPr>
        <sz val="11"/>
        <color theme="1"/>
        <rFont val="Calibri"/>
        <family val="2"/>
        <scheme val="minor"/>
      </rPr>
      <t>1=</t>
    </r>
  </si>
  <si>
    <r>
      <t>N</t>
    </r>
    <r>
      <rPr>
        <sz val="8"/>
        <color theme="1"/>
        <rFont val="Calibri"/>
        <family val="2"/>
        <scheme val="minor"/>
      </rPr>
      <t>1</t>
    </r>
    <r>
      <rPr>
        <sz val="11"/>
        <color theme="1"/>
        <rFont val="Calibri"/>
        <family val="2"/>
        <scheme val="minor"/>
      </rPr>
      <t>=</t>
    </r>
  </si>
  <si>
    <t>Rn=</t>
  </si>
  <si>
    <t>R=</t>
  </si>
  <si>
    <r>
      <rPr>
        <sz val="14"/>
        <color theme="1"/>
        <rFont val="Calibri"/>
        <family val="2"/>
        <scheme val="minor"/>
      </rPr>
      <t>g</t>
    </r>
    <r>
      <rPr>
        <sz val="9"/>
        <color theme="1"/>
        <rFont val="Calibri"/>
        <family val="2"/>
        <scheme val="minor"/>
      </rPr>
      <t>R=</t>
    </r>
  </si>
  <si>
    <r>
      <rPr>
        <sz val="14"/>
        <color theme="1"/>
        <rFont val="Calibri"/>
        <family val="2"/>
        <scheme val="minor"/>
      </rPr>
      <t>g</t>
    </r>
    <r>
      <rPr>
        <sz val="9"/>
        <color theme="1"/>
        <rFont val="Calibri"/>
        <family val="2"/>
        <scheme val="minor"/>
      </rPr>
      <t>Q=</t>
    </r>
  </si>
  <si>
    <r>
      <rPr>
        <sz val="14"/>
        <color theme="1"/>
        <rFont val="Calibri"/>
        <family val="2"/>
        <scheme val="minor"/>
      </rPr>
      <t>g</t>
    </r>
    <r>
      <rPr>
        <sz val="9"/>
        <color theme="1"/>
        <rFont val="Calibri"/>
        <family val="2"/>
        <scheme val="minor"/>
      </rPr>
      <t>V=</t>
    </r>
  </si>
  <si>
    <r>
      <t>G</t>
    </r>
    <r>
      <rPr>
        <sz val="9"/>
        <color theme="1"/>
        <rFont val="Calibri"/>
        <family val="2"/>
        <scheme val="minor"/>
      </rPr>
      <t>f</t>
    </r>
    <r>
      <rPr>
        <sz val="12"/>
        <color theme="1"/>
        <rFont val="Calibri"/>
        <family val="2"/>
        <scheme val="minor"/>
      </rPr>
      <t>=</t>
    </r>
  </si>
  <si>
    <t>Structure Conditions:</t>
  </si>
  <si>
    <t>Is Building Flexible?</t>
  </si>
  <si>
    <t>= Ct*h^m ,  sec. (Approximate fundamental period)</t>
  </si>
  <si>
    <t>f=</t>
  </si>
  <si>
    <t>= 1/T ,  Hz. (Natural Frequency)</t>
  </si>
  <si>
    <t>Case 1</t>
  </si>
  <si>
    <t>Case 2</t>
  </si>
  <si>
    <t>Case 1 &amp; 2</t>
  </si>
  <si>
    <t>Notes:</t>
  </si>
  <si>
    <t>1.  Case 1:</t>
  </si>
  <si>
    <t>(a)        All components and cladding.</t>
  </si>
  <si>
    <t>(b)       Main wind force resisting system in low-rise buildings designed using Figure 6.2.10. Case 2:</t>
  </si>
  <si>
    <t>(a)        All main wind force resisting systems in buildings except those in low-rise buildings designed using Figure 6.2.10.</t>
  </si>
  <si>
    <t>(b)       All main wind force resisting systems in other structures.</t>
  </si>
  <si>
    <t>2.  The velocity pressure exposure coefficient Kz may be determined from the following formula: For 4.57 m ≤ z ≤zg: Kz = 2.01 (z/zg)2/α</t>
  </si>
  <si>
    <t>For z &lt; 4.57 m: Kz = 2.01 (4.57/zg)2/a</t>
  </si>
  <si>
    <t>Note: z shall not be taken less than 9.1 m for Case 1 in exposure A.</t>
  </si>
  <si>
    <t>3.  α and zg are tabulated in Table 6.2.3.</t>
  </si>
  <si>
    <t>4.  Linear interpolation for intermediate values. of height z is acceptable.</t>
  </si>
  <si>
    <t>5.  Exposure categories are defined in Sec 2.4.6.3.</t>
  </si>
  <si>
    <t>Height above ground level, z (m)</t>
  </si>
  <si>
    <t>Velocity Pressure Exposure Coefficients, Kh and Kz</t>
  </si>
  <si>
    <t>Velocity Pressure Exposure Coefficients</t>
  </si>
  <si>
    <t>A_Case1</t>
  </si>
  <si>
    <t>A_Case2</t>
  </si>
  <si>
    <t>Enclosure Classification</t>
  </si>
  <si>
    <t>Enclosure Classification=</t>
  </si>
  <si>
    <t>Figure 6.2.5 Internal pressure coefficient, GCpi main wind force resisting system component and cladding - Method 2 (All Heights)</t>
  </si>
  <si>
    <t>GCpi</t>
  </si>
  <si>
    <t>Open Building</t>
  </si>
  <si>
    <t>Partially Enclosed Building</t>
  </si>
  <si>
    <t>Enclosed Building</t>
  </si>
  <si>
    <t>OB</t>
  </si>
  <si>
    <t>PEB</t>
  </si>
  <si>
    <t>EB</t>
  </si>
  <si>
    <t>Case No=</t>
  </si>
  <si>
    <t>Positive &amp; Negative Internal Pressure Coefficients, GCpi</t>
  </si>
  <si>
    <t>GCpi=</t>
  </si>
  <si>
    <t>+ GCpi (PIPC)</t>
  </si>
  <si>
    <t>- GCpi (PIPC)</t>
  </si>
  <si>
    <t>Topo. Factor, Kzt =</t>
  </si>
  <si>
    <t>(Sect. 2.4.7 &amp; Figure 6.2.4)</t>
  </si>
  <si>
    <t>This Channel are Manageing By Engr Hedaetullah And N.J. Disha (B.Sc. In Civil Engineering)</t>
  </si>
  <si>
    <t>Surface</t>
  </si>
  <si>
    <t>L/B</t>
  </si>
  <si>
    <t>Use With</t>
  </si>
  <si>
    <t>Windward Wall</t>
  </si>
  <si>
    <t>All values</t>
  </si>
  <si>
    <t>Leeward Wall</t>
  </si>
  <si>
    <t>0-1</t>
  </si>
  <si>
    <t>Side Wall</t>
  </si>
  <si>
    <t>Wall  Pressure Coefficients, Cp</t>
  </si>
  <si>
    <t>Cp</t>
  </si>
  <si>
    <t>qz</t>
  </si>
  <si>
    <t>qh</t>
  </si>
  <si>
    <t>&gt; 4</t>
  </si>
  <si>
    <t>Figure-6.2.6   Wall  Pressure Coefficients, Cp</t>
  </si>
  <si>
    <t>Windward=</t>
  </si>
  <si>
    <t>Leeward=</t>
  </si>
  <si>
    <t>Side=</t>
  </si>
  <si>
    <t>L/B=</t>
  </si>
  <si>
    <r>
      <t>I</t>
    </r>
    <r>
      <rPr>
        <sz val="10"/>
        <color theme="1"/>
        <rFont val="Calibri"/>
        <family val="2"/>
        <scheme val="minor"/>
      </rPr>
      <t>z(bar)</t>
    </r>
    <r>
      <rPr>
        <sz val="11"/>
        <color theme="1"/>
        <rFont val="Calibri"/>
        <family val="2"/>
        <scheme val="minor"/>
      </rPr>
      <t xml:space="preserve"> =</t>
    </r>
  </si>
  <si>
    <r>
      <t>L</t>
    </r>
    <r>
      <rPr>
        <sz val="10"/>
        <color theme="1"/>
        <rFont val="Calibri"/>
        <family val="2"/>
        <scheme val="minor"/>
      </rPr>
      <t>z (bar)</t>
    </r>
    <r>
      <rPr>
        <sz val="11"/>
        <color theme="1"/>
        <rFont val="Calibri"/>
        <family val="2"/>
        <scheme val="minor"/>
      </rPr>
      <t>=</t>
    </r>
  </si>
  <si>
    <t>Data From Etabs</t>
  </si>
  <si>
    <t>XCR</t>
  </si>
  <si>
    <t>YCR</t>
  </si>
  <si>
    <r>
      <rPr>
        <sz val="20"/>
        <color theme="1"/>
        <rFont val="Calibri"/>
        <family val="2"/>
        <scheme val="minor"/>
      </rPr>
      <t>e</t>
    </r>
    <r>
      <rPr>
        <sz val="11"/>
        <color theme="1"/>
        <rFont val="Calibri"/>
        <family val="2"/>
        <scheme val="minor"/>
      </rPr>
      <t>R1</t>
    </r>
  </si>
  <si>
    <r>
      <rPr>
        <sz val="20"/>
        <color theme="1"/>
        <rFont val="Calibri"/>
        <family val="2"/>
        <scheme val="minor"/>
      </rPr>
      <t>e</t>
    </r>
    <r>
      <rPr>
        <sz val="11"/>
        <color theme="1"/>
        <rFont val="Calibri"/>
        <family val="2"/>
        <scheme val="minor"/>
      </rPr>
      <t>R2</t>
    </r>
  </si>
  <si>
    <t>Output Data For Etabs</t>
  </si>
  <si>
    <r>
      <rPr>
        <sz val="20"/>
        <color theme="1"/>
        <rFont val="Calibri"/>
        <family val="2"/>
        <scheme val="minor"/>
      </rPr>
      <t>e</t>
    </r>
    <r>
      <rPr>
        <sz val="11"/>
        <color theme="1"/>
        <rFont val="Calibri"/>
        <family val="2"/>
        <scheme val="minor"/>
      </rPr>
      <t>1</t>
    </r>
  </si>
  <si>
    <r>
      <rPr>
        <sz val="20"/>
        <color theme="1"/>
        <rFont val="Calibri"/>
        <family val="2"/>
        <scheme val="minor"/>
      </rPr>
      <t>e</t>
    </r>
    <r>
      <rPr>
        <sz val="11"/>
        <color theme="1"/>
        <rFont val="Calibri"/>
        <family val="2"/>
        <scheme val="minor"/>
      </rPr>
      <t>2</t>
    </r>
    <r>
      <rPr>
        <sz val="11"/>
        <color theme="1"/>
        <rFont val="Calibri"/>
        <family val="2"/>
        <scheme val="minor"/>
      </rPr>
      <t/>
    </r>
  </si>
  <si>
    <t>e1</t>
  </si>
  <si>
    <t>e2</t>
  </si>
  <si>
    <t>e1=</t>
  </si>
  <si>
    <t>e2=</t>
  </si>
  <si>
    <t>Structure Type=</t>
  </si>
  <si>
    <t>TYPE-1</t>
  </si>
  <si>
    <t>TYPE-2</t>
  </si>
  <si>
    <t>TYPE-3</t>
  </si>
  <si>
    <t>TYPE-4</t>
  </si>
  <si>
    <t>TYPE-5</t>
  </si>
  <si>
    <t>TYPE-6</t>
  </si>
  <si>
    <t>TYPE-7</t>
  </si>
  <si>
    <t>TYPE-8</t>
  </si>
  <si>
    <t>TYPE-9</t>
  </si>
  <si>
    <t>Importantce Factor (I)=</t>
  </si>
  <si>
    <t>Kd=</t>
  </si>
  <si>
    <t>For BNBC 2020, ASCE 7-05, ASCE 7-10</t>
  </si>
  <si>
    <t>Windward- (Cp)</t>
  </si>
  <si>
    <t>LeeWard- (Cp)</t>
  </si>
  <si>
    <t>Velocity Pressure Exposure Coefficients, Kh and Kz:</t>
  </si>
  <si>
    <t>Kh=</t>
  </si>
  <si>
    <t>T 6.2.11  Velocity Pressure Exposure Coefficients, Kh and Kz</t>
  </si>
  <si>
    <t>Sec-2.4.6.6  &amp; Table-6.2.11</t>
  </si>
  <si>
    <t xml:space="preserve">Directionality Factor, Kd: </t>
  </si>
  <si>
    <t>Gust Factor, G or Gf:</t>
  </si>
  <si>
    <t>Gf=</t>
  </si>
  <si>
    <t>Sec-2.4.8.1</t>
  </si>
  <si>
    <t>Sec-2.4.8.2</t>
  </si>
  <si>
    <t>Importantce Factor, I:</t>
  </si>
  <si>
    <t>I=</t>
  </si>
  <si>
    <t>Sec-2.4.5  &amp; Table-6.2.9</t>
  </si>
  <si>
    <t>Wall or Roof Presssure Coefficients, Cp:</t>
  </si>
  <si>
    <t>WindWard=</t>
  </si>
  <si>
    <t>LeeWard=</t>
  </si>
  <si>
    <t>Figure-6.2.6</t>
  </si>
  <si>
    <t>Wind Direction=</t>
  </si>
  <si>
    <t>Normal</t>
  </si>
  <si>
    <t>Parallel</t>
  </si>
  <si>
    <t>(Normal or Parallel to building ridge)</t>
  </si>
  <si>
    <t>Building Width =</t>
  </si>
  <si>
    <t>Building Length=</t>
  </si>
  <si>
    <t>ft.</t>
  </si>
  <si>
    <t>h/L=</t>
  </si>
  <si>
    <t>Z (ft)</t>
  </si>
  <si>
    <t>Z (m)</t>
  </si>
  <si>
    <t>Kz</t>
  </si>
  <si>
    <t>α=</t>
  </si>
  <si>
    <t>Zg=</t>
  </si>
  <si>
    <t>Kz=</t>
  </si>
  <si>
    <t>Final (Z)</t>
  </si>
  <si>
    <t>KN/m^2</t>
  </si>
  <si>
    <t>+ GCpi</t>
  </si>
  <si>
    <t>-GCpi</t>
  </si>
  <si>
    <t>z for qi=</t>
  </si>
  <si>
    <t>qi=</t>
  </si>
  <si>
    <t>Wind ward, P (KN/m^2)</t>
  </si>
  <si>
    <t>Lee Ward, P (All) (KN/m^2)</t>
  </si>
  <si>
    <t>Side Walls, P (All) (KN/m^2)</t>
  </si>
  <si>
    <t>ft. (Normal to Building Ridge-X)</t>
  </si>
  <si>
    <t>ft. (Parallel to Building Ridge-Y)</t>
  </si>
  <si>
    <t>ok</t>
  </si>
  <si>
    <t>Final Value (Flx)</t>
  </si>
  <si>
    <r>
      <rPr>
        <sz val="20"/>
        <color theme="1"/>
        <rFont val="Calibri"/>
        <family val="2"/>
        <scheme val="minor"/>
      </rPr>
      <t>e</t>
    </r>
    <r>
      <rPr>
        <sz val="11"/>
        <color theme="1"/>
        <rFont val="Calibri"/>
        <family val="2"/>
        <scheme val="minor"/>
      </rPr>
      <t>x/</t>
    </r>
    <r>
      <rPr>
        <sz val="20"/>
        <color theme="1"/>
        <rFont val="Calibri"/>
        <family val="2"/>
        <scheme val="minor"/>
      </rPr>
      <t>B</t>
    </r>
    <r>
      <rPr>
        <sz val="11"/>
        <color theme="1"/>
        <rFont val="Calibri"/>
        <family val="2"/>
        <scheme val="minor"/>
      </rPr>
      <t>x</t>
    </r>
  </si>
  <si>
    <r>
      <t>e</t>
    </r>
    <r>
      <rPr>
        <sz val="10"/>
        <color theme="1"/>
        <rFont val="Calibri"/>
        <family val="2"/>
        <scheme val="minor"/>
      </rPr>
      <t>y</t>
    </r>
    <r>
      <rPr>
        <sz val="20"/>
        <color theme="1"/>
        <rFont val="Calibri"/>
        <family val="2"/>
        <scheme val="minor"/>
      </rPr>
      <t>/B</t>
    </r>
    <r>
      <rPr>
        <sz val="10"/>
        <color theme="1"/>
        <rFont val="Calibri"/>
        <family val="2"/>
        <scheme val="minor"/>
      </rPr>
      <t>y</t>
    </r>
  </si>
  <si>
    <t>N TO R</t>
  </si>
  <si>
    <t>P TO R</t>
  </si>
  <si>
    <t>Rigid</t>
  </si>
  <si>
    <t>Final Value (Rgd)</t>
  </si>
  <si>
    <t xml:space="preserve">Final Value </t>
  </si>
  <si>
    <t>XCM</t>
  </si>
  <si>
    <t>YCM</t>
  </si>
  <si>
    <t xml:space="preserve">   </t>
  </si>
  <si>
    <r>
      <t xml:space="preserve">Damping Ratio, </t>
    </r>
    <r>
      <rPr>
        <sz val="11"/>
        <rFont val="Calibri"/>
        <family val="2"/>
      </rPr>
      <t>β</t>
    </r>
    <r>
      <rPr>
        <sz val="11"/>
        <rFont val="Calibri"/>
        <family val="2"/>
        <scheme val="minor"/>
      </rPr>
      <t xml:space="preserve"> =</t>
    </r>
  </si>
  <si>
    <r>
      <t xml:space="preserve">Roof Angle, </t>
    </r>
    <r>
      <rPr>
        <sz val="11"/>
        <rFont val="Calibri"/>
        <family val="2"/>
      </rPr>
      <t>θ</t>
    </r>
    <r>
      <rPr>
        <sz val="11"/>
        <rFont val="Calibri"/>
        <family val="2"/>
        <scheme val="minor"/>
      </rPr>
      <t xml:space="preserve"> =</t>
    </r>
  </si>
  <si>
    <r>
      <t>Use:  G/G</t>
    </r>
    <r>
      <rPr>
        <sz val="8"/>
        <rFont val="Calibri"/>
        <family val="2"/>
        <scheme val="minor"/>
      </rPr>
      <t>f</t>
    </r>
    <r>
      <rPr>
        <sz val="11"/>
        <rFont val="Calibri"/>
        <family val="2"/>
        <scheme val="minor"/>
      </rPr>
      <t>=</t>
    </r>
  </si>
  <si>
    <t>qLearnify is an educational platform dedicated to the professional development of engineers and architects.</t>
  </si>
  <si>
    <t>Website:</t>
  </si>
  <si>
    <t>https://qlearnify.com/</t>
  </si>
  <si>
    <t>Facebook:</t>
  </si>
  <si>
    <t>https://www.facebook.com/qlearnify</t>
  </si>
  <si>
    <t>Youtube (Bangla):</t>
  </si>
  <si>
    <t>https://www.youtube.com/@qlearnify-bn</t>
  </si>
  <si>
    <t>Youtube (English):</t>
  </si>
  <si>
    <t>https://www.youtube.com/@qlearnify-en</t>
  </si>
  <si>
    <t>WhatsApp:</t>
  </si>
  <si>
    <t>https://wa.me/8801511250108</t>
  </si>
  <si>
    <t>LinkedIn:</t>
  </si>
  <si>
    <t>https://www.linkedin.com/company/qlearnify/</t>
  </si>
  <si>
    <t>Note: This Excel sheet has been created for educational purposes; please validate it according to your own standards before using it for professional work.</t>
  </si>
  <si>
    <t>Bangla:</t>
  </si>
  <si>
    <t>https://youtube.com/playlist?list=PLxle8F-wJI7P43K0GljphED4I5TRXu6Zx&amp;si=el-Lrxm5mB1Vmgcf</t>
  </si>
  <si>
    <t>English:</t>
  </si>
  <si>
    <t>https://youtube.com/playlist?list=PLTscI_CLWNfB_1x6_7zylwLZWo7mKypCq&amp;si=QzFh_rJa61GU0YNW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</si>
</sst>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0.0000"/>
    <numFmt numFmtId="165" formatCode="&quot;+/-&quot;\ 0.00"/>
    <numFmt numFmtId="166" formatCode="0.000"/>
    <numFmt numFmtId="167" formatCode="0.0"/>
    <numFmt numFmtId="168" formatCode="0.00000"/>
    <numFmt numFmtId="169" formatCode="&quot;Bx=&quot;\ 0"/>
    <numFmt numFmtId="170" formatCode="&quot;By=&quot;0"/>
    <numFmt numFmtId="171" formatCode="&quot;Bx=&quot;\ 0.0"/>
    <numFmt numFmtId="172" formatCode="&quot;By=&quot;0.0"/>
    <numFmt numFmtId="173" formatCode="&quot;By=&quot;\ 0.0"/>
  </numFmts>
  <fonts count="39" x14ac:knownFonts="1">
    <font>
      <sz val="11"/>
      <color theme="1"/>
      <name val="Calibri"/>
      <family val="2"/>
      <scheme val="minor"/>
    </font>
    <font>
      <b/>
      <sz val="11"/>
      <color theme="1"/>
      <name val="Calibri"/>
      <family val="2"/>
      <scheme val="minor"/>
    </font>
    <font>
      <b/>
      <sz val="9"/>
      <color rgb="FF231F20"/>
      <name val="Calibri"/>
      <family val="2"/>
      <scheme val="minor"/>
    </font>
    <font>
      <b/>
      <sz val="9"/>
      <color theme="1"/>
      <name val="Calibri"/>
      <family val="2"/>
      <scheme val="minor"/>
    </font>
    <font>
      <sz val="8.5"/>
      <color rgb="FF231F20"/>
      <name val="Calibri"/>
      <family val="2"/>
      <scheme val="minor"/>
    </font>
    <font>
      <sz val="12"/>
      <color theme="1"/>
      <name val="Calibri"/>
      <family val="2"/>
      <scheme val="minor"/>
    </font>
    <font>
      <b/>
      <sz val="14"/>
      <color theme="1"/>
      <name val="Calibri"/>
      <family val="2"/>
      <scheme val="minor"/>
    </font>
    <font>
      <b/>
      <sz val="16"/>
      <color theme="1"/>
      <name val="Calibri"/>
      <family val="2"/>
      <scheme val="minor"/>
    </font>
    <font>
      <b/>
      <sz val="20"/>
      <color theme="1"/>
      <name val="Calibri"/>
      <family val="2"/>
      <scheme val="minor"/>
    </font>
    <font>
      <b/>
      <sz val="22"/>
      <color theme="1"/>
      <name val="Calibri"/>
      <family val="2"/>
      <scheme val="minor"/>
    </font>
    <font>
      <b/>
      <sz val="16"/>
      <color rgb="FF231F20"/>
      <name val="Calibri"/>
      <family val="2"/>
      <scheme val="minor"/>
    </font>
    <font>
      <sz val="10"/>
      <color theme="1"/>
      <name val="Calibri"/>
      <family val="2"/>
      <scheme val="minor"/>
    </font>
    <font>
      <sz val="10"/>
      <color theme="1"/>
      <name val="Times New Roman"/>
      <family val="1"/>
    </font>
    <font>
      <b/>
      <sz val="12"/>
      <color rgb="FFFF0000"/>
      <name val="Calibri"/>
      <family val="2"/>
      <scheme val="minor"/>
    </font>
    <font>
      <sz val="26"/>
      <color theme="1"/>
      <name val="Calibri"/>
      <family val="2"/>
      <scheme val="minor"/>
    </font>
    <font>
      <sz val="22"/>
      <color rgb="FF7030A0"/>
      <name val="Calibri"/>
      <family val="2"/>
      <scheme val="minor"/>
    </font>
    <font>
      <sz val="18"/>
      <color theme="1"/>
      <name val="Calibri"/>
      <family val="2"/>
      <scheme val="minor"/>
    </font>
    <font>
      <sz val="9"/>
      <color indexed="81"/>
      <name val="Tahoma"/>
      <charset val="1"/>
    </font>
    <font>
      <b/>
      <sz val="9"/>
      <color indexed="81"/>
      <name val="Tahoma"/>
      <charset val="1"/>
    </font>
    <font>
      <sz val="11"/>
      <color theme="0"/>
      <name val="Calibri"/>
      <family val="2"/>
      <scheme val="minor"/>
    </font>
    <font>
      <sz val="9"/>
      <color indexed="81"/>
      <name val="Tahoma"/>
      <family val="2"/>
    </font>
    <font>
      <b/>
      <sz val="9"/>
      <color indexed="81"/>
      <name val="Tahoma"/>
      <family val="2"/>
    </font>
    <font>
      <sz val="9"/>
      <color theme="1"/>
      <name val="Calibri"/>
      <family val="2"/>
      <scheme val="minor"/>
    </font>
    <font>
      <sz val="10"/>
      <color theme="1"/>
      <name val="Calibri"/>
      <family val="2"/>
    </font>
    <font>
      <sz val="14"/>
      <color theme="1"/>
      <name val="Calibri"/>
      <family val="2"/>
      <scheme val="minor"/>
    </font>
    <font>
      <sz val="8"/>
      <color theme="1"/>
      <name val="Calibri"/>
      <family val="2"/>
      <scheme val="minor"/>
    </font>
    <font>
      <sz val="20"/>
      <color theme="1"/>
      <name val="Calibri"/>
      <family val="2"/>
      <scheme val="minor"/>
    </font>
    <font>
      <b/>
      <sz val="8.5"/>
      <name val="Calibri"/>
      <family val="2"/>
      <scheme val="minor"/>
    </font>
    <font>
      <sz val="11"/>
      <name val="Calibri"/>
      <family val="2"/>
      <scheme val="minor"/>
    </font>
    <font>
      <sz val="11"/>
      <color rgb="FFFF0000"/>
      <name val="Calibri"/>
      <family val="2"/>
      <scheme val="minor"/>
    </font>
    <font>
      <b/>
      <sz val="12"/>
      <name val="Calibri"/>
      <family val="2"/>
      <scheme val="minor"/>
    </font>
    <font>
      <b/>
      <sz val="11"/>
      <name val="Calibri"/>
      <family val="2"/>
      <scheme val="minor"/>
    </font>
    <font>
      <sz val="11"/>
      <name val="Calibri"/>
      <family val="2"/>
    </font>
    <font>
      <b/>
      <u/>
      <sz val="11"/>
      <name val="Calibri"/>
      <family val="2"/>
      <scheme val="minor"/>
    </font>
    <font>
      <sz val="8"/>
      <name val="Calibri"/>
      <family val="2"/>
      <scheme val="minor"/>
    </font>
    <font>
      <u/>
      <sz val="11"/>
      <color theme="10"/>
      <name val="Calibri"/>
      <family val="2"/>
      <scheme val="minor"/>
    </font>
    <font>
      <sz val="16"/>
      <color theme="1"/>
      <name val="Calibri"/>
      <family val="2"/>
      <scheme val="minor"/>
    </font>
    <font>
      <b/>
      <sz val="16"/>
      <color rgb="FFFF0000"/>
      <name val="Calibri"/>
      <family val="2"/>
      <scheme val="minor"/>
    </font>
    <font>
      <b/>
      <sz val="12"/>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4" tint="0.79998168889431442"/>
        <bgColor indexed="64"/>
      </patternFill>
    </fill>
    <fill>
      <patternFill patternType="solid">
        <fgColor rgb="FF00B0F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rgb="FF231F20"/>
      </bottom>
      <diagonal/>
    </border>
    <border>
      <left/>
      <right/>
      <top/>
      <bottom style="thin">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0" fontId="35" fillId="0" borderId="0" applyNumberFormat="0" applyFill="0" applyBorder="0" applyAlignment="0" applyProtection="0"/>
  </cellStyleXfs>
  <cellXfs count="151">
    <xf numFmtId="0" fontId="0" fillId="0" borderId="0" xfId="0"/>
    <xf numFmtId="0" fontId="0" fillId="0" borderId="0" xfId="0"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wrapText="1"/>
    </xf>
    <xf numFmtId="0" fontId="3" fillId="0" borderId="1" xfId="0" applyFont="1" applyBorder="1" applyAlignment="1">
      <alignment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center" vertical="center" wrapText="1"/>
    </xf>
    <xf numFmtId="0" fontId="4" fillId="0" borderId="3" xfId="0" applyFont="1" applyBorder="1" applyAlignment="1">
      <alignment horizontal="right" vertical="center" wrapText="1"/>
    </xf>
    <xf numFmtId="0" fontId="4" fillId="0" borderId="4" xfId="0" applyFont="1" applyBorder="1" applyAlignment="1">
      <alignment horizontal="right" vertical="center" wrapText="1"/>
    </xf>
    <xf numFmtId="0" fontId="2" fillId="0" borderId="7" xfId="0" applyFont="1" applyBorder="1" applyAlignment="1">
      <alignment horizontal="left" vertical="center" wrapText="1" indent="3"/>
    </xf>
    <xf numFmtId="0" fontId="2" fillId="0" borderId="7" xfId="0" applyFont="1" applyBorder="1" applyAlignment="1">
      <alignment horizontal="left" vertical="center" wrapText="1" indent="2"/>
    </xf>
    <xf numFmtId="0" fontId="4" fillId="0" borderId="0" xfId="0" applyFont="1"/>
    <xf numFmtId="0" fontId="4" fillId="0" borderId="0" xfId="0" applyFont="1" applyAlignment="1">
      <alignment horizontal="center" vertical="center"/>
    </xf>
    <xf numFmtId="0" fontId="4" fillId="0" borderId="0" xfId="0" applyFont="1" applyAlignment="1">
      <alignment horizontal="center"/>
    </xf>
    <xf numFmtId="0" fontId="9"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0" fillId="5" borderId="1" xfId="0" applyFill="1" applyBorder="1" applyAlignment="1">
      <alignment horizontal="center" vertical="center"/>
    </xf>
    <xf numFmtId="0" fontId="0" fillId="0" borderId="0" xfId="0" applyAlignment="1">
      <alignment horizontal="right"/>
    </xf>
    <xf numFmtId="0" fontId="10" fillId="0" borderId="0" xfId="0" applyFont="1" applyAlignment="1">
      <alignment horizontal="center" vertical="center"/>
    </xf>
    <xf numFmtId="0" fontId="1" fillId="0" borderId="0" xfId="0" applyFont="1" applyAlignment="1">
      <alignment horizontal="center" vertical="center" wrapText="1"/>
    </xf>
    <xf numFmtId="0" fontId="12" fillId="6" borderId="0" xfId="0" applyFont="1" applyFill="1" applyAlignment="1">
      <alignment horizontal="left" vertical="center" wrapText="1"/>
    </xf>
    <xf numFmtId="0" fontId="12" fillId="6" borderId="0" xfId="0" applyFont="1" applyFill="1" applyAlignment="1">
      <alignment horizontal="center" vertical="center" wrapText="1"/>
    </xf>
    <xf numFmtId="0" fontId="12" fillId="0" borderId="1" xfId="0" applyFont="1" applyBorder="1" applyAlignment="1">
      <alignment horizontal="left" vertical="center"/>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0" fillId="0" borderId="0" xfId="0" applyProtection="1">
      <protection locked="0"/>
    </xf>
    <xf numFmtId="0" fontId="0" fillId="0" borderId="1" xfId="0" applyBorder="1"/>
    <xf numFmtId="0" fontId="0" fillId="2" borderId="1" xfId="0" applyFill="1" applyBorder="1"/>
    <xf numFmtId="0" fontId="1" fillId="0" borderId="0" xfId="0" applyFont="1" applyAlignment="1">
      <alignment horizontal="right"/>
    </xf>
    <xf numFmtId="2" fontId="0" fillId="0" borderId="0" xfId="0" applyNumberFormat="1" applyAlignment="1">
      <alignment horizontal="center" vertical="center"/>
    </xf>
    <xf numFmtId="0" fontId="23" fillId="0" borderId="0" xfId="0" applyFont="1" applyAlignment="1">
      <alignment horizontal="right"/>
    </xf>
    <xf numFmtId="0" fontId="0" fillId="7" borderId="10" xfId="0" applyFill="1" applyBorder="1" applyAlignment="1">
      <alignment horizontal="center" vertical="center"/>
    </xf>
    <xf numFmtId="0" fontId="0" fillId="2" borderId="10" xfId="0" applyFill="1" applyBorder="1"/>
    <xf numFmtId="0" fontId="19" fillId="7" borderId="0" xfId="0" applyFont="1" applyFill="1"/>
    <xf numFmtId="0" fontId="12" fillId="0" borderId="1" xfId="0" applyFont="1" applyBorder="1" applyAlignment="1">
      <alignment horizontal="center" vertical="center"/>
    </xf>
    <xf numFmtId="0" fontId="22" fillId="0" borderId="0" xfId="0" applyFont="1"/>
    <xf numFmtId="0" fontId="27" fillId="0" borderId="0" xfId="0" applyFont="1" applyAlignment="1">
      <alignment horizontal="center" vertical="center"/>
    </xf>
    <xf numFmtId="0" fontId="27" fillId="0" borderId="0" xfId="0" applyFont="1"/>
    <xf numFmtId="0" fontId="19" fillId="0" borderId="0" xfId="0" applyFont="1"/>
    <xf numFmtId="0" fontId="19" fillId="0" borderId="6" xfId="0" applyFont="1" applyBorder="1"/>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horizontal="center" vertical="center"/>
    </xf>
    <xf numFmtId="0" fontId="0" fillId="0" borderId="1" xfId="0" applyBorder="1" applyAlignment="1">
      <alignment horizontal="center" vertical="center" wrapText="1"/>
    </xf>
    <xf numFmtId="0" fontId="31" fillId="6" borderId="1" xfId="0" applyFont="1" applyFill="1" applyBorder="1" applyAlignment="1" applyProtection="1">
      <alignment horizontal="center"/>
      <protection locked="0"/>
    </xf>
    <xf numFmtId="0" fontId="31" fillId="6" borderId="1" xfId="0" applyFont="1" applyFill="1" applyBorder="1" applyAlignment="1" applyProtection="1">
      <alignment horizontal="center" vertical="center"/>
      <protection locked="0"/>
    </xf>
    <xf numFmtId="0" fontId="28" fillId="6" borderId="18" xfId="0" applyFont="1" applyFill="1" applyBorder="1" applyAlignment="1" applyProtection="1">
      <alignment horizontal="center" vertical="center"/>
      <protection locked="0"/>
    </xf>
    <xf numFmtId="0" fontId="28" fillId="9" borderId="0" xfId="0" applyFont="1" applyFill="1"/>
    <xf numFmtId="2" fontId="28" fillId="9" borderId="0" xfId="0" applyNumberFormat="1" applyFont="1" applyFill="1" applyAlignment="1">
      <alignment horizontal="center" vertical="center"/>
    </xf>
    <xf numFmtId="0" fontId="28" fillId="9" borderId="0" xfId="0" applyFont="1" applyFill="1" applyAlignment="1">
      <alignment horizontal="center" vertical="center"/>
    </xf>
    <xf numFmtId="169" fontId="28" fillId="9" borderId="0" xfId="0" applyNumberFormat="1" applyFont="1" applyFill="1" applyAlignment="1">
      <alignment horizontal="center"/>
    </xf>
    <xf numFmtId="170" fontId="28" fillId="9" borderId="0" xfId="0" applyNumberFormat="1" applyFont="1" applyFill="1" applyAlignment="1">
      <alignment horizontal="center"/>
    </xf>
    <xf numFmtId="0" fontId="33" fillId="9" borderId="0" xfId="0" applyFont="1" applyFill="1"/>
    <xf numFmtId="0" fontId="28" fillId="9" borderId="0" xfId="0" applyFont="1" applyFill="1" applyAlignment="1">
      <alignment horizontal="left"/>
    </xf>
    <xf numFmtId="0" fontId="28" fillId="9" borderId="0" xfId="0" applyFont="1" applyFill="1" applyAlignment="1">
      <alignment horizontal="right"/>
    </xf>
    <xf numFmtId="0" fontId="28" fillId="9" borderId="0" xfId="0" applyFont="1" applyFill="1" applyAlignment="1">
      <alignment horizontal="center"/>
    </xf>
    <xf numFmtId="0" fontId="28" fillId="9" borderId="0" xfId="0" quotePrefix="1" applyFont="1" applyFill="1"/>
    <xf numFmtId="165" fontId="28" fillId="9" borderId="0" xfId="0" applyNumberFormat="1" applyFont="1" applyFill="1"/>
    <xf numFmtId="167" fontId="28" fillId="9" borderId="0" xfId="0" applyNumberFormat="1" applyFont="1" applyFill="1" applyAlignment="1">
      <alignment horizontal="center" vertical="center"/>
    </xf>
    <xf numFmtId="166" fontId="28" fillId="9" borderId="0" xfId="0" applyNumberFormat="1" applyFont="1" applyFill="1" applyAlignment="1">
      <alignment horizontal="center"/>
    </xf>
    <xf numFmtId="166" fontId="28" fillId="9" borderId="0" xfId="0" applyNumberFormat="1" applyFont="1" applyFill="1" applyAlignment="1">
      <alignment horizontal="center" vertical="center"/>
    </xf>
    <xf numFmtId="0" fontId="33" fillId="9" borderId="0" xfId="0" applyFont="1" applyFill="1" applyAlignment="1">
      <alignment horizontal="left"/>
    </xf>
    <xf numFmtId="166" fontId="28" fillId="9" borderId="0" xfId="0" applyNumberFormat="1" applyFont="1" applyFill="1"/>
    <xf numFmtId="0" fontId="28" fillId="9" borderId="0" xfId="0" applyFont="1" applyFill="1" applyAlignment="1">
      <alignment vertical="center"/>
    </xf>
    <xf numFmtId="0" fontId="31" fillId="9" borderId="10" xfId="0" applyFont="1" applyFill="1" applyBorder="1" applyAlignment="1">
      <alignment horizontal="center" vertical="center"/>
    </xf>
    <xf numFmtId="0" fontId="31" fillId="9" borderId="12" xfId="0" applyFont="1" applyFill="1" applyBorder="1" applyAlignment="1">
      <alignment horizontal="center" vertical="center"/>
    </xf>
    <xf numFmtId="0" fontId="31" fillId="9" borderId="10" xfId="0" quotePrefix="1" applyFont="1" applyFill="1" applyBorder="1" applyAlignment="1">
      <alignment horizontal="center" vertical="center" wrapText="1"/>
    </xf>
    <xf numFmtId="0" fontId="31" fillId="9" borderId="20" xfId="0" quotePrefix="1" applyFont="1" applyFill="1" applyBorder="1" applyAlignment="1">
      <alignment horizontal="center" vertical="center" wrapText="1"/>
    </xf>
    <xf numFmtId="2" fontId="28" fillId="9" borderId="4" xfId="0" applyNumberFormat="1" applyFont="1" applyFill="1" applyBorder="1" applyAlignment="1">
      <alignment horizontal="center" vertical="center"/>
    </xf>
    <xf numFmtId="166" fontId="28" fillId="9" borderId="4" xfId="0" applyNumberFormat="1" applyFont="1" applyFill="1" applyBorder="1" applyAlignment="1">
      <alignment horizontal="center" vertical="center"/>
    </xf>
    <xf numFmtId="164" fontId="28" fillId="9" borderId="4" xfId="0" applyNumberFormat="1" applyFont="1" applyFill="1" applyBorder="1" applyAlignment="1">
      <alignment horizontal="center" vertical="center"/>
    </xf>
    <xf numFmtId="166" fontId="28" fillId="9" borderId="19" xfId="0" applyNumberFormat="1" applyFont="1" applyFill="1" applyBorder="1" applyAlignment="1">
      <alignment horizontal="center" vertical="center"/>
    </xf>
    <xf numFmtId="168" fontId="28" fillId="9" borderId="4" xfId="0" applyNumberFormat="1" applyFont="1" applyFill="1" applyBorder="1" applyAlignment="1">
      <alignment horizontal="center" vertical="center"/>
    </xf>
    <xf numFmtId="0" fontId="29" fillId="0" borderId="0" xfId="0" applyFont="1" applyAlignment="1">
      <alignment horizontal="center" vertical="center"/>
    </xf>
    <xf numFmtId="0" fontId="29" fillId="0" borderId="0" xfId="0" applyFont="1"/>
    <xf numFmtId="0" fontId="0" fillId="2" borderId="4" xfId="0" applyFill="1" applyBorder="1"/>
    <xf numFmtId="0" fontId="0" fillId="2" borderId="1" xfId="0" applyFill="1" applyBorder="1" applyAlignment="1">
      <alignment horizontal="center" vertical="center"/>
    </xf>
    <xf numFmtId="171" fontId="29" fillId="0" borderId="0" xfId="0" applyNumberFormat="1" applyFont="1" applyAlignment="1">
      <alignment horizontal="center"/>
    </xf>
    <xf numFmtId="173" fontId="29" fillId="0" borderId="0" xfId="0" applyNumberFormat="1" applyFont="1" applyAlignment="1">
      <alignment horizontal="center"/>
    </xf>
    <xf numFmtId="172" fontId="29" fillId="0" borderId="0" xfId="0" applyNumberFormat="1" applyFont="1" applyAlignment="1">
      <alignment horizontal="center"/>
    </xf>
    <xf numFmtId="0" fontId="0" fillId="0" borderId="0" xfId="0" applyAlignment="1">
      <alignment vertical="center" wrapText="1"/>
    </xf>
    <xf numFmtId="2" fontId="19" fillId="0" borderId="0" xfId="0" applyNumberFormat="1" applyFont="1"/>
    <xf numFmtId="0" fontId="19" fillId="0" borderId="0" xfId="0" applyFont="1" applyAlignment="1">
      <alignment horizontal="center" vertical="center"/>
    </xf>
    <xf numFmtId="166" fontId="19" fillId="0" borderId="0" xfId="0" applyNumberFormat="1" applyFont="1" applyAlignment="1">
      <alignment horizontal="center" vertical="center"/>
    </xf>
    <xf numFmtId="1" fontId="13" fillId="0" borderId="10" xfId="0" applyNumberFormat="1" applyFont="1" applyBorder="1" applyAlignment="1">
      <alignment horizontal="center" vertical="center"/>
    </xf>
    <xf numFmtId="2" fontId="13" fillId="0" borderId="10" xfId="0" applyNumberFormat="1" applyFont="1" applyBorder="1" applyAlignment="1">
      <alignment horizontal="center" vertical="center"/>
    </xf>
    <xf numFmtId="2" fontId="13" fillId="0" borderId="10" xfId="0" applyNumberFormat="1" applyFont="1" applyBorder="1" applyAlignment="1">
      <alignment horizontal="center"/>
    </xf>
    <xf numFmtId="164" fontId="13" fillId="0" borderId="10" xfId="0" applyNumberFormat="1" applyFont="1" applyBorder="1" applyAlignment="1">
      <alignment horizontal="center"/>
    </xf>
    <xf numFmtId="166" fontId="13" fillId="0" borderId="10" xfId="0" applyNumberFormat="1" applyFont="1" applyBorder="1" applyAlignment="1">
      <alignment horizontal="center" vertical="center"/>
    </xf>
    <xf numFmtId="0" fontId="0" fillId="0" borderId="0" xfId="0" applyProtection="1">
      <protection hidden="1"/>
    </xf>
    <xf numFmtId="0" fontId="38" fillId="0" borderId="0" xfId="0" applyFont="1" applyProtection="1">
      <protection hidden="1"/>
    </xf>
    <xf numFmtId="0" fontId="37" fillId="0" borderId="0" xfId="0" applyFont="1" applyAlignment="1" applyProtection="1">
      <alignment horizontal="center" vertical="center" wrapText="1"/>
      <protection hidden="1"/>
    </xf>
    <xf numFmtId="0" fontId="35" fillId="0" borderId="0" xfId="1" applyAlignment="1" applyProtection="1">
      <alignment horizontal="left"/>
      <protection hidden="1"/>
    </xf>
    <xf numFmtId="0" fontId="0" fillId="0" borderId="0" xfId="0" applyAlignment="1" applyProtection="1">
      <alignment horizontal="right"/>
      <protection hidden="1"/>
    </xf>
    <xf numFmtId="0" fontId="36" fillId="0" borderId="0" xfId="0" applyFont="1" applyAlignment="1" applyProtection="1">
      <alignment horizontal="center" vertical="center" wrapText="1"/>
      <protection hidden="1"/>
    </xf>
    <xf numFmtId="0" fontId="30" fillId="9" borderId="11" xfId="0" applyFont="1" applyFill="1" applyBorder="1" applyAlignment="1">
      <alignment horizontal="center"/>
    </xf>
    <xf numFmtId="0" fontId="30" fillId="9" borderId="12" xfId="0" applyFont="1" applyFill="1" applyBorder="1" applyAlignment="1">
      <alignment horizontal="center"/>
    </xf>
    <xf numFmtId="0" fontId="30" fillId="9" borderId="13" xfId="0" applyFont="1" applyFill="1" applyBorder="1" applyAlignment="1">
      <alignment horizontal="center"/>
    </xf>
    <xf numFmtId="0" fontId="28" fillId="9" borderId="0" xfId="0" applyFont="1" applyFill="1" applyAlignment="1">
      <alignment horizontal="center" vertical="center"/>
    </xf>
    <xf numFmtId="0" fontId="31" fillId="9" borderId="11" xfId="0" applyFont="1" applyFill="1" applyBorder="1" applyAlignment="1">
      <alignment horizontal="center" vertical="center" wrapText="1"/>
    </xf>
    <xf numFmtId="0" fontId="31" fillId="9" borderId="13" xfId="0" applyFont="1" applyFill="1" applyBorder="1" applyAlignment="1">
      <alignment horizontal="center" vertical="center" wrapText="1"/>
    </xf>
    <xf numFmtId="0" fontId="31" fillId="9" borderId="20" xfId="0" applyFont="1" applyFill="1" applyBorder="1" applyAlignment="1">
      <alignment horizontal="center" vertical="center"/>
    </xf>
    <xf numFmtId="0" fontId="31" fillId="9" borderId="21" xfId="0" applyFont="1" applyFill="1" applyBorder="1" applyAlignment="1">
      <alignment horizontal="center" vertical="center"/>
    </xf>
    <xf numFmtId="2" fontId="31" fillId="9" borderId="20" xfId="0" applyNumberFormat="1" applyFont="1" applyFill="1" applyBorder="1" applyAlignment="1">
      <alignment horizontal="center" vertical="center"/>
    </xf>
    <xf numFmtId="2" fontId="31" fillId="9" borderId="21" xfId="0" applyNumberFormat="1" applyFont="1" applyFill="1" applyBorder="1" applyAlignment="1">
      <alignment horizontal="center" vertical="center"/>
    </xf>
    <xf numFmtId="0" fontId="28" fillId="9" borderId="1" xfId="0" applyFont="1" applyFill="1" applyBorder="1" applyAlignment="1">
      <alignment horizontal="center" vertical="center"/>
    </xf>
    <xf numFmtId="168" fontId="28" fillId="9" borderId="1" xfId="0" applyNumberFormat="1" applyFont="1" applyFill="1" applyBorder="1" applyAlignment="1">
      <alignment horizontal="center" vertical="center"/>
    </xf>
    <xf numFmtId="0" fontId="19" fillId="0" borderId="0" xfId="0" applyFont="1" applyAlignment="1">
      <alignment horizontal="center"/>
    </xf>
    <xf numFmtId="0" fontId="1" fillId="7" borderId="1" xfId="0" applyFont="1" applyFill="1" applyBorder="1" applyAlignment="1">
      <alignment horizontal="center"/>
    </xf>
    <xf numFmtId="0" fontId="0" fillId="2" borderId="4" xfId="0" applyFill="1" applyBorder="1" applyAlignment="1">
      <alignment horizontal="center" vertical="center"/>
    </xf>
    <xf numFmtId="0" fontId="0" fillId="2" borderId="1" xfId="0" applyFill="1" applyBorder="1" applyAlignment="1">
      <alignment horizontal="center" vertical="center"/>
    </xf>
    <xf numFmtId="0" fontId="1" fillId="7" borderId="8" xfId="0" applyFont="1" applyFill="1" applyBorder="1" applyAlignment="1">
      <alignment horizontal="center"/>
    </xf>
    <xf numFmtId="0" fontId="1" fillId="7" borderId="22" xfId="0" applyFont="1" applyFill="1" applyBorder="1" applyAlignment="1">
      <alignment horizontal="center"/>
    </xf>
    <xf numFmtId="0" fontId="0" fillId="2" borderId="2" xfId="0" applyFill="1" applyBorder="1" applyAlignment="1">
      <alignment horizontal="center" vertical="center"/>
    </xf>
    <xf numFmtId="0" fontId="26" fillId="2" borderId="23" xfId="0" applyFont="1" applyFill="1" applyBorder="1" applyAlignment="1">
      <alignment horizontal="center" vertical="center"/>
    </xf>
    <xf numFmtId="0" fontId="26" fillId="2" borderId="24" xfId="0" applyFont="1" applyFill="1" applyBorder="1" applyAlignment="1">
      <alignment horizontal="center" vertical="center"/>
    </xf>
    <xf numFmtId="0" fontId="0" fillId="3" borderId="8" xfId="0" applyFill="1" applyBorder="1" applyAlignment="1">
      <alignment horizontal="center"/>
    </xf>
    <xf numFmtId="0" fontId="0" fillId="3" borderId="9" xfId="0" applyFill="1" applyBorder="1" applyAlignment="1">
      <alignment horizontal="center"/>
    </xf>
    <xf numFmtId="0" fontId="6" fillId="4" borderId="15"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2" xfId="0" applyFont="1" applyFill="1" applyBorder="1" applyAlignment="1">
      <alignment horizontal="center" vertical="center"/>
    </xf>
    <xf numFmtId="0" fontId="6" fillId="4" borderId="13" xfId="0" applyFont="1" applyFill="1" applyBorder="1" applyAlignment="1">
      <alignment horizontal="center" vertical="center"/>
    </xf>
    <xf numFmtId="0" fontId="14" fillId="2" borderId="0" xfId="0" applyFont="1" applyFill="1" applyAlignment="1">
      <alignment horizontal="center"/>
    </xf>
    <xf numFmtId="0" fontId="15" fillId="3" borderId="0" xfId="0" applyFont="1" applyFill="1" applyAlignment="1">
      <alignment horizontal="center" wrapText="1"/>
    </xf>
    <xf numFmtId="0" fontId="16" fillId="7" borderId="0" xfId="0" applyFont="1" applyFill="1" applyAlignment="1">
      <alignment horizontal="center"/>
    </xf>
    <xf numFmtId="0" fontId="0" fillId="7" borderId="0" xfId="0" applyFill="1" applyAlignment="1">
      <alignment horizontal="center"/>
    </xf>
    <xf numFmtId="0" fontId="0" fillId="3" borderId="14" xfId="0" applyFill="1" applyBorder="1" applyAlignment="1">
      <alignment horizontal="center" vertical="center"/>
    </xf>
    <xf numFmtId="0" fontId="0" fillId="3" borderId="6"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horizontal="center" vertical="center"/>
    </xf>
    <xf numFmtId="0" fontId="0" fillId="0" borderId="1" xfId="0" applyBorder="1" applyAlignment="1">
      <alignment horizontal="center" vertical="center" wrapText="1"/>
    </xf>
    <xf numFmtId="0" fontId="8" fillId="0" borderId="0" xfId="0" applyFont="1" applyAlignment="1">
      <alignment horizontal="center"/>
    </xf>
    <xf numFmtId="0" fontId="0" fillId="8" borderId="11" xfId="0" applyFill="1" applyBorder="1" applyAlignment="1">
      <alignment horizontal="center"/>
    </xf>
    <xf numFmtId="0" fontId="0" fillId="8" borderId="12" xfId="0" applyFill="1" applyBorder="1" applyAlignment="1">
      <alignment horizontal="center"/>
    </xf>
    <xf numFmtId="0" fontId="0" fillId="8" borderId="13" xfId="0" applyFill="1" applyBorder="1" applyAlignment="1">
      <alignment horizontal="center"/>
    </xf>
    <xf numFmtId="0" fontId="0" fillId="7" borderId="11" xfId="0" applyFill="1" applyBorder="1" applyAlignment="1">
      <alignment horizontal="center"/>
    </xf>
    <xf numFmtId="0" fontId="0" fillId="7" borderId="12" xfId="0" applyFill="1" applyBorder="1" applyAlignment="1">
      <alignment horizontal="center"/>
    </xf>
    <xf numFmtId="0" fontId="0" fillId="7" borderId="13" xfId="0" applyFill="1" applyBorder="1" applyAlignment="1">
      <alignment horizontal="center"/>
    </xf>
  </cellXfs>
  <cellStyles count="2">
    <cellStyle name="Hyperlink" xfId="1" builtinId="8"/>
    <cellStyle name="Normal" xfId="0" builtinId="0"/>
  </cellStyles>
  <dxfs count="3">
    <dxf>
      <font>
        <color theme="0"/>
      </font>
      <fill>
        <patternFill patternType="solid">
          <fgColor theme="0"/>
          <bgColor theme="0"/>
        </patternFill>
      </fill>
    </dxf>
    <dxf>
      <fill>
        <patternFill>
          <bgColor theme="5"/>
        </patternFill>
      </fill>
    </dxf>
    <dxf>
      <font>
        <color theme="0"/>
      </font>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hyperlink" Target="#'e1 &amp; e2 ratio Cal.'!A1"/><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hyperlink" Target="#'Software Input'!A1"/></Relationships>
</file>

<file path=xl/drawings/_rels/drawing3.xml.rels><?xml version="1.0" encoding="UTF-8" standalone="yes"?>
<Relationships xmlns="http://schemas.openxmlformats.org/package/2006/relationships"><Relationship Id="rId3" Type="http://schemas.openxmlformats.org/officeDocument/2006/relationships/hyperlink" Target="#'Software Input'!A1"/><Relationship Id="rId2" Type="http://schemas.openxmlformats.org/officeDocument/2006/relationships/hyperlink" Target="#'MWFRS (Any Ht.)'!A1"/><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hyperlink" Target="#'e1 &amp; e2 ratio Cal.'!A1"/><Relationship Id="rId1" Type="http://schemas.openxmlformats.org/officeDocument/2006/relationships/hyperlink" Target="#'MWFRS (Any Ht.)'!A1"/></Relationships>
</file>

<file path=xl/drawings/_rels/drawing5.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xdr:col>
      <xdr:colOff>190501</xdr:colOff>
      <xdr:row>0</xdr:row>
      <xdr:rowOff>19050</xdr:rowOff>
    </xdr:from>
    <xdr:to>
      <xdr:col>7</xdr:col>
      <xdr:colOff>400051</xdr:colOff>
      <xdr:row>12</xdr:row>
      <xdr:rowOff>157824</xdr:rowOff>
    </xdr:to>
    <xdr:pic>
      <xdr:nvPicPr>
        <xdr:cNvPr id="2" name="Picture 1">
          <a:extLst>
            <a:ext uri="{FF2B5EF4-FFF2-40B4-BE49-F238E27FC236}">
              <a16:creationId xmlns:a16="http://schemas.microsoft.com/office/drawing/2014/main" id="{3C6C55E0-C6FF-4BD9-BA93-053EA4FE39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19301" y="19050"/>
          <a:ext cx="2647950" cy="2424774"/>
        </a:xfrm>
        <a:prstGeom prst="rect">
          <a:avLst/>
        </a:prstGeom>
      </xdr:spPr>
    </xdr:pic>
    <xdr:clientData/>
  </xdr:twoCellAnchor>
  <xdr:twoCellAnchor>
    <xdr:from>
      <xdr:col>3</xdr:col>
      <xdr:colOff>200025</xdr:colOff>
      <xdr:row>29</xdr:row>
      <xdr:rowOff>85725</xdr:rowOff>
    </xdr:from>
    <xdr:to>
      <xdr:col>6</xdr:col>
      <xdr:colOff>495300</xdr:colOff>
      <xdr:row>31</xdr:row>
      <xdr:rowOff>171450</xdr:rowOff>
    </xdr:to>
    <xdr:sp macro="" textlink="">
      <xdr:nvSpPr>
        <xdr:cNvPr id="3" name="Flowchart: Alternate Process 2">
          <a:extLst>
            <a:ext uri="{FF2B5EF4-FFF2-40B4-BE49-F238E27FC236}">
              <a16:creationId xmlns:a16="http://schemas.microsoft.com/office/drawing/2014/main" id="{7CDD6AF3-0AFE-42A3-B2A1-64F5568E1116}"/>
            </a:ext>
          </a:extLst>
        </xdr:cNvPr>
        <xdr:cNvSpPr/>
      </xdr:nvSpPr>
      <xdr:spPr>
        <a:xfrm>
          <a:off x="2028825" y="5610225"/>
          <a:ext cx="2124075" cy="466725"/>
        </a:xfrm>
        <a:prstGeom prst="flowChartAlternateProcess">
          <a:avLst/>
        </a:prstGeom>
        <a:solidFill>
          <a:srgbClr val="FF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kern="1200"/>
            <a:t>Video</a:t>
          </a:r>
          <a:r>
            <a:rPr lang="en-US" sz="2400" b="1" kern="1200" baseline="0"/>
            <a:t> Tutorial</a:t>
          </a:r>
          <a:endParaRPr lang="en-US" sz="2400" b="1"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447675</xdr:colOff>
      <xdr:row>3</xdr:row>
      <xdr:rowOff>133350</xdr:rowOff>
    </xdr:from>
    <xdr:to>
      <xdr:col>9</xdr:col>
      <xdr:colOff>390525</xdr:colOff>
      <xdr:row>9</xdr:row>
      <xdr:rowOff>133350</xdr:rowOff>
    </xdr:to>
    <xdr:sp macro="" textlink="">
      <xdr:nvSpPr>
        <xdr:cNvPr id="2" name="Rectangle 21">
          <a:extLst>
            <a:ext uri="{FF2B5EF4-FFF2-40B4-BE49-F238E27FC236}">
              <a16:creationId xmlns:a16="http://schemas.microsoft.com/office/drawing/2014/main" id="{00000000-0008-0000-0000-000002000000}"/>
            </a:ext>
          </a:extLst>
        </xdr:cNvPr>
        <xdr:cNvSpPr>
          <a:spLocks noChangeArrowheads="1"/>
        </xdr:cNvSpPr>
      </xdr:nvSpPr>
      <xdr:spPr bwMode="auto">
        <a:xfrm>
          <a:off x="4714875" y="704850"/>
          <a:ext cx="1162050" cy="1143000"/>
        </a:xfrm>
        <a:prstGeom prst="rect">
          <a:avLst/>
        </a:prstGeom>
        <a:solidFill>
          <a:srgbClr val="FFFFFF"/>
        </a:solidFill>
        <a:ln w="9525">
          <a:solidFill>
            <a:srgbClr val="000000"/>
          </a:solidFill>
          <a:miter lim="800000"/>
          <a:headEnd/>
          <a:tailEnd/>
        </a:ln>
      </xdr:spPr>
    </xdr:sp>
    <xdr:clientData/>
  </xdr:twoCellAnchor>
  <xdr:twoCellAnchor>
    <xdr:from>
      <xdr:col>8</xdr:col>
      <xdr:colOff>419100</xdr:colOff>
      <xdr:row>3</xdr:row>
      <xdr:rowOff>133350</xdr:rowOff>
    </xdr:from>
    <xdr:to>
      <xdr:col>8</xdr:col>
      <xdr:colOff>419100</xdr:colOff>
      <xdr:row>9</xdr:row>
      <xdr:rowOff>133350</xdr:rowOff>
    </xdr:to>
    <xdr:sp macro="" textlink="">
      <xdr:nvSpPr>
        <xdr:cNvPr id="3" name="Line 22">
          <a:extLst>
            <a:ext uri="{FF2B5EF4-FFF2-40B4-BE49-F238E27FC236}">
              <a16:creationId xmlns:a16="http://schemas.microsoft.com/office/drawing/2014/main" id="{00000000-0008-0000-0000-000003000000}"/>
            </a:ext>
          </a:extLst>
        </xdr:cNvPr>
        <xdr:cNvSpPr>
          <a:spLocks noChangeShapeType="1"/>
        </xdr:cNvSpPr>
      </xdr:nvSpPr>
      <xdr:spPr bwMode="auto">
        <a:xfrm>
          <a:off x="5295900" y="704850"/>
          <a:ext cx="0" cy="1143000"/>
        </a:xfrm>
        <a:prstGeom prst="line">
          <a:avLst/>
        </a:prstGeom>
        <a:noFill/>
        <a:ln w="9525">
          <a:solidFill>
            <a:srgbClr val="000000"/>
          </a:solidFill>
          <a:round/>
          <a:headEnd/>
          <a:tailEnd/>
        </a:ln>
      </xdr:spPr>
    </xdr:sp>
    <xdr:clientData/>
  </xdr:twoCellAnchor>
  <xdr:twoCellAnchor>
    <xdr:from>
      <xdr:col>7</xdr:col>
      <xdr:colOff>447675</xdr:colOff>
      <xdr:row>15</xdr:row>
      <xdr:rowOff>19050</xdr:rowOff>
    </xdr:from>
    <xdr:to>
      <xdr:col>7</xdr:col>
      <xdr:colOff>447675</xdr:colOff>
      <xdr:row>17</xdr:row>
      <xdr:rowOff>47625</xdr:rowOff>
    </xdr:to>
    <xdr:sp macro="" textlink="">
      <xdr:nvSpPr>
        <xdr:cNvPr id="4" name="Line 23">
          <a:extLst>
            <a:ext uri="{FF2B5EF4-FFF2-40B4-BE49-F238E27FC236}">
              <a16:creationId xmlns:a16="http://schemas.microsoft.com/office/drawing/2014/main" id="{00000000-0008-0000-0000-000004000000}"/>
            </a:ext>
          </a:extLst>
        </xdr:cNvPr>
        <xdr:cNvSpPr>
          <a:spLocks noChangeShapeType="1"/>
        </xdr:cNvSpPr>
      </xdr:nvSpPr>
      <xdr:spPr bwMode="auto">
        <a:xfrm flipV="1">
          <a:off x="4714875" y="2876550"/>
          <a:ext cx="0" cy="409575"/>
        </a:xfrm>
        <a:prstGeom prst="line">
          <a:avLst/>
        </a:prstGeom>
        <a:noFill/>
        <a:ln w="9525">
          <a:solidFill>
            <a:srgbClr val="000000"/>
          </a:solidFill>
          <a:round/>
          <a:headEnd/>
          <a:tailEnd/>
        </a:ln>
      </xdr:spPr>
    </xdr:sp>
    <xdr:clientData/>
  </xdr:twoCellAnchor>
  <xdr:twoCellAnchor>
    <xdr:from>
      <xdr:col>9</xdr:col>
      <xdr:colOff>390525</xdr:colOff>
      <xdr:row>15</xdr:row>
      <xdr:rowOff>19050</xdr:rowOff>
    </xdr:from>
    <xdr:to>
      <xdr:col>9</xdr:col>
      <xdr:colOff>390525</xdr:colOff>
      <xdr:row>17</xdr:row>
      <xdr:rowOff>47625</xdr:rowOff>
    </xdr:to>
    <xdr:sp macro="" textlink="">
      <xdr:nvSpPr>
        <xdr:cNvPr id="5" name="Line 24">
          <a:extLst>
            <a:ext uri="{FF2B5EF4-FFF2-40B4-BE49-F238E27FC236}">
              <a16:creationId xmlns:a16="http://schemas.microsoft.com/office/drawing/2014/main" id="{00000000-0008-0000-0000-000005000000}"/>
            </a:ext>
          </a:extLst>
        </xdr:cNvPr>
        <xdr:cNvSpPr>
          <a:spLocks noChangeShapeType="1"/>
        </xdr:cNvSpPr>
      </xdr:nvSpPr>
      <xdr:spPr bwMode="auto">
        <a:xfrm flipV="1">
          <a:off x="5876925" y="2876550"/>
          <a:ext cx="0" cy="409575"/>
        </a:xfrm>
        <a:prstGeom prst="line">
          <a:avLst/>
        </a:prstGeom>
        <a:noFill/>
        <a:ln w="9525">
          <a:solidFill>
            <a:srgbClr val="000000"/>
          </a:solidFill>
          <a:round/>
          <a:headEnd/>
          <a:tailEnd/>
        </a:ln>
      </xdr:spPr>
    </xdr:sp>
    <xdr:clientData/>
  </xdr:twoCellAnchor>
  <xdr:twoCellAnchor>
    <xdr:from>
      <xdr:col>7</xdr:col>
      <xdr:colOff>447675</xdr:colOff>
      <xdr:row>13</xdr:row>
      <xdr:rowOff>57150</xdr:rowOff>
    </xdr:from>
    <xdr:to>
      <xdr:col>8</xdr:col>
      <xdr:colOff>419100</xdr:colOff>
      <xdr:row>15</xdr:row>
      <xdr:rowOff>19050</xdr:rowOff>
    </xdr:to>
    <xdr:sp macro="" textlink="">
      <xdr:nvSpPr>
        <xdr:cNvPr id="6" name="Line 25">
          <a:extLst>
            <a:ext uri="{FF2B5EF4-FFF2-40B4-BE49-F238E27FC236}">
              <a16:creationId xmlns:a16="http://schemas.microsoft.com/office/drawing/2014/main" id="{00000000-0008-0000-0000-000006000000}"/>
            </a:ext>
          </a:extLst>
        </xdr:cNvPr>
        <xdr:cNvSpPr>
          <a:spLocks noChangeShapeType="1"/>
        </xdr:cNvSpPr>
      </xdr:nvSpPr>
      <xdr:spPr bwMode="auto">
        <a:xfrm flipV="1">
          <a:off x="4714875" y="2533650"/>
          <a:ext cx="581025" cy="342900"/>
        </a:xfrm>
        <a:prstGeom prst="line">
          <a:avLst/>
        </a:prstGeom>
        <a:noFill/>
        <a:ln w="9525">
          <a:solidFill>
            <a:srgbClr val="000000"/>
          </a:solidFill>
          <a:round/>
          <a:headEnd/>
          <a:tailEnd/>
        </a:ln>
      </xdr:spPr>
    </xdr:sp>
    <xdr:clientData/>
  </xdr:twoCellAnchor>
  <xdr:twoCellAnchor>
    <xdr:from>
      <xdr:col>8</xdr:col>
      <xdr:colOff>419100</xdr:colOff>
      <xdr:row>13</xdr:row>
      <xdr:rowOff>57150</xdr:rowOff>
    </xdr:from>
    <xdr:to>
      <xdr:col>9</xdr:col>
      <xdr:colOff>390525</xdr:colOff>
      <xdr:row>15</xdr:row>
      <xdr:rowOff>19050</xdr:rowOff>
    </xdr:to>
    <xdr:sp macro="" textlink="">
      <xdr:nvSpPr>
        <xdr:cNvPr id="7" name="Line 26">
          <a:extLst>
            <a:ext uri="{FF2B5EF4-FFF2-40B4-BE49-F238E27FC236}">
              <a16:creationId xmlns:a16="http://schemas.microsoft.com/office/drawing/2014/main" id="{00000000-0008-0000-0000-000007000000}"/>
            </a:ext>
          </a:extLst>
        </xdr:cNvPr>
        <xdr:cNvSpPr>
          <a:spLocks noChangeShapeType="1"/>
        </xdr:cNvSpPr>
      </xdr:nvSpPr>
      <xdr:spPr bwMode="auto">
        <a:xfrm>
          <a:off x="5295900" y="2533650"/>
          <a:ext cx="581025" cy="342900"/>
        </a:xfrm>
        <a:prstGeom prst="line">
          <a:avLst/>
        </a:prstGeom>
        <a:noFill/>
        <a:ln w="9525">
          <a:solidFill>
            <a:srgbClr val="000000"/>
          </a:solidFill>
          <a:round/>
          <a:headEnd/>
          <a:tailEnd/>
        </a:ln>
      </xdr:spPr>
    </xdr:sp>
    <xdr:clientData/>
  </xdr:twoCellAnchor>
  <xdr:twoCellAnchor>
    <xdr:from>
      <xdr:col>7</xdr:col>
      <xdr:colOff>447675</xdr:colOff>
      <xdr:row>17</xdr:row>
      <xdr:rowOff>47625</xdr:rowOff>
    </xdr:from>
    <xdr:to>
      <xdr:col>9</xdr:col>
      <xdr:colOff>390525</xdr:colOff>
      <xdr:row>17</xdr:row>
      <xdr:rowOff>47625</xdr:rowOff>
    </xdr:to>
    <xdr:sp macro="" textlink="">
      <xdr:nvSpPr>
        <xdr:cNvPr id="8" name="Line 27">
          <a:extLst>
            <a:ext uri="{FF2B5EF4-FFF2-40B4-BE49-F238E27FC236}">
              <a16:creationId xmlns:a16="http://schemas.microsoft.com/office/drawing/2014/main" id="{00000000-0008-0000-0000-000008000000}"/>
            </a:ext>
          </a:extLst>
        </xdr:cNvPr>
        <xdr:cNvSpPr>
          <a:spLocks noChangeShapeType="1"/>
        </xdr:cNvSpPr>
      </xdr:nvSpPr>
      <xdr:spPr bwMode="auto">
        <a:xfrm>
          <a:off x="4714875" y="3286125"/>
          <a:ext cx="1162050" cy="0"/>
        </a:xfrm>
        <a:prstGeom prst="line">
          <a:avLst/>
        </a:prstGeom>
        <a:noFill/>
        <a:ln w="9525">
          <a:solidFill>
            <a:srgbClr val="000000"/>
          </a:solidFill>
          <a:round/>
          <a:headEnd/>
          <a:tailEnd/>
        </a:ln>
      </xdr:spPr>
    </xdr:sp>
    <xdr:clientData/>
  </xdr:twoCellAnchor>
  <xdr:twoCellAnchor>
    <xdr:from>
      <xdr:col>7</xdr:col>
      <xdr:colOff>447675</xdr:colOff>
      <xdr:row>11</xdr:row>
      <xdr:rowOff>0</xdr:rowOff>
    </xdr:from>
    <xdr:to>
      <xdr:col>9</xdr:col>
      <xdr:colOff>390525</xdr:colOff>
      <xdr:row>11</xdr:row>
      <xdr:rowOff>0</xdr:rowOff>
    </xdr:to>
    <xdr:sp macro="" textlink="">
      <xdr:nvSpPr>
        <xdr:cNvPr id="9" name="Line 28">
          <a:extLst>
            <a:ext uri="{FF2B5EF4-FFF2-40B4-BE49-F238E27FC236}">
              <a16:creationId xmlns:a16="http://schemas.microsoft.com/office/drawing/2014/main" id="{00000000-0008-0000-0000-000009000000}"/>
            </a:ext>
          </a:extLst>
        </xdr:cNvPr>
        <xdr:cNvSpPr>
          <a:spLocks noChangeShapeType="1"/>
        </xdr:cNvSpPr>
      </xdr:nvSpPr>
      <xdr:spPr bwMode="auto">
        <a:xfrm>
          <a:off x="4714875" y="2095500"/>
          <a:ext cx="1162050" cy="0"/>
        </a:xfrm>
        <a:prstGeom prst="line">
          <a:avLst/>
        </a:prstGeom>
        <a:noFill/>
        <a:ln w="9525">
          <a:solidFill>
            <a:srgbClr val="000000"/>
          </a:solidFill>
          <a:round/>
          <a:headEnd type="stealth" w="sm" len="sm"/>
          <a:tailEnd type="stealth" w="sm" len="sm"/>
        </a:ln>
      </xdr:spPr>
    </xdr:sp>
    <xdr:clientData/>
  </xdr:twoCellAnchor>
  <xdr:twoCellAnchor>
    <xdr:from>
      <xdr:col>7</xdr:col>
      <xdr:colOff>447675</xdr:colOff>
      <xdr:row>10</xdr:row>
      <xdr:rowOff>57150</xdr:rowOff>
    </xdr:from>
    <xdr:to>
      <xdr:col>7</xdr:col>
      <xdr:colOff>447675</xdr:colOff>
      <xdr:row>11</xdr:row>
      <xdr:rowOff>133350</xdr:rowOff>
    </xdr:to>
    <xdr:sp macro="" textlink="">
      <xdr:nvSpPr>
        <xdr:cNvPr id="10" name="Line 29">
          <a:extLst>
            <a:ext uri="{FF2B5EF4-FFF2-40B4-BE49-F238E27FC236}">
              <a16:creationId xmlns:a16="http://schemas.microsoft.com/office/drawing/2014/main" id="{00000000-0008-0000-0000-00000A000000}"/>
            </a:ext>
          </a:extLst>
        </xdr:cNvPr>
        <xdr:cNvSpPr>
          <a:spLocks noChangeShapeType="1"/>
        </xdr:cNvSpPr>
      </xdr:nvSpPr>
      <xdr:spPr bwMode="auto">
        <a:xfrm>
          <a:off x="4714875" y="1962150"/>
          <a:ext cx="0" cy="266700"/>
        </a:xfrm>
        <a:prstGeom prst="line">
          <a:avLst/>
        </a:prstGeom>
        <a:noFill/>
        <a:ln w="9525">
          <a:solidFill>
            <a:srgbClr val="000000"/>
          </a:solidFill>
          <a:round/>
          <a:headEnd/>
          <a:tailEnd/>
        </a:ln>
      </xdr:spPr>
    </xdr:sp>
    <xdr:clientData/>
  </xdr:twoCellAnchor>
  <xdr:twoCellAnchor>
    <xdr:from>
      <xdr:col>9</xdr:col>
      <xdr:colOff>390525</xdr:colOff>
      <xdr:row>10</xdr:row>
      <xdr:rowOff>57150</xdr:rowOff>
    </xdr:from>
    <xdr:to>
      <xdr:col>9</xdr:col>
      <xdr:colOff>390525</xdr:colOff>
      <xdr:row>11</xdr:row>
      <xdr:rowOff>133350</xdr:rowOff>
    </xdr:to>
    <xdr:sp macro="" textlink="">
      <xdr:nvSpPr>
        <xdr:cNvPr id="11" name="Line 30">
          <a:extLst>
            <a:ext uri="{FF2B5EF4-FFF2-40B4-BE49-F238E27FC236}">
              <a16:creationId xmlns:a16="http://schemas.microsoft.com/office/drawing/2014/main" id="{00000000-0008-0000-0000-00000B000000}"/>
            </a:ext>
          </a:extLst>
        </xdr:cNvPr>
        <xdr:cNvSpPr>
          <a:spLocks noChangeShapeType="1"/>
        </xdr:cNvSpPr>
      </xdr:nvSpPr>
      <xdr:spPr bwMode="auto">
        <a:xfrm>
          <a:off x="5876925" y="1962150"/>
          <a:ext cx="0" cy="266700"/>
        </a:xfrm>
        <a:prstGeom prst="line">
          <a:avLst/>
        </a:prstGeom>
        <a:noFill/>
        <a:ln w="9525">
          <a:solidFill>
            <a:srgbClr val="000000"/>
          </a:solidFill>
          <a:round/>
          <a:headEnd/>
          <a:tailEnd/>
        </a:ln>
      </xdr:spPr>
    </xdr:sp>
    <xdr:clientData/>
  </xdr:twoCellAnchor>
  <xdr:twoCellAnchor>
    <xdr:from>
      <xdr:col>7</xdr:col>
      <xdr:colOff>447675</xdr:colOff>
      <xdr:row>17</xdr:row>
      <xdr:rowOff>76200</xdr:rowOff>
    </xdr:from>
    <xdr:to>
      <xdr:col>7</xdr:col>
      <xdr:colOff>447675</xdr:colOff>
      <xdr:row>18</xdr:row>
      <xdr:rowOff>152400</xdr:rowOff>
    </xdr:to>
    <xdr:sp macro="" textlink="">
      <xdr:nvSpPr>
        <xdr:cNvPr id="12" name="Line 31">
          <a:extLst>
            <a:ext uri="{FF2B5EF4-FFF2-40B4-BE49-F238E27FC236}">
              <a16:creationId xmlns:a16="http://schemas.microsoft.com/office/drawing/2014/main" id="{00000000-0008-0000-0000-00000C000000}"/>
            </a:ext>
          </a:extLst>
        </xdr:cNvPr>
        <xdr:cNvSpPr>
          <a:spLocks noChangeShapeType="1"/>
        </xdr:cNvSpPr>
      </xdr:nvSpPr>
      <xdr:spPr bwMode="auto">
        <a:xfrm>
          <a:off x="4714875" y="3314700"/>
          <a:ext cx="0" cy="266700"/>
        </a:xfrm>
        <a:prstGeom prst="line">
          <a:avLst/>
        </a:prstGeom>
        <a:noFill/>
        <a:ln w="9525">
          <a:solidFill>
            <a:srgbClr val="000000"/>
          </a:solidFill>
          <a:round/>
          <a:headEnd/>
          <a:tailEnd/>
        </a:ln>
      </xdr:spPr>
    </xdr:sp>
    <xdr:clientData/>
  </xdr:twoCellAnchor>
  <xdr:twoCellAnchor>
    <xdr:from>
      <xdr:col>9</xdr:col>
      <xdr:colOff>390525</xdr:colOff>
      <xdr:row>17</xdr:row>
      <xdr:rowOff>76200</xdr:rowOff>
    </xdr:from>
    <xdr:to>
      <xdr:col>9</xdr:col>
      <xdr:colOff>390525</xdr:colOff>
      <xdr:row>18</xdr:row>
      <xdr:rowOff>152400</xdr:rowOff>
    </xdr:to>
    <xdr:sp macro="" textlink="">
      <xdr:nvSpPr>
        <xdr:cNvPr id="13" name="Line 32">
          <a:extLst>
            <a:ext uri="{FF2B5EF4-FFF2-40B4-BE49-F238E27FC236}">
              <a16:creationId xmlns:a16="http://schemas.microsoft.com/office/drawing/2014/main" id="{00000000-0008-0000-0000-00000D000000}"/>
            </a:ext>
          </a:extLst>
        </xdr:cNvPr>
        <xdr:cNvSpPr>
          <a:spLocks noChangeShapeType="1"/>
        </xdr:cNvSpPr>
      </xdr:nvSpPr>
      <xdr:spPr bwMode="auto">
        <a:xfrm>
          <a:off x="5876925" y="3314700"/>
          <a:ext cx="0" cy="266700"/>
        </a:xfrm>
        <a:prstGeom prst="line">
          <a:avLst/>
        </a:prstGeom>
        <a:noFill/>
        <a:ln w="9525">
          <a:solidFill>
            <a:srgbClr val="000000"/>
          </a:solidFill>
          <a:round/>
          <a:headEnd/>
          <a:tailEnd/>
        </a:ln>
      </xdr:spPr>
    </xdr:sp>
    <xdr:clientData/>
  </xdr:twoCellAnchor>
  <xdr:twoCellAnchor>
    <xdr:from>
      <xdr:col>7</xdr:col>
      <xdr:colOff>447675</xdr:colOff>
      <xdr:row>18</xdr:row>
      <xdr:rowOff>38100</xdr:rowOff>
    </xdr:from>
    <xdr:to>
      <xdr:col>9</xdr:col>
      <xdr:colOff>390525</xdr:colOff>
      <xdr:row>18</xdr:row>
      <xdr:rowOff>38100</xdr:rowOff>
    </xdr:to>
    <xdr:sp macro="" textlink="">
      <xdr:nvSpPr>
        <xdr:cNvPr id="14" name="Line 33">
          <a:extLst>
            <a:ext uri="{FF2B5EF4-FFF2-40B4-BE49-F238E27FC236}">
              <a16:creationId xmlns:a16="http://schemas.microsoft.com/office/drawing/2014/main" id="{00000000-0008-0000-0000-00000E000000}"/>
            </a:ext>
          </a:extLst>
        </xdr:cNvPr>
        <xdr:cNvSpPr>
          <a:spLocks noChangeShapeType="1"/>
        </xdr:cNvSpPr>
      </xdr:nvSpPr>
      <xdr:spPr bwMode="auto">
        <a:xfrm>
          <a:off x="4714875" y="3467100"/>
          <a:ext cx="1162050" cy="0"/>
        </a:xfrm>
        <a:prstGeom prst="line">
          <a:avLst/>
        </a:prstGeom>
        <a:noFill/>
        <a:ln w="9525">
          <a:solidFill>
            <a:srgbClr val="000000"/>
          </a:solidFill>
          <a:round/>
          <a:headEnd type="stealth" w="sm" len="sm"/>
          <a:tailEnd type="stealth" w="sm" len="sm"/>
        </a:ln>
      </xdr:spPr>
    </xdr:sp>
    <xdr:clientData/>
  </xdr:twoCellAnchor>
  <xdr:twoCellAnchor>
    <xdr:from>
      <xdr:col>9</xdr:col>
      <xdr:colOff>523875</xdr:colOff>
      <xdr:row>17</xdr:row>
      <xdr:rowOff>47625</xdr:rowOff>
    </xdr:from>
    <xdr:to>
      <xdr:col>10</xdr:col>
      <xdr:colOff>171450</xdr:colOff>
      <xdr:row>17</xdr:row>
      <xdr:rowOff>47625</xdr:rowOff>
    </xdr:to>
    <xdr:sp macro="" textlink="">
      <xdr:nvSpPr>
        <xdr:cNvPr id="15" name="Line 34">
          <a:extLst>
            <a:ext uri="{FF2B5EF4-FFF2-40B4-BE49-F238E27FC236}">
              <a16:creationId xmlns:a16="http://schemas.microsoft.com/office/drawing/2014/main" id="{00000000-0008-0000-0000-00000F000000}"/>
            </a:ext>
          </a:extLst>
        </xdr:cNvPr>
        <xdr:cNvSpPr>
          <a:spLocks noChangeShapeType="1"/>
        </xdr:cNvSpPr>
      </xdr:nvSpPr>
      <xdr:spPr bwMode="auto">
        <a:xfrm>
          <a:off x="6010275" y="3286125"/>
          <a:ext cx="257175" cy="0"/>
        </a:xfrm>
        <a:prstGeom prst="line">
          <a:avLst/>
        </a:prstGeom>
        <a:noFill/>
        <a:ln w="9525">
          <a:solidFill>
            <a:srgbClr val="000000"/>
          </a:solidFill>
          <a:round/>
          <a:headEnd/>
          <a:tailEnd/>
        </a:ln>
      </xdr:spPr>
    </xdr:sp>
    <xdr:clientData/>
  </xdr:twoCellAnchor>
  <xdr:twoCellAnchor>
    <xdr:from>
      <xdr:col>9</xdr:col>
      <xdr:colOff>533400</xdr:colOff>
      <xdr:row>15</xdr:row>
      <xdr:rowOff>19050</xdr:rowOff>
    </xdr:from>
    <xdr:to>
      <xdr:col>10</xdr:col>
      <xdr:colOff>180975</xdr:colOff>
      <xdr:row>15</xdr:row>
      <xdr:rowOff>19050</xdr:rowOff>
    </xdr:to>
    <xdr:sp macro="" textlink="">
      <xdr:nvSpPr>
        <xdr:cNvPr id="16" name="Line 35">
          <a:extLst>
            <a:ext uri="{FF2B5EF4-FFF2-40B4-BE49-F238E27FC236}">
              <a16:creationId xmlns:a16="http://schemas.microsoft.com/office/drawing/2014/main" id="{00000000-0008-0000-0000-000010000000}"/>
            </a:ext>
          </a:extLst>
        </xdr:cNvPr>
        <xdr:cNvSpPr>
          <a:spLocks noChangeShapeType="1"/>
        </xdr:cNvSpPr>
      </xdr:nvSpPr>
      <xdr:spPr bwMode="auto">
        <a:xfrm>
          <a:off x="6019800" y="2876550"/>
          <a:ext cx="257175" cy="0"/>
        </a:xfrm>
        <a:prstGeom prst="line">
          <a:avLst/>
        </a:prstGeom>
        <a:noFill/>
        <a:ln w="9525">
          <a:solidFill>
            <a:srgbClr val="000000"/>
          </a:solidFill>
          <a:round/>
          <a:headEnd/>
          <a:tailEnd/>
        </a:ln>
      </xdr:spPr>
    </xdr:sp>
    <xdr:clientData/>
  </xdr:twoCellAnchor>
  <xdr:twoCellAnchor>
    <xdr:from>
      <xdr:col>7</xdr:col>
      <xdr:colOff>38100</xdr:colOff>
      <xdr:row>13</xdr:row>
      <xdr:rowOff>47625</xdr:rowOff>
    </xdr:from>
    <xdr:to>
      <xdr:col>8</xdr:col>
      <xdr:colOff>371475</xdr:colOff>
      <xdr:row>13</xdr:row>
      <xdr:rowOff>47625</xdr:rowOff>
    </xdr:to>
    <xdr:sp macro="" textlink="">
      <xdr:nvSpPr>
        <xdr:cNvPr id="17" name="Line 36">
          <a:extLst>
            <a:ext uri="{FF2B5EF4-FFF2-40B4-BE49-F238E27FC236}">
              <a16:creationId xmlns:a16="http://schemas.microsoft.com/office/drawing/2014/main" id="{00000000-0008-0000-0000-000011000000}"/>
            </a:ext>
          </a:extLst>
        </xdr:cNvPr>
        <xdr:cNvSpPr>
          <a:spLocks noChangeShapeType="1"/>
        </xdr:cNvSpPr>
      </xdr:nvSpPr>
      <xdr:spPr bwMode="auto">
        <a:xfrm>
          <a:off x="4305300" y="2524125"/>
          <a:ext cx="942975" cy="0"/>
        </a:xfrm>
        <a:prstGeom prst="line">
          <a:avLst/>
        </a:prstGeom>
        <a:noFill/>
        <a:ln w="9525">
          <a:solidFill>
            <a:srgbClr val="000000"/>
          </a:solidFill>
          <a:round/>
          <a:headEnd/>
          <a:tailEnd/>
        </a:ln>
      </xdr:spPr>
    </xdr:sp>
    <xdr:clientData/>
  </xdr:twoCellAnchor>
  <xdr:twoCellAnchor>
    <xdr:from>
      <xdr:col>7</xdr:col>
      <xdr:colOff>38100</xdr:colOff>
      <xdr:row>17</xdr:row>
      <xdr:rowOff>47625</xdr:rowOff>
    </xdr:from>
    <xdr:to>
      <xdr:col>7</xdr:col>
      <xdr:colOff>247650</xdr:colOff>
      <xdr:row>17</xdr:row>
      <xdr:rowOff>47625</xdr:rowOff>
    </xdr:to>
    <xdr:sp macro="" textlink="">
      <xdr:nvSpPr>
        <xdr:cNvPr id="18" name="Line 37">
          <a:extLst>
            <a:ext uri="{FF2B5EF4-FFF2-40B4-BE49-F238E27FC236}">
              <a16:creationId xmlns:a16="http://schemas.microsoft.com/office/drawing/2014/main" id="{00000000-0008-0000-0000-000012000000}"/>
            </a:ext>
          </a:extLst>
        </xdr:cNvPr>
        <xdr:cNvSpPr>
          <a:spLocks noChangeShapeType="1"/>
        </xdr:cNvSpPr>
      </xdr:nvSpPr>
      <xdr:spPr bwMode="auto">
        <a:xfrm flipH="1">
          <a:off x="4305300" y="3286125"/>
          <a:ext cx="209550" cy="0"/>
        </a:xfrm>
        <a:prstGeom prst="line">
          <a:avLst/>
        </a:prstGeom>
        <a:noFill/>
        <a:ln w="9525">
          <a:solidFill>
            <a:srgbClr val="000000"/>
          </a:solidFill>
          <a:round/>
          <a:headEnd/>
          <a:tailEnd/>
        </a:ln>
      </xdr:spPr>
    </xdr:sp>
    <xdr:clientData/>
  </xdr:twoCellAnchor>
  <xdr:twoCellAnchor>
    <xdr:from>
      <xdr:col>10</xdr:col>
      <xdr:colOff>47625</xdr:colOff>
      <xdr:row>15</xdr:row>
      <xdr:rowOff>19050</xdr:rowOff>
    </xdr:from>
    <xdr:to>
      <xdr:col>10</xdr:col>
      <xdr:colOff>47625</xdr:colOff>
      <xdr:row>17</xdr:row>
      <xdr:rowOff>47625</xdr:rowOff>
    </xdr:to>
    <xdr:sp macro="" textlink="">
      <xdr:nvSpPr>
        <xdr:cNvPr id="19" name="Line 38">
          <a:extLst>
            <a:ext uri="{FF2B5EF4-FFF2-40B4-BE49-F238E27FC236}">
              <a16:creationId xmlns:a16="http://schemas.microsoft.com/office/drawing/2014/main" id="{00000000-0008-0000-0000-000013000000}"/>
            </a:ext>
          </a:extLst>
        </xdr:cNvPr>
        <xdr:cNvSpPr>
          <a:spLocks noChangeShapeType="1"/>
        </xdr:cNvSpPr>
      </xdr:nvSpPr>
      <xdr:spPr bwMode="auto">
        <a:xfrm>
          <a:off x="6143625" y="2876550"/>
          <a:ext cx="0" cy="409575"/>
        </a:xfrm>
        <a:prstGeom prst="line">
          <a:avLst/>
        </a:prstGeom>
        <a:noFill/>
        <a:ln w="9525">
          <a:solidFill>
            <a:srgbClr val="000000"/>
          </a:solidFill>
          <a:round/>
          <a:headEnd type="stealth" w="sm" len="sm"/>
          <a:tailEnd type="stealth" w="sm" len="sm"/>
        </a:ln>
      </xdr:spPr>
    </xdr:sp>
    <xdr:clientData/>
  </xdr:twoCellAnchor>
  <xdr:twoCellAnchor>
    <xdr:from>
      <xdr:col>7</xdr:col>
      <xdr:colOff>142875</xdr:colOff>
      <xdr:row>13</xdr:row>
      <xdr:rowOff>47625</xdr:rowOff>
    </xdr:from>
    <xdr:to>
      <xdr:col>7</xdr:col>
      <xdr:colOff>142875</xdr:colOff>
      <xdr:row>17</xdr:row>
      <xdr:rowOff>47625</xdr:rowOff>
    </xdr:to>
    <xdr:sp macro="" textlink="">
      <xdr:nvSpPr>
        <xdr:cNvPr id="20" name="Line 39">
          <a:extLst>
            <a:ext uri="{FF2B5EF4-FFF2-40B4-BE49-F238E27FC236}">
              <a16:creationId xmlns:a16="http://schemas.microsoft.com/office/drawing/2014/main" id="{00000000-0008-0000-0000-000014000000}"/>
            </a:ext>
          </a:extLst>
        </xdr:cNvPr>
        <xdr:cNvSpPr>
          <a:spLocks noChangeShapeType="1"/>
        </xdr:cNvSpPr>
      </xdr:nvSpPr>
      <xdr:spPr bwMode="auto">
        <a:xfrm>
          <a:off x="4410075" y="2524125"/>
          <a:ext cx="0" cy="762000"/>
        </a:xfrm>
        <a:prstGeom prst="line">
          <a:avLst/>
        </a:prstGeom>
        <a:noFill/>
        <a:ln w="9525">
          <a:solidFill>
            <a:srgbClr val="000000"/>
          </a:solidFill>
          <a:round/>
          <a:headEnd type="stealth" w="sm" len="sm"/>
          <a:tailEnd type="stealth" w="sm" len="sm"/>
        </a:ln>
      </xdr:spPr>
    </xdr:sp>
    <xdr:clientData/>
  </xdr:twoCellAnchor>
  <xdr:twoCellAnchor>
    <xdr:from>
      <xdr:col>9</xdr:col>
      <xdr:colOff>533400</xdr:colOff>
      <xdr:row>9</xdr:row>
      <xdr:rowOff>133350</xdr:rowOff>
    </xdr:from>
    <xdr:to>
      <xdr:col>10</xdr:col>
      <xdr:colOff>180975</xdr:colOff>
      <xdr:row>9</xdr:row>
      <xdr:rowOff>133350</xdr:rowOff>
    </xdr:to>
    <xdr:sp macro="" textlink="">
      <xdr:nvSpPr>
        <xdr:cNvPr id="21" name="Line 40">
          <a:extLst>
            <a:ext uri="{FF2B5EF4-FFF2-40B4-BE49-F238E27FC236}">
              <a16:creationId xmlns:a16="http://schemas.microsoft.com/office/drawing/2014/main" id="{00000000-0008-0000-0000-000015000000}"/>
            </a:ext>
          </a:extLst>
        </xdr:cNvPr>
        <xdr:cNvSpPr>
          <a:spLocks noChangeShapeType="1"/>
        </xdr:cNvSpPr>
      </xdr:nvSpPr>
      <xdr:spPr bwMode="auto">
        <a:xfrm>
          <a:off x="6019800" y="1847850"/>
          <a:ext cx="257175" cy="0"/>
        </a:xfrm>
        <a:prstGeom prst="line">
          <a:avLst/>
        </a:prstGeom>
        <a:noFill/>
        <a:ln w="9525">
          <a:solidFill>
            <a:srgbClr val="000000"/>
          </a:solidFill>
          <a:round/>
          <a:headEnd/>
          <a:tailEnd/>
        </a:ln>
      </xdr:spPr>
    </xdr:sp>
    <xdr:clientData/>
  </xdr:twoCellAnchor>
  <xdr:twoCellAnchor>
    <xdr:from>
      <xdr:col>9</xdr:col>
      <xdr:colOff>533400</xdr:colOff>
      <xdr:row>3</xdr:row>
      <xdr:rowOff>133350</xdr:rowOff>
    </xdr:from>
    <xdr:to>
      <xdr:col>10</xdr:col>
      <xdr:colOff>180975</xdr:colOff>
      <xdr:row>3</xdr:row>
      <xdr:rowOff>133350</xdr:rowOff>
    </xdr:to>
    <xdr:sp macro="" textlink="">
      <xdr:nvSpPr>
        <xdr:cNvPr id="22" name="Line 41">
          <a:extLst>
            <a:ext uri="{FF2B5EF4-FFF2-40B4-BE49-F238E27FC236}">
              <a16:creationId xmlns:a16="http://schemas.microsoft.com/office/drawing/2014/main" id="{00000000-0008-0000-0000-000016000000}"/>
            </a:ext>
          </a:extLst>
        </xdr:cNvPr>
        <xdr:cNvSpPr>
          <a:spLocks noChangeShapeType="1"/>
        </xdr:cNvSpPr>
      </xdr:nvSpPr>
      <xdr:spPr bwMode="auto">
        <a:xfrm>
          <a:off x="6019800" y="704850"/>
          <a:ext cx="257175" cy="0"/>
        </a:xfrm>
        <a:prstGeom prst="line">
          <a:avLst/>
        </a:prstGeom>
        <a:noFill/>
        <a:ln w="9525">
          <a:solidFill>
            <a:srgbClr val="000000"/>
          </a:solidFill>
          <a:round/>
          <a:headEnd/>
          <a:tailEnd/>
        </a:ln>
      </xdr:spPr>
    </xdr:sp>
    <xdr:clientData/>
  </xdr:twoCellAnchor>
  <xdr:twoCellAnchor>
    <xdr:from>
      <xdr:col>10</xdr:col>
      <xdr:colOff>38100</xdr:colOff>
      <xdr:row>3</xdr:row>
      <xdr:rowOff>133350</xdr:rowOff>
    </xdr:from>
    <xdr:to>
      <xdr:col>10</xdr:col>
      <xdr:colOff>38100</xdr:colOff>
      <xdr:row>9</xdr:row>
      <xdr:rowOff>133350</xdr:rowOff>
    </xdr:to>
    <xdr:sp macro="" textlink="">
      <xdr:nvSpPr>
        <xdr:cNvPr id="23" name="Line 42">
          <a:extLst>
            <a:ext uri="{FF2B5EF4-FFF2-40B4-BE49-F238E27FC236}">
              <a16:creationId xmlns:a16="http://schemas.microsoft.com/office/drawing/2014/main" id="{00000000-0008-0000-0000-000017000000}"/>
            </a:ext>
          </a:extLst>
        </xdr:cNvPr>
        <xdr:cNvSpPr>
          <a:spLocks noChangeShapeType="1"/>
        </xdr:cNvSpPr>
      </xdr:nvSpPr>
      <xdr:spPr bwMode="auto">
        <a:xfrm>
          <a:off x="6134100" y="704850"/>
          <a:ext cx="0" cy="1143000"/>
        </a:xfrm>
        <a:prstGeom prst="line">
          <a:avLst/>
        </a:prstGeom>
        <a:noFill/>
        <a:ln w="9525">
          <a:solidFill>
            <a:srgbClr val="000000"/>
          </a:solidFill>
          <a:round/>
          <a:headEnd type="stealth" w="sm" len="sm"/>
          <a:tailEnd type="stealth" w="sm" len="sm"/>
        </a:ln>
      </xdr:spPr>
    </xdr:sp>
    <xdr:clientData/>
  </xdr:twoCellAnchor>
  <xdr:twoCellAnchor>
    <xdr:from>
      <xdr:col>7</xdr:col>
      <xdr:colOff>485775</xdr:colOff>
      <xdr:row>15</xdr:row>
      <xdr:rowOff>19050</xdr:rowOff>
    </xdr:from>
    <xdr:to>
      <xdr:col>8</xdr:col>
      <xdr:colOff>285750</xdr:colOff>
      <xdr:row>15</xdr:row>
      <xdr:rowOff>19050</xdr:rowOff>
    </xdr:to>
    <xdr:sp macro="" textlink="">
      <xdr:nvSpPr>
        <xdr:cNvPr id="24" name="Line 43">
          <a:extLst>
            <a:ext uri="{FF2B5EF4-FFF2-40B4-BE49-F238E27FC236}">
              <a16:creationId xmlns:a16="http://schemas.microsoft.com/office/drawing/2014/main" id="{00000000-0008-0000-0000-000018000000}"/>
            </a:ext>
          </a:extLst>
        </xdr:cNvPr>
        <xdr:cNvSpPr>
          <a:spLocks noChangeShapeType="1"/>
        </xdr:cNvSpPr>
      </xdr:nvSpPr>
      <xdr:spPr bwMode="auto">
        <a:xfrm>
          <a:off x="4752975" y="2876550"/>
          <a:ext cx="409575" cy="0"/>
        </a:xfrm>
        <a:prstGeom prst="line">
          <a:avLst/>
        </a:prstGeom>
        <a:noFill/>
        <a:ln w="9525">
          <a:solidFill>
            <a:srgbClr val="000000"/>
          </a:solidFill>
          <a:round/>
          <a:headEnd/>
          <a:tailEnd/>
        </a:ln>
      </xdr:spPr>
    </xdr:sp>
    <xdr:clientData/>
  </xdr:twoCellAnchor>
  <xdr:twoCellAnchor>
    <xdr:from>
      <xdr:col>8</xdr:col>
      <xdr:colOff>95250</xdr:colOff>
      <xdr:row>14</xdr:row>
      <xdr:rowOff>57150</xdr:rowOff>
    </xdr:from>
    <xdr:to>
      <xdr:col>8</xdr:col>
      <xdr:colOff>180975</xdr:colOff>
      <xdr:row>15</xdr:row>
      <xdr:rowOff>133350</xdr:rowOff>
    </xdr:to>
    <xdr:sp macro="" textlink="">
      <xdr:nvSpPr>
        <xdr:cNvPr id="25" name="Arc 44">
          <a:extLst>
            <a:ext uri="{FF2B5EF4-FFF2-40B4-BE49-F238E27FC236}">
              <a16:creationId xmlns:a16="http://schemas.microsoft.com/office/drawing/2014/main" id="{00000000-0008-0000-0000-000019000000}"/>
            </a:ext>
          </a:extLst>
        </xdr:cNvPr>
        <xdr:cNvSpPr>
          <a:spLocks/>
        </xdr:cNvSpPr>
      </xdr:nvSpPr>
      <xdr:spPr bwMode="auto">
        <a:xfrm>
          <a:off x="4972050" y="2724150"/>
          <a:ext cx="85725" cy="266700"/>
        </a:xfrm>
        <a:custGeom>
          <a:avLst/>
          <a:gdLst>
            <a:gd name="T0" fmla="*/ 2147483647 w 19129"/>
            <a:gd name="T1" fmla="*/ 0 h 21502"/>
            <a:gd name="T2" fmla="*/ 2147483647 w 19129"/>
            <a:gd name="T3" fmla="*/ 2147483647 h 21502"/>
            <a:gd name="T4" fmla="*/ 0 w 19129"/>
            <a:gd name="T5" fmla="*/ 2147483647 h 21502"/>
            <a:gd name="T6" fmla="*/ 0 60000 65536"/>
            <a:gd name="T7" fmla="*/ 0 60000 65536"/>
            <a:gd name="T8" fmla="*/ 0 60000 65536"/>
            <a:gd name="T9" fmla="*/ 0 w 19129"/>
            <a:gd name="T10" fmla="*/ 0 h 21502"/>
            <a:gd name="T11" fmla="*/ 19129 w 19129"/>
            <a:gd name="T12" fmla="*/ 21502 h 21502"/>
          </a:gdLst>
          <a:ahLst/>
          <a:cxnLst>
            <a:cxn ang="T6">
              <a:pos x="T0" y="T1"/>
            </a:cxn>
            <a:cxn ang="T7">
              <a:pos x="T2" y="T3"/>
            </a:cxn>
            <a:cxn ang="T8">
              <a:pos x="T4" y="T5"/>
            </a:cxn>
          </a:cxnLst>
          <a:rect l="T9" t="T10" r="T11" b="T12"/>
          <a:pathLst>
            <a:path w="19129" h="21502" fill="none" extrusionOk="0">
              <a:moveTo>
                <a:pt x="2052" y="-1"/>
              </a:moveTo>
              <a:cubicBezTo>
                <a:pt x="9316" y="692"/>
                <a:pt x="15739" y="5007"/>
                <a:pt x="19129" y="11469"/>
              </a:cubicBezTo>
            </a:path>
            <a:path w="19129" h="21502" stroke="0" extrusionOk="0">
              <a:moveTo>
                <a:pt x="2052" y="-1"/>
              </a:moveTo>
              <a:cubicBezTo>
                <a:pt x="9316" y="692"/>
                <a:pt x="15739" y="5007"/>
                <a:pt x="19129" y="11469"/>
              </a:cubicBezTo>
              <a:lnTo>
                <a:pt x="0" y="21502"/>
              </a:lnTo>
              <a:lnTo>
                <a:pt x="2052" y="-1"/>
              </a:lnTo>
              <a:close/>
            </a:path>
          </a:pathLst>
        </a:custGeom>
        <a:noFill/>
        <a:ln w="9525">
          <a:solidFill>
            <a:srgbClr val="000000"/>
          </a:solidFill>
          <a:round/>
          <a:headEnd/>
          <a:tailEnd/>
        </a:ln>
      </xdr:spPr>
    </xdr:sp>
    <xdr:clientData/>
  </xdr:twoCellAnchor>
  <xdr:twoCellAnchor editAs="oneCell">
    <xdr:from>
      <xdr:col>8</xdr:col>
      <xdr:colOff>161925</xdr:colOff>
      <xdr:row>14</xdr:row>
      <xdr:rowOff>9525</xdr:rowOff>
    </xdr:from>
    <xdr:to>
      <xdr:col>8</xdr:col>
      <xdr:colOff>390525</xdr:colOff>
      <xdr:row>15</xdr:row>
      <xdr:rowOff>0</xdr:rowOff>
    </xdr:to>
    <xdr:sp macro="" textlink="">
      <xdr:nvSpPr>
        <xdr:cNvPr id="26" name="Text Box 45">
          <a:extLst>
            <a:ext uri="{FF2B5EF4-FFF2-40B4-BE49-F238E27FC236}">
              <a16:creationId xmlns:a16="http://schemas.microsoft.com/office/drawing/2014/main" id="{00000000-0008-0000-0000-00001A000000}"/>
            </a:ext>
          </a:extLst>
        </xdr:cNvPr>
        <xdr:cNvSpPr txBox="1">
          <a:spLocks noChangeArrowheads="1"/>
        </xdr:cNvSpPr>
      </xdr:nvSpPr>
      <xdr:spPr bwMode="auto">
        <a:xfrm>
          <a:off x="5038725" y="2676525"/>
          <a:ext cx="228600" cy="180975"/>
        </a:xfrm>
        <a:prstGeom prst="rect">
          <a:avLst/>
        </a:prstGeom>
        <a:noFill/>
        <a:ln>
          <a:noFill/>
        </a:ln>
      </xdr:spPr>
      <xdr:txBody>
        <a:bodyPr vertOverflow="clip" wrap="square" lIns="27432" tIns="22860" rIns="0" bIns="0" anchor="t" upright="1"/>
        <a:lstStyle/>
        <a:p>
          <a:pPr algn="l" rtl="0">
            <a:defRPr sz="1000"/>
          </a:pPr>
          <a:r>
            <a:rPr lang="en-US" sz="1000" b="0" i="0" u="none" strike="noStrike" baseline="0">
              <a:solidFill>
                <a:srgbClr val="0000FF"/>
              </a:solidFill>
              <a:latin typeface="Symbol"/>
            </a:rPr>
            <a:t>q </a:t>
          </a:r>
          <a:r>
            <a:rPr lang="en-US" sz="800" b="0" i="0" u="none" strike="noStrike" baseline="30000">
              <a:solidFill>
                <a:srgbClr val="0000FF"/>
              </a:solidFill>
              <a:latin typeface="Arial"/>
              <a:cs typeface="Arial"/>
            </a:rPr>
            <a:t>o</a:t>
          </a:r>
          <a:endParaRPr lang="en-US"/>
        </a:p>
      </xdr:txBody>
    </xdr:sp>
    <xdr:clientData/>
  </xdr:twoCellAnchor>
  <xdr:twoCellAnchor>
    <xdr:from>
      <xdr:col>8</xdr:col>
      <xdr:colOff>466725</xdr:colOff>
      <xdr:row>14</xdr:row>
      <xdr:rowOff>28575</xdr:rowOff>
    </xdr:from>
    <xdr:to>
      <xdr:col>9</xdr:col>
      <xdr:colOff>228600</xdr:colOff>
      <xdr:row>14</xdr:row>
      <xdr:rowOff>28575</xdr:rowOff>
    </xdr:to>
    <xdr:sp macro="" textlink="">
      <xdr:nvSpPr>
        <xdr:cNvPr id="27" name="Line 46">
          <a:extLst>
            <a:ext uri="{FF2B5EF4-FFF2-40B4-BE49-F238E27FC236}">
              <a16:creationId xmlns:a16="http://schemas.microsoft.com/office/drawing/2014/main" id="{00000000-0008-0000-0000-00001B000000}"/>
            </a:ext>
          </a:extLst>
        </xdr:cNvPr>
        <xdr:cNvSpPr>
          <a:spLocks noChangeShapeType="1"/>
        </xdr:cNvSpPr>
      </xdr:nvSpPr>
      <xdr:spPr bwMode="auto">
        <a:xfrm>
          <a:off x="5343525" y="2695575"/>
          <a:ext cx="371475" cy="0"/>
        </a:xfrm>
        <a:prstGeom prst="line">
          <a:avLst/>
        </a:prstGeom>
        <a:noFill/>
        <a:ln w="9525">
          <a:solidFill>
            <a:srgbClr val="000000"/>
          </a:solidFill>
          <a:round/>
          <a:headEnd/>
          <a:tailEnd/>
        </a:ln>
      </xdr:spPr>
    </xdr:sp>
    <xdr:clientData/>
  </xdr:twoCellAnchor>
  <xdr:twoCellAnchor>
    <xdr:from>
      <xdr:col>9</xdr:col>
      <xdr:colOff>0</xdr:colOff>
      <xdr:row>14</xdr:row>
      <xdr:rowOff>28575</xdr:rowOff>
    </xdr:from>
    <xdr:to>
      <xdr:col>9</xdr:col>
      <xdr:colOff>0</xdr:colOff>
      <xdr:row>17</xdr:row>
      <xdr:rowOff>47625</xdr:rowOff>
    </xdr:to>
    <xdr:sp macro="" textlink="">
      <xdr:nvSpPr>
        <xdr:cNvPr id="28" name="Line 47">
          <a:extLst>
            <a:ext uri="{FF2B5EF4-FFF2-40B4-BE49-F238E27FC236}">
              <a16:creationId xmlns:a16="http://schemas.microsoft.com/office/drawing/2014/main" id="{00000000-0008-0000-0000-00001C000000}"/>
            </a:ext>
          </a:extLst>
        </xdr:cNvPr>
        <xdr:cNvSpPr>
          <a:spLocks noChangeShapeType="1"/>
        </xdr:cNvSpPr>
      </xdr:nvSpPr>
      <xdr:spPr bwMode="auto">
        <a:xfrm>
          <a:off x="5486400" y="2695575"/>
          <a:ext cx="0" cy="590550"/>
        </a:xfrm>
        <a:prstGeom prst="line">
          <a:avLst/>
        </a:prstGeom>
        <a:noFill/>
        <a:ln w="9525">
          <a:solidFill>
            <a:srgbClr val="000000"/>
          </a:solidFill>
          <a:round/>
          <a:headEnd type="stealth" w="sm" len="sm"/>
          <a:tailEnd type="stealth" w="sm" len="sm"/>
        </a:ln>
      </xdr:spPr>
    </xdr:sp>
    <xdr:clientData/>
  </xdr:twoCellAnchor>
  <xdr:twoCellAnchor>
    <xdr:from>
      <xdr:col>8</xdr:col>
      <xdr:colOff>257175</xdr:colOff>
      <xdr:row>10</xdr:row>
      <xdr:rowOff>38100</xdr:rowOff>
    </xdr:from>
    <xdr:to>
      <xdr:col>9</xdr:col>
      <xdr:colOff>219075</xdr:colOff>
      <xdr:row>11</xdr:row>
      <xdr:rowOff>19049</xdr:rowOff>
    </xdr:to>
    <xdr:sp macro="" textlink="">
      <xdr:nvSpPr>
        <xdr:cNvPr id="29" name="Text Box 48">
          <a:extLst>
            <a:ext uri="{FF2B5EF4-FFF2-40B4-BE49-F238E27FC236}">
              <a16:creationId xmlns:a16="http://schemas.microsoft.com/office/drawing/2014/main" id="{00000000-0008-0000-0000-00001D000000}"/>
            </a:ext>
          </a:extLst>
        </xdr:cNvPr>
        <xdr:cNvSpPr txBox="1">
          <a:spLocks noChangeArrowheads="1"/>
        </xdr:cNvSpPr>
      </xdr:nvSpPr>
      <xdr:spPr bwMode="auto">
        <a:xfrm>
          <a:off x="6762750" y="1971675"/>
          <a:ext cx="571500" cy="171449"/>
        </a:xfrm>
        <a:prstGeom prst="rect">
          <a:avLst/>
        </a:prstGeom>
        <a:noFill/>
        <a:ln>
          <a:noFill/>
        </a:ln>
      </xdr:spPr>
      <xdr:txBody>
        <a:bodyPr vertOverflow="clip" wrap="square" lIns="27432" tIns="22860" rIns="0" bIns="0" anchor="t" upright="1"/>
        <a:lstStyle/>
        <a:p>
          <a:pPr algn="l" rtl="0">
            <a:defRPr sz="1000"/>
          </a:pPr>
          <a:r>
            <a:rPr lang="en-US" sz="900" b="0" i="0" u="none" strike="noStrike" baseline="0">
              <a:solidFill>
                <a:srgbClr val="0000FF"/>
              </a:solidFill>
              <a:latin typeface="Arial"/>
              <a:cs typeface="Arial"/>
            </a:rPr>
            <a:t>Width</a:t>
          </a:r>
        </a:p>
      </xdr:txBody>
    </xdr:sp>
    <xdr:clientData/>
  </xdr:twoCellAnchor>
  <xdr:twoCellAnchor>
    <xdr:from>
      <xdr:col>10</xdr:col>
      <xdr:colOff>57150</xdr:colOff>
      <xdr:row>7</xdr:row>
      <xdr:rowOff>19049</xdr:rowOff>
    </xdr:from>
    <xdr:to>
      <xdr:col>11</xdr:col>
      <xdr:colOff>95250</xdr:colOff>
      <xdr:row>8</xdr:row>
      <xdr:rowOff>9524</xdr:rowOff>
    </xdr:to>
    <xdr:sp macro="" textlink="">
      <xdr:nvSpPr>
        <xdr:cNvPr id="30" name="Text Box 49">
          <a:extLst>
            <a:ext uri="{FF2B5EF4-FFF2-40B4-BE49-F238E27FC236}">
              <a16:creationId xmlns:a16="http://schemas.microsoft.com/office/drawing/2014/main" id="{00000000-0008-0000-0000-00001E000000}"/>
            </a:ext>
          </a:extLst>
        </xdr:cNvPr>
        <xdr:cNvSpPr txBox="1">
          <a:spLocks noChangeArrowheads="1"/>
        </xdr:cNvSpPr>
      </xdr:nvSpPr>
      <xdr:spPr bwMode="auto">
        <a:xfrm>
          <a:off x="7781925" y="1381124"/>
          <a:ext cx="647700" cy="180975"/>
        </a:xfrm>
        <a:prstGeom prst="rect">
          <a:avLst/>
        </a:prstGeom>
        <a:noFill/>
        <a:ln>
          <a:noFill/>
        </a:ln>
      </xdr:spPr>
      <xdr:txBody>
        <a:bodyPr vertOverflow="clip" wrap="square" lIns="27432" tIns="22860" rIns="0" bIns="0" anchor="t" upright="1"/>
        <a:lstStyle/>
        <a:p>
          <a:pPr algn="l" rtl="0">
            <a:defRPr sz="1000"/>
          </a:pPr>
          <a:r>
            <a:rPr lang="en-US" sz="900" b="0" i="0" u="none" strike="noStrike" baseline="0">
              <a:solidFill>
                <a:srgbClr val="0000FF"/>
              </a:solidFill>
              <a:latin typeface="Arial"/>
              <a:cs typeface="Arial"/>
            </a:rPr>
            <a:t>Length</a:t>
          </a:r>
        </a:p>
        <a:p>
          <a:pPr algn="l" rtl="0">
            <a:defRPr sz="1000"/>
          </a:pPr>
          <a:endParaRPr lang="en-US"/>
        </a:p>
      </xdr:txBody>
    </xdr:sp>
    <xdr:clientData/>
  </xdr:twoCellAnchor>
  <xdr:twoCellAnchor>
    <xdr:from>
      <xdr:col>6</xdr:col>
      <xdr:colOff>600075</xdr:colOff>
      <xdr:row>14</xdr:row>
      <xdr:rowOff>142875</xdr:rowOff>
    </xdr:from>
    <xdr:to>
      <xdr:col>7</xdr:col>
      <xdr:colOff>171450</xdr:colOff>
      <xdr:row>15</xdr:row>
      <xdr:rowOff>104775</xdr:rowOff>
    </xdr:to>
    <xdr:sp macro="" textlink="">
      <xdr:nvSpPr>
        <xdr:cNvPr id="31" name="Text Box 50">
          <a:extLst>
            <a:ext uri="{FF2B5EF4-FFF2-40B4-BE49-F238E27FC236}">
              <a16:creationId xmlns:a16="http://schemas.microsoft.com/office/drawing/2014/main" id="{00000000-0008-0000-0000-00001F000000}"/>
            </a:ext>
          </a:extLst>
        </xdr:cNvPr>
        <xdr:cNvSpPr txBox="1">
          <a:spLocks noChangeArrowheads="1"/>
        </xdr:cNvSpPr>
      </xdr:nvSpPr>
      <xdr:spPr bwMode="auto">
        <a:xfrm>
          <a:off x="4257675" y="2809875"/>
          <a:ext cx="180975" cy="152400"/>
        </a:xfrm>
        <a:prstGeom prst="rect">
          <a:avLst/>
        </a:prstGeom>
        <a:noFill/>
        <a:ln>
          <a:noFill/>
        </a:ln>
      </xdr:spPr>
      <xdr:txBody>
        <a:bodyPr vertOverflow="clip" wrap="square" lIns="27432" tIns="22860" rIns="0" bIns="0" anchor="t" upright="1"/>
        <a:lstStyle/>
        <a:p>
          <a:pPr algn="l" rtl="0">
            <a:defRPr sz="1000"/>
          </a:pPr>
          <a:r>
            <a:rPr lang="en-US" sz="900" b="0" i="0" u="none" strike="noStrike" baseline="0">
              <a:solidFill>
                <a:srgbClr val="0000FF"/>
              </a:solidFill>
              <a:latin typeface="Arial"/>
              <a:cs typeface="Arial"/>
            </a:rPr>
            <a:t>h</a:t>
          </a:r>
          <a:r>
            <a:rPr lang="en-US" sz="800" b="0" i="0" u="none" strike="noStrike" baseline="0">
              <a:solidFill>
                <a:srgbClr val="0000FF"/>
              </a:solidFill>
              <a:latin typeface="Arial"/>
              <a:cs typeface="Arial"/>
            </a:rPr>
            <a:t>r</a:t>
          </a:r>
          <a:endParaRPr lang="en-US"/>
        </a:p>
      </xdr:txBody>
    </xdr:sp>
    <xdr:clientData/>
  </xdr:twoCellAnchor>
  <xdr:twoCellAnchor>
    <xdr:from>
      <xdr:col>10</xdr:col>
      <xdr:colOff>47625</xdr:colOff>
      <xdr:row>15</xdr:row>
      <xdr:rowOff>142875</xdr:rowOff>
    </xdr:from>
    <xdr:to>
      <xdr:col>10</xdr:col>
      <xdr:colOff>228600</xdr:colOff>
      <xdr:row>16</xdr:row>
      <xdr:rowOff>104775</xdr:rowOff>
    </xdr:to>
    <xdr:sp macro="" textlink="">
      <xdr:nvSpPr>
        <xdr:cNvPr id="32" name="Text Box 51">
          <a:extLst>
            <a:ext uri="{FF2B5EF4-FFF2-40B4-BE49-F238E27FC236}">
              <a16:creationId xmlns:a16="http://schemas.microsoft.com/office/drawing/2014/main" id="{00000000-0008-0000-0000-000020000000}"/>
            </a:ext>
          </a:extLst>
        </xdr:cNvPr>
        <xdr:cNvSpPr txBox="1">
          <a:spLocks noChangeArrowheads="1"/>
        </xdr:cNvSpPr>
      </xdr:nvSpPr>
      <xdr:spPr bwMode="auto">
        <a:xfrm>
          <a:off x="6143625" y="3000375"/>
          <a:ext cx="180975" cy="152400"/>
        </a:xfrm>
        <a:prstGeom prst="rect">
          <a:avLst/>
        </a:prstGeom>
        <a:noFill/>
        <a:ln>
          <a:noFill/>
        </a:ln>
      </xdr:spPr>
      <xdr:txBody>
        <a:bodyPr vertOverflow="clip" wrap="square" lIns="27432" tIns="22860" rIns="0" bIns="0" anchor="t" upright="1"/>
        <a:lstStyle/>
        <a:p>
          <a:pPr algn="l" rtl="0">
            <a:defRPr sz="1000"/>
          </a:pPr>
          <a:r>
            <a:rPr lang="en-US" sz="900" b="0" i="0" u="none" strike="noStrike" baseline="0">
              <a:solidFill>
                <a:srgbClr val="0000FF"/>
              </a:solidFill>
              <a:latin typeface="Arial"/>
              <a:cs typeface="Arial"/>
            </a:rPr>
            <a:t>h</a:t>
          </a:r>
          <a:r>
            <a:rPr lang="en-US" sz="800" b="0" i="0" u="none" strike="noStrike" baseline="0">
              <a:solidFill>
                <a:srgbClr val="0000FF"/>
              </a:solidFill>
              <a:latin typeface="Arial"/>
              <a:cs typeface="Arial"/>
            </a:rPr>
            <a:t>e</a:t>
          </a:r>
          <a:endParaRPr lang="en-US"/>
        </a:p>
      </xdr:txBody>
    </xdr:sp>
    <xdr:clientData/>
  </xdr:twoCellAnchor>
  <xdr:twoCellAnchor>
    <xdr:from>
      <xdr:col>9</xdr:col>
      <xdr:colOff>0</xdr:colOff>
      <xdr:row>15</xdr:row>
      <xdr:rowOff>47625</xdr:rowOff>
    </xdr:from>
    <xdr:to>
      <xdr:col>9</xdr:col>
      <xdr:colOff>419100</xdr:colOff>
      <xdr:row>16</xdr:row>
      <xdr:rowOff>28575</xdr:rowOff>
    </xdr:to>
    <xdr:sp macro="" textlink="">
      <xdr:nvSpPr>
        <xdr:cNvPr id="33" name="Text Box 52">
          <a:extLst>
            <a:ext uri="{FF2B5EF4-FFF2-40B4-BE49-F238E27FC236}">
              <a16:creationId xmlns:a16="http://schemas.microsoft.com/office/drawing/2014/main" id="{00000000-0008-0000-0000-000021000000}"/>
            </a:ext>
          </a:extLst>
        </xdr:cNvPr>
        <xdr:cNvSpPr txBox="1">
          <a:spLocks noChangeArrowheads="1"/>
        </xdr:cNvSpPr>
      </xdr:nvSpPr>
      <xdr:spPr bwMode="auto">
        <a:xfrm>
          <a:off x="5486400" y="2905125"/>
          <a:ext cx="419100" cy="171450"/>
        </a:xfrm>
        <a:prstGeom prst="rect">
          <a:avLst/>
        </a:prstGeom>
        <a:noFill/>
        <a:ln>
          <a:noFill/>
        </a:ln>
      </xdr:spPr>
      <xdr:txBody>
        <a:bodyPr vertOverflow="clip" wrap="square" lIns="27432" tIns="22860" rIns="0" bIns="0" anchor="t" upright="1"/>
        <a:lstStyle/>
        <a:p>
          <a:pPr algn="l" rtl="0">
            <a:defRPr sz="1000"/>
          </a:pPr>
          <a:r>
            <a:rPr lang="en-US" sz="900" b="0" i="0" u="none" strike="noStrike" baseline="0">
              <a:solidFill>
                <a:srgbClr val="0000FF"/>
              </a:solidFill>
              <a:latin typeface="Arial"/>
              <a:cs typeface="Arial"/>
            </a:rPr>
            <a:t>h&lt;=60'</a:t>
          </a:r>
          <a:endParaRPr lang="en-US"/>
        </a:p>
      </xdr:txBody>
    </xdr:sp>
    <xdr:clientData/>
  </xdr:twoCellAnchor>
  <xdr:twoCellAnchor>
    <xdr:from>
      <xdr:col>8</xdr:col>
      <xdr:colOff>419100</xdr:colOff>
      <xdr:row>12</xdr:row>
      <xdr:rowOff>104775</xdr:rowOff>
    </xdr:from>
    <xdr:to>
      <xdr:col>8</xdr:col>
      <xdr:colOff>514350</xdr:colOff>
      <xdr:row>13</xdr:row>
      <xdr:rowOff>57150</xdr:rowOff>
    </xdr:to>
    <xdr:sp macro="" textlink="">
      <xdr:nvSpPr>
        <xdr:cNvPr id="34" name="Line 53">
          <a:extLst>
            <a:ext uri="{FF2B5EF4-FFF2-40B4-BE49-F238E27FC236}">
              <a16:creationId xmlns:a16="http://schemas.microsoft.com/office/drawing/2014/main" id="{00000000-0008-0000-0000-000022000000}"/>
            </a:ext>
          </a:extLst>
        </xdr:cNvPr>
        <xdr:cNvSpPr>
          <a:spLocks noChangeShapeType="1"/>
        </xdr:cNvSpPr>
      </xdr:nvSpPr>
      <xdr:spPr bwMode="auto">
        <a:xfrm flipV="1">
          <a:off x="5295900" y="2390775"/>
          <a:ext cx="95250" cy="142875"/>
        </a:xfrm>
        <a:prstGeom prst="line">
          <a:avLst/>
        </a:prstGeom>
        <a:noFill/>
        <a:ln w="9525">
          <a:solidFill>
            <a:srgbClr val="000000"/>
          </a:solidFill>
          <a:round/>
          <a:headEnd/>
          <a:tailEnd type="stealth" w="sm" len="sm"/>
        </a:ln>
      </xdr:spPr>
    </xdr:sp>
    <xdr:clientData/>
  </xdr:twoCellAnchor>
  <xdr:twoCellAnchor>
    <xdr:from>
      <xdr:col>8</xdr:col>
      <xdr:colOff>533400</xdr:colOff>
      <xdr:row>12</xdr:row>
      <xdr:rowOff>171450</xdr:rowOff>
    </xdr:from>
    <xdr:to>
      <xdr:col>9</xdr:col>
      <xdr:colOff>19050</xdr:colOff>
      <xdr:row>13</xdr:row>
      <xdr:rowOff>123825</xdr:rowOff>
    </xdr:to>
    <xdr:sp macro="" textlink="">
      <xdr:nvSpPr>
        <xdr:cNvPr id="35" name="Line 54">
          <a:extLst>
            <a:ext uri="{FF2B5EF4-FFF2-40B4-BE49-F238E27FC236}">
              <a16:creationId xmlns:a16="http://schemas.microsoft.com/office/drawing/2014/main" id="{00000000-0008-0000-0000-000023000000}"/>
            </a:ext>
          </a:extLst>
        </xdr:cNvPr>
        <xdr:cNvSpPr>
          <a:spLocks noChangeShapeType="1"/>
        </xdr:cNvSpPr>
      </xdr:nvSpPr>
      <xdr:spPr bwMode="auto">
        <a:xfrm flipV="1">
          <a:off x="5410200" y="2457450"/>
          <a:ext cx="95250" cy="142875"/>
        </a:xfrm>
        <a:prstGeom prst="line">
          <a:avLst/>
        </a:prstGeom>
        <a:noFill/>
        <a:ln w="9525">
          <a:solidFill>
            <a:srgbClr val="000000"/>
          </a:solidFill>
          <a:round/>
          <a:headEnd/>
          <a:tailEnd type="stealth" w="sm" len="sm"/>
        </a:ln>
      </xdr:spPr>
    </xdr:sp>
    <xdr:clientData/>
  </xdr:twoCellAnchor>
  <xdr:twoCellAnchor>
    <xdr:from>
      <xdr:col>9</xdr:col>
      <xdr:colOff>257175</xdr:colOff>
      <xdr:row>13</xdr:row>
      <xdr:rowOff>180975</xdr:rowOff>
    </xdr:from>
    <xdr:to>
      <xdr:col>9</xdr:col>
      <xdr:colOff>352425</xdr:colOff>
      <xdr:row>14</xdr:row>
      <xdr:rowOff>133350</xdr:rowOff>
    </xdr:to>
    <xdr:sp macro="" textlink="">
      <xdr:nvSpPr>
        <xdr:cNvPr id="36" name="Line 55">
          <a:extLst>
            <a:ext uri="{FF2B5EF4-FFF2-40B4-BE49-F238E27FC236}">
              <a16:creationId xmlns:a16="http://schemas.microsoft.com/office/drawing/2014/main" id="{00000000-0008-0000-0000-000024000000}"/>
            </a:ext>
          </a:extLst>
        </xdr:cNvPr>
        <xdr:cNvSpPr>
          <a:spLocks noChangeShapeType="1"/>
        </xdr:cNvSpPr>
      </xdr:nvSpPr>
      <xdr:spPr bwMode="auto">
        <a:xfrm flipV="1">
          <a:off x="5743575" y="2657475"/>
          <a:ext cx="95250" cy="142875"/>
        </a:xfrm>
        <a:prstGeom prst="line">
          <a:avLst/>
        </a:prstGeom>
        <a:noFill/>
        <a:ln w="9525">
          <a:solidFill>
            <a:srgbClr val="000000"/>
          </a:solidFill>
          <a:round/>
          <a:headEnd/>
          <a:tailEnd type="stealth" w="sm" len="sm"/>
        </a:ln>
      </xdr:spPr>
    </xdr:sp>
    <xdr:clientData/>
  </xdr:twoCellAnchor>
  <xdr:twoCellAnchor>
    <xdr:from>
      <xdr:col>9</xdr:col>
      <xdr:colOff>390525</xdr:colOff>
      <xdr:row>14</xdr:row>
      <xdr:rowOff>66675</xdr:rowOff>
    </xdr:from>
    <xdr:to>
      <xdr:col>9</xdr:col>
      <xdr:colOff>485775</xdr:colOff>
      <xdr:row>15</xdr:row>
      <xdr:rowOff>19050</xdr:rowOff>
    </xdr:to>
    <xdr:sp macro="" textlink="">
      <xdr:nvSpPr>
        <xdr:cNvPr id="37" name="Line 56">
          <a:extLst>
            <a:ext uri="{FF2B5EF4-FFF2-40B4-BE49-F238E27FC236}">
              <a16:creationId xmlns:a16="http://schemas.microsoft.com/office/drawing/2014/main" id="{00000000-0008-0000-0000-000025000000}"/>
            </a:ext>
          </a:extLst>
        </xdr:cNvPr>
        <xdr:cNvSpPr>
          <a:spLocks noChangeShapeType="1"/>
        </xdr:cNvSpPr>
      </xdr:nvSpPr>
      <xdr:spPr bwMode="auto">
        <a:xfrm flipV="1">
          <a:off x="5876925" y="2733675"/>
          <a:ext cx="95250" cy="142875"/>
        </a:xfrm>
        <a:prstGeom prst="line">
          <a:avLst/>
        </a:prstGeom>
        <a:noFill/>
        <a:ln w="9525">
          <a:solidFill>
            <a:srgbClr val="000000"/>
          </a:solidFill>
          <a:round/>
          <a:headEnd/>
          <a:tailEnd type="stealth" w="sm" len="sm"/>
        </a:ln>
      </xdr:spPr>
    </xdr:sp>
    <xdr:clientData/>
  </xdr:twoCellAnchor>
  <xdr:twoCellAnchor>
    <xdr:from>
      <xdr:col>9</xdr:col>
      <xdr:colOff>28575</xdr:colOff>
      <xdr:row>13</xdr:row>
      <xdr:rowOff>47625</xdr:rowOff>
    </xdr:from>
    <xdr:to>
      <xdr:col>9</xdr:col>
      <xdr:colOff>123825</xdr:colOff>
      <xdr:row>14</xdr:row>
      <xdr:rowOff>0</xdr:rowOff>
    </xdr:to>
    <xdr:sp macro="" textlink="">
      <xdr:nvSpPr>
        <xdr:cNvPr id="38" name="Line 57">
          <a:extLst>
            <a:ext uri="{FF2B5EF4-FFF2-40B4-BE49-F238E27FC236}">
              <a16:creationId xmlns:a16="http://schemas.microsoft.com/office/drawing/2014/main" id="{00000000-0008-0000-0000-000026000000}"/>
            </a:ext>
          </a:extLst>
        </xdr:cNvPr>
        <xdr:cNvSpPr>
          <a:spLocks noChangeShapeType="1"/>
        </xdr:cNvSpPr>
      </xdr:nvSpPr>
      <xdr:spPr bwMode="auto">
        <a:xfrm flipV="1">
          <a:off x="5514975" y="2524125"/>
          <a:ext cx="95250" cy="142875"/>
        </a:xfrm>
        <a:prstGeom prst="line">
          <a:avLst/>
        </a:prstGeom>
        <a:noFill/>
        <a:ln w="9525">
          <a:solidFill>
            <a:srgbClr val="000000"/>
          </a:solidFill>
          <a:round/>
          <a:headEnd/>
          <a:tailEnd type="stealth" w="sm" len="sm"/>
        </a:ln>
      </xdr:spPr>
    </xdr:sp>
    <xdr:clientData/>
  </xdr:twoCellAnchor>
  <xdr:twoCellAnchor>
    <xdr:from>
      <xdr:col>7</xdr:col>
      <xdr:colOff>581025</xdr:colOff>
      <xdr:row>13</xdr:row>
      <xdr:rowOff>114300</xdr:rowOff>
    </xdr:from>
    <xdr:to>
      <xdr:col>8</xdr:col>
      <xdr:colOff>66675</xdr:colOff>
      <xdr:row>14</xdr:row>
      <xdr:rowOff>66675</xdr:rowOff>
    </xdr:to>
    <xdr:sp macro="" textlink="">
      <xdr:nvSpPr>
        <xdr:cNvPr id="39" name="Line 58">
          <a:extLst>
            <a:ext uri="{FF2B5EF4-FFF2-40B4-BE49-F238E27FC236}">
              <a16:creationId xmlns:a16="http://schemas.microsoft.com/office/drawing/2014/main" id="{00000000-0008-0000-0000-000027000000}"/>
            </a:ext>
          </a:extLst>
        </xdr:cNvPr>
        <xdr:cNvSpPr>
          <a:spLocks noChangeShapeType="1"/>
        </xdr:cNvSpPr>
      </xdr:nvSpPr>
      <xdr:spPr bwMode="auto">
        <a:xfrm flipH="1" flipV="1">
          <a:off x="4848225" y="2590800"/>
          <a:ext cx="95250" cy="142875"/>
        </a:xfrm>
        <a:prstGeom prst="line">
          <a:avLst/>
        </a:prstGeom>
        <a:noFill/>
        <a:ln w="9525">
          <a:solidFill>
            <a:srgbClr val="000000"/>
          </a:solidFill>
          <a:round/>
          <a:headEnd/>
          <a:tailEnd type="stealth" w="sm" len="sm"/>
        </a:ln>
      </xdr:spPr>
    </xdr:sp>
    <xdr:clientData/>
  </xdr:twoCellAnchor>
  <xdr:twoCellAnchor>
    <xdr:from>
      <xdr:col>7</xdr:col>
      <xdr:colOff>466725</xdr:colOff>
      <xdr:row>14</xdr:row>
      <xdr:rowOff>0</xdr:rowOff>
    </xdr:from>
    <xdr:to>
      <xdr:col>7</xdr:col>
      <xdr:colOff>561975</xdr:colOff>
      <xdr:row>14</xdr:row>
      <xdr:rowOff>142875</xdr:rowOff>
    </xdr:to>
    <xdr:sp macro="" textlink="">
      <xdr:nvSpPr>
        <xdr:cNvPr id="40" name="Line 59">
          <a:extLst>
            <a:ext uri="{FF2B5EF4-FFF2-40B4-BE49-F238E27FC236}">
              <a16:creationId xmlns:a16="http://schemas.microsoft.com/office/drawing/2014/main" id="{00000000-0008-0000-0000-000028000000}"/>
            </a:ext>
          </a:extLst>
        </xdr:cNvPr>
        <xdr:cNvSpPr>
          <a:spLocks noChangeShapeType="1"/>
        </xdr:cNvSpPr>
      </xdr:nvSpPr>
      <xdr:spPr bwMode="auto">
        <a:xfrm flipH="1" flipV="1">
          <a:off x="4733925" y="2667000"/>
          <a:ext cx="95250" cy="142875"/>
        </a:xfrm>
        <a:prstGeom prst="line">
          <a:avLst/>
        </a:prstGeom>
        <a:noFill/>
        <a:ln w="9525">
          <a:solidFill>
            <a:srgbClr val="000000"/>
          </a:solidFill>
          <a:round/>
          <a:headEnd/>
          <a:tailEnd type="stealth" w="sm" len="sm"/>
        </a:ln>
      </xdr:spPr>
    </xdr:sp>
    <xdr:clientData/>
  </xdr:twoCellAnchor>
  <xdr:twoCellAnchor>
    <xdr:from>
      <xdr:col>7</xdr:col>
      <xdr:colOff>352425</xdr:colOff>
      <xdr:row>14</xdr:row>
      <xdr:rowOff>66675</xdr:rowOff>
    </xdr:from>
    <xdr:to>
      <xdr:col>7</xdr:col>
      <xdr:colOff>447675</xdr:colOff>
      <xdr:row>15</xdr:row>
      <xdr:rowOff>19050</xdr:rowOff>
    </xdr:to>
    <xdr:sp macro="" textlink="">
      <xdr:nvSpPr>
        <xdr:cNvPr id="41" name="Line 60">
          <a:extLst>
            <a:ext uri="{FF2B5EF4-FFF2-40B4-BE49-F238E27FC236}">
              <a16:creationId xmlns:a16="http://schemas.microsoft.com/office/drawing/2014/main" id="{00000000-0008-0000-0000-000029000000}"/>
            </a:ext>
          </a:extLst>
        </xdr:cNvPr>
        <xdr:cNvSpPr>
          <a:spLocks noChangeShapeType="1"/>
        </xdr:cNvSpPr>
      </xdr:nvSpPr>
      <xdr:spPr bwMode="auto">
        <a:xfrm flipH="1" flipV="1">
          <a:off x="4619625" y="2733675"/>
          <a:ext cx="95250" cy="142875"/>
        </a:xfrm>
        <a:prstGeom prst="line">
          <a:avLst/>
        </a:prstGeom>
        <a:noFill/>
        <a:ln w="9525">
          <a:solidFill>
            <a:srgbClr val="000000"/>
          </a:solidFill>
          <a:round/>
          <a:headEnd/>
          <a:tailEnd type="stealth" w="sm" len="sm"/>
        </a:ln>
      </xdr:spPr>
    </xdr:sp>
    <xdr:clientData/>
  </xdr:twoCellAnchor>
  <xdr:twoCellAnchor>
    <xdr:from>
      <xdr:col>8</xdr:col>
      <xdr:colOff>323850</xdr:colOff>
      <xdr:row>12</xdr:row>
      <xdr:rowOff>104775</xdr:rowOff>
    </xdr:from>
    <xdr:to>
      <xdr:col>8</xdr:col>
      <xdr:colOff>419100</xdr:colOff>
      <xdr:row>13</xdr:row>
      <xdr:rowOff>57150</xdr:rowOff>
    </xdr:to>
    <xdr:sp macro="" textlink="">
      <xdr:nvSpPr>
        <xdr:cNvPr id="42" name="Line 61">
          <a:extLst>
            <a:ext uri="{FF2B5EF4-FFF2-40B4-BE49-F238E27FC236}">
              <a16:creationId xmlns:a16="http://schemas.microsoft.com/office/drawing/2014/main" id="{00000000-0008-0000-0000-00002A000000}"/>
            </a:ext>
          </a:extLst>
        </xdr:cNvPr>
        <xdr:cNvSpPr>
          <a:spLocks noChangeShapeType="1"/>
        </xdr:cNvSpPr>
      </xdr:nvSpPr>
      <xdr:spPr bwMode="auto">
        <a:xfrm flipH="1" flipV="1">
          <a:off x="5200650" y="2390775"/>
          <a:ext cx="95250" cy="142875"/>
        </a:xfrm>
        <a:prstGeom prst="line">
          <a:avLst/>
        </a:prstGeom>
        <a:noFill/>
        <a:ln w="9525">
          <a:solidFill>
            <a:srgbClr val="000000"/>
          </a:solidFill>
          <a:round/>
          <a:headEnd/>
          <a:tailEnd type="stealth" w="sm" len="sm"/>
        </a:ln>
      </xdr:spPr>
    </xdr:sp>
    <xdr:clientData/>
  </xdr:twoCellAnchor>
  <xdr:twoCellAnchor>
    <xdr:from>
      <xdr:col>8</xdr:col>
      <xdr:colOff>200025</xdr:colOff>
      <xdr:row>12</xdr:row>
      <xdr:rowOff>171450</xdr:rowOff>
    </xdr:from>
    <xdr:to>
      <xdr:col>8</xdr:col>
      <xdr:colOff>295275</xdr:colOff>
      <xdr:row>13</xdr:row>
      <xdr:rowOff>123825</xdr:rowOff>
    </xdr:to>
    <xdr:sp macro="" textlink="">
      <xdr:nvSpPr>
        <xdr:cNvPr id="43" name="Line 62">
          <a:extLst>
            <a:ext uri="{FF2B5EF4-FFF2-40B4-BE49-F238E27FC236}">
              <a16:creationId xmlns:a16="http://schemas.microsoft.com/office/drawing/2014/main" id="{00000000-0008-0000-0000-00002B000000}"/>
            </a:ext>
          </a:extLst>
        </xdr:cNvPr>
        <xdr:cNvSpPr>
          <a:spLocks noChangeShapeType="1"/>
        </xdr:cNvSpPr>
      </xdr:nvSpPr>
      <xdr:spPr bwMode="auto">
        <a:xfrm flipH="1" flipV="1">
          <a:off x="5076825" y="2457450"/>
          <a:ext cx="95250" cy="142875"/>
        </a:xfrm>
        <a:prstGeom prst="line">
          <a:avLst/>
        </a:prstGeom>
        <a:noFill/>
        <a:ln w="9525">
          <a:solidFill>
            <a:srgbClr val="000000"/>
          </a:solidFill>
          <a:round/>
          <a:headEnd/>
          <a:tailEnd type="stealth" w="sm" len="sm"/>
        </a:ln>
      </xdr:spPr>
    </xdr:sp>
    <xdr:clientData/>
  </xdr:twoCellAnchor>
  <xdr:twoCellAnchor>
    <xdr:from>
      <xdr:col>8</xdr:col>
      <xdr:colOff>95250</xdr:colOff>
      <xdr:row>13</xdr:row>
      <xdr:rowOff>47625</xdr:rowOff>
    </xdr:from>
    <xdr:to>
      <xdr:col>8</xdr:col>
      <xdr:colOff>190500</xdr:colOff>
      <xdr:row>14</xdr:row>
      <xdr:rowOff>0</xdr:rowOff>
    </xdr:to>
    <xdr:sp macro="" textlink="">
      <xdr:nvSpPr>
        <xdr:cNvPr id="44" name="Line 63">
          <a:extLst>
            <a:ext uri="{FF2B5EF4-FFF2-40B4-BE49-F238E27FC236}">
              <a16:creationId xmlns:a16="http://schemas.microsoft.com/office/drawing/2014/main" id="{00000000-0008-0000-0000-00002C000000}"/>
            </a:ext>
          </a:extLst>
        </xdr:cNvPr>
        <xdr:cNvSpPr>
          <a:spLocks noChangeShapeType="1"/>
        </xdr:cNvSpPr>
      </xdr:nvSpPr>
      <xdr:spPr bwMode="auto">
        <a:xfrm flipH="1" flipV="1">
          <a:off x="4972050" y="2524125"/>
          <a:ext cx="95250" cy="142875"/>
        </a:xfrm>
        <a:prstGeom prst="line">
          <a:avLst/>
        </a:prstGeom>
        <a:noFill/>
        <a:ln w="9525">
          <a:solidFill>
            <a:srgbClr val="000000"/>
          </a:solidFill>
          <a:round/>
          <a:headEnd/>
          <a:tailEnd type="stealth" w="sm" len="sm"/>
        </a:ln>
      </xdr:spPr>
    </xdr:sp>
    <xdr:clientData/>
  </xdr:twoCellAnchor>
  <xdr:twoCellAnchor>
    <xdr:from>
      <xdr:col>7</xdr:col>
      <xdr:colOff>285750</xdr:colOff>
      <xdr:row>16</xdr:row>
      <xdr:rowOff>104775</xdr:rowOff>
    </xdr:from>
    <xdr:to>
      <xdr:col>7</xdr:col>
      <xdr:colOff>447675</xdr:colOff>
      <xdr:row>16</xdr:row>
      <xdr:rowOff>104775</xdr:rowOff>
    </xdr:to>
    <xdr:sp macro="" textlink="">
      <xdr:nvSpPr>
        <xdr:cNvPr id="45" name="Line 64">
          <a:extLst>
            <a:ext uri="{FF2B5EF4-FFF2-40B4-BE49-F238E27FC236}">
              <a16:creationId xmlns:a16="http://schemas.microsoft.com/office/drawing/2014/main" id="{00000000-0008-0000-0000-00002D000000}"/>
            </a:ext>
          </a:extLst>
        </xdr:cNvPr>
        <xdr:cNvSpPr>
          <a:spLocks noChangeShapeType="1"/>
        </xdr:cNvSpPr>
      </xdr:nvSpPr>
      <xdr:spPr bwMode="auto">
        <a:xfrm>
          <a:off x="4552950" y="3152775"/>
          <a:ext cx="161925" cy="0"/>
        </a:xfrm>
        <a:prstGeom prst="line">
          <a:avLst/>
        </a:prstGeom>
        <a:noFill/>
        <a:ln w="9525">
          <a:solidFill>
            <a:srgbClr val="000000"/>
          </a:solidFill>
          <a:round/>
          <a:headEnd/>
          <a:tailEnd type="stealth" w="sm" len="sm"/>
        </a:ln>
      </xdr:spPr>
    </xdr:sp>
    <xdr:clientData/>
  </xdr:twoCellAnchor>
  <xdr:twoCellAnchor>
    <xdr:from>
      <xdr:col>7</xdr:col>
      <xdr:colOff>285750</xdr:colOff>
      <xdr:row>17</xdr:row>
      <xdr:rowOff>47625</xdr:rowOff>
    </xdr:from>
    <xdr:to>
      <xdr:col>7</xdr:col>
      <xdr:colOff>447675</xdr:colOff>
      <xdr:row>17</xdr:row>
      <xdr:rowOff>47625</xdr:rowOff>
    </xdr:to>
    <xdr:sp macro="" textlink="">
      <xdr:nvSpPr>
        <xdr:cNvPr id="46" name="Line 65">
          <a:extLst>
            <a:ext uri="{FF2B5EF4-FFF2-40B4-BE49-F238E27FC236}">
              <a16:creationId xmlns:a16="http://schemas.microsoft.com/office/drawing/2014/main" id="{00000000-0008-0000-0000-00002E000000}"/>
            </a:ext>
          </a:extLst>
        </xdr:cNvPr>
        <xdr:cNvSpPr>
          <a:spLocks noChangeShapeType="1"/>
        </xdr:cNvSpPr>
      </xdr:nvSpPr>
      <xdr:spPr bwMode="auto">
        <a:xfrm>
          <a:off x="4552950" y="3286125"/>
          <a:ext cx="161925" cy="0"/>
        </a:xfrm>
        <a:prstGeom prst="line">
          <a:avLst/>
        </a:prstGeom>
        <a:noFill/>
        <a:ln w="9525">
          <a:solidFill>
            <a:srgbClr val="000000"/>
          </a:solidFill>
          <a:round/>
          <a:headEnd/>
          <a:tailEnd type="stealth" w="sm" len="sm"/>
        </a:ln>
      </xdr:spPr>
    </xdr:sp>
    <xdr:clientData/>
  </xdr:twoCellAnchor>
  <xdr:twoCellAnchor>
    <xdr:from>
      <xdr:col>7</xdr:col>
      <xdr:colOff>285750</xdr:colOff>
      <xdr:row>15</xdr:row>
      <xdr:rowOff>152400</xdr:rowOff>
    </xdr:from>
    <xdr:to>
      <xdr:col>7</xdr:col>
      <xdr:colOff>447675</xdr:colOff>
      <xdr:row>15</xdr:row>
      <xdr:rowOff>152400</xdr:rowOff>
    </xdr:to>
    <xdr:sp macro="" textlink="">
      <xdr:nvSpPr>
        <xdr:cNvPr id="47" name="Line 66">
          <a:extLst>
            <a:ext uri="{FF2B5EF4-FFF2-40B4-BE49-F238E27FC236}">
              <a16:creationId xmlns:a16="http://schemas.microsoft.com/office/drawing/2014/main" id="{00000000-0008-0000-0000-00002F000000}"/>
            </a:ext>
          </a:extLst>
        </xdr:cNvPr>
        <xdr:cNvSpPr>
          <a:spLocks noChangeShapeType="1"/>
        </xdr:cNvSpPr>
      </xdr:nvSpPr>
      <xdr:spPr bwMode="auto">
        <a:xfrm>
          <a:off x="4552950" y="3009900"/>
          <a:ext cx="161925" cy="0"/>
        </a:xfrm>
        <a:prstGeom prst="line">
          <a:avLst/>
        </a:prstGeom>
        <a:noFill/>
        <a:ln w="9525">
          <a:solidFill>
            <a:srgbClr val="000000"/>
          </a:solidFill>
          <a:round/>
          <a:headEnd/>
          <a:tailEnd type="stealth" w="sm" len="sm"/>
        </a:ln>
      </xdr:spPr>
    </xdr:sp>
    <xdr:clientData/>
  </xdr:twoCellAnchor>
  <xdr:twoCellAnchor>
    <xdr:from>
      <xdr:col>7</xdr:col>
      <xdr:colOff>285750</xdr:colOff>
      <xdr:row>15</xdr:row>
      <xdr:rowOff>19050</xdr:rowOff>
    </xdr:from>
    <xdr:to>
      <xdr:col>7</xdr:col>
      <xdr:colOff>447675</xdr:colOff>
      <xdr:row>15</xdr:row>
      <xdr:rowOff>19050</xdr:rowOff>
    </xdr:to>
    <xdr:sp macro="" textlink="">
      <xdr:nvSpPr>
        <xdr:cNvPr id="48" name="Line 67">
          <a:extLst>
            <a:ext uri="{FF2B5EF4-FFF2-40B4-BE49-F238E27FC236}">
              <a16:creationId xmlns:a16="http://schemas.microsoft.com/office/drawing/2014/main" id="{00000000-0008-0000-0000-000030000000}"/>
            </a:ext>
          </a:extLst>
        </xdr:cNvPr>
        <xdr:cNvSpPr>
          <a:spLocks noChangeShapeType="1"/>
        </xdr:cNvSpPr>
      </xdr:nvSpPr>
      <xdr:spPr bwMode="auto">
        <a:xfrm>
          <a:off x="4552950" y="2876550"/>
          <a:ext cx="161925" cy="0"/>
        </a:xfrm>
        <a:prstGeom prst="line">
          <a:avLst/>
        </a:prstGeom>
        <a:noFill/>
        <a:ln w="9525">
          <a:solidFill>
            <a:srgbClr val="000000"/>
          </a:solidFill>
          <a:round/>
          <a:headEnd/>
          <a:tailEnd type="stealth" w="sm" len="sm"/>
        </a:ln>
      </xdr:spPr>
    </xdr:sp>
    <xdr:clientData/>
  </xdr:twoCellAnchor>
  <xdr:twoCellAnchor>
    <xdr:from>
      <xdr:col>9</xdr:col>
      <xdr:colOff>390525</xdr:colOff>
      <xdr:row>17</xdr:row>
      <xdr:rowOff>47625</xdr:rowOff>
    </xdr:from>
    <xdr:to>
      <xdr:col>9</xdr:col>
      <xdr:colOff>485775</xdr:colOff>
      <xdr:row>17</xdr:row>
      <xdr:rowOff>47625</xdr:rowOff>
    </xdr:to>
    <xdr:sp macro="" textlink="">
      <xdr:nvSpPr>
        <xdr:cNvPr id="49" name="Line 68">
          <a:extLst>
            <a:ext uri="{FF2B5EF4-FFF2-40B4-BE49-F238E27FC236}">
              <a16:creationId xmlns:a16="http://schemas.microsoft.com/office/drawing/2014/main" id="{00000000-0008-0000-0000-000031000000}"/>
            </a:ext>
          </a:extLst>
        </xdr:cNvPr>
        <xdr:cNvSpPr>
          <a:spLocks noChangeShapeType="1"/>
        </xdr:cNvSpPr>
      </xdr:nvSpPr>
      <xdr:spPr bwMode="auto">
        <a:xfrm>
          <a:off x="5876925" y="3286125"/>
          <a:ext cx="95250" cy="0"/>
        </a:xfrm>
        <a:prstGeom prst="line">
          <a:avLst/>
        </a:prstGeom>
        <a:noFill/>
        <a:ln w="9525">
          <a:solidFill>
            <a:srgbClr val="000000"/>
          </a:solidFill>
          <a:round/>
          <a:headEnd/>
          <a:tailEnd type="stealth" w="sm" len="sm"/>
        </a:ln>
      </xdr:spPr>
    </xdr:sp>
    <xdr:clientData/>
  </xdr:twoCellAnchor>
  <xdr:twoCellAnchor>
    <xdr:from>
      <xdr:col>9</xdr:col>
      <xdr:colOff>390525</xdr:colOff>
      <xdr:row>16</xdr:row>
      <xdr:rowOff>104775</xdr:rowOff>
    </xdr:from>
    <xdr:to>
      <xdr:col>9</xdr:col>
      <xdr:colOff>485775</xdr:colOff>
      <xdr:row>16</xdr:row>
      <xdr:rowOff>104775</xdr:rowOff>
    </xdr:to>
    <xdr:sp macro="" textlink="">
      <xdr:nvSpPr>
        <xdr:cNvPr id="50" name="Line 69">
          <a:extLst>
            <a:ext uri="{FF2B5EF4-FFF2-40B4-BE49-F238E27FC236}">
              <a16:creationId xmlns:a16="http://schemas.microsoft.com/office/drawing/2014/main" id="{00000000-0008-0000-0000-000032000000}"/>
            </a:ext>
          </a:extLst>
        </xdr:cNvPr>
        <xdr:cNvSpPr>
          <a:spLocks noChangeShapeType="1"/>
        </xdr:cNvSpPr>
      </xdr:nvSpPr>
      <xdr:spPr bwMode="auto">
        <a:xfrm>
          <a:off x="5876925" y="3152775"/>
          <a:ext cx="95250" cy="0"/>
        </a:xfrm>
        <a:prstGeom prst="line">
          <a:avLst/>
        </a:prstGeom>
        <a:noFill/>
        <a:ln w="9525">
          <a:solidFill>
            <a:srgbClr val="000000"/>
          </a:solidFill>
          <a:round/>
          <a:headEnd/>
          <a:tailEnd type="stealth" w="sm" len="sm"/>
        </a:ln>
      </xdr:spPr>
    </xdr:sp>
    <xdr:clientData/>
  </xdr:twoCellAnchor>
  <xdr:twoCellAnchor>
    <xdr:from>
      <xdr:col>9</xdr:col>
      <xdr:colOff>390525</xdr:colOff>
      <xdr:row>15</xdr:row>
      <xdr:rowOff>152400</xdr:rowOff>
    </xdr:from>
    <xdr:to>
      <xdr:col>9</xdr:col>
      <xdr:colOff>485775</xdr:colOff>
      <xdr:row>15</xdr:row>
      <xdr:rowOff>152400</xdr:rowOff>
    </xdr:to>
    <xdr:sp macro="" textlink="">
      <xdr:nvSpPr>
        <xdr:cNvPr id="51" name="Line 70">
          <a:extLst>
            <a:ext uri="{FF2B5EF4-FFF2-40B4-BE49-F238E27FC236}">
              <a16:creationId xmlns:a16="http://schemas.microsoft.com/office/drawing/2014/main" id="{00000000-0008-0000-0000-000033000000}"/>
            </a:ext>
          </a:extLst>
        </xdr:cNvPr>
        <xdr:cNvSpPr>
          <a:spLocks noChangeShapeType="1"/>
        </xdr:cNvSpPr>
      </xdr:nvSpPr>
      <xdr:spPr bwMode="auto">
        <a:xfrm>
          <a:off x="5876925" y="3009900"/>
          <a:ext cx="95250" cy="0"/>
        </a:xfrm>
        <a:prstGeom prst="line">
          <a:avLst/>
        </a:prstGeom>
        <a:noFill/>
        <a:ln w="9525">
          <a:solidFill>
            <a:srgbClr val="000000"/>
          </a:solidFill>
          <a:round/>
          <a:headEnd/>
          <a:tailEnd type="stealth" w="med" len="sm"/>
        </a:ln>
      </xdr:spPr>
    </xdr:sp>
    <xdr:clientData/>
  </xdr:twoCellAnchor>
  <xdr:twoCellAnchor>
    <xdr:from>
      <xdr:col>9</xdr:col>
      <xdr:colOff>400050</xdr:colOff>
      <xdr:row>15</xdr:row>
      <xdr:rowOff>19050</xdr:rowOff>
    </xdr:from>
    <xdr:to>
      <xdr:col>9</xdr:col>
      <xdr:colOff>495300</xdr:colOff>
      <xdr:row>15</xdr:row>
      <xdr:rowOff>19050</xdr:rowOff>
    </xdr:to>
    <xdr:sp macro="" textlink="">
      <xdr:nvSpPr>
        <xdr:cNvPr id="52" name="Line 71">
          <a:extLst>
            <a:ext uri="{FF2B5EF4-FFF2-40B4-BE49-F238E27FC236}">
              <a16:creationId xmlns:a16="http://schemas.microsoft.com/office/drawing/2014/main" id="{00000000-0008-0000-0000-000034000000}"/>
            </a:ext>
          </a:extLst>
        </xdr:cNvPr>
        <xdr:cNvSpPr>
          <a:spLocks noChangeShapeType="1"/>
        </xdr:cNvSpPr>
      </xdr:nvSpPr>
      <xdr:spPr bwMode="auto">
        <a:xfrm>
          <a:off x="5886450" y="2876550"/>
          <a:ext cx="95250" cy="0"/>
        </a:xfrm>
        <a:prstGeom prst="line">
          <a:avLst/>
        </a:prstGeom>
        <a:noFill/>
        <a:ln w="9525">
          <a:solidFill>
            <a:srgbClr val="000000"/>
          </a:solidFill>
          <a:round/>
          <a:headEnd/>
          <a:tailEnd type="stealth" w="sm" len="sm"/>
        </a:ln>
      </xdr:spPr>
    </xdr:sp>
    <xdr:clientData/>
  </xdr:twoCellAnchor>
  <xdr:twoCellAnchor>
    <xdr:from>
      <xdr:col>9</xdr:col>
      <xdr:colOff>133350</xdr:colOff>
      <xdr:row>13</xdr:row>
      <xdr:rowOff>104775</xdr:rowOff>
    </xdr:from>
    <xdr:to>
      <xdr:col>9</xdr:col>
      <xdr:colOff>228600</xdr:colOff>
      <xdr:row>14</xdr:row>
      <xdr:rowOff>57150</xdr:rowOff>
    </xdr:to>
    <xdr:sp macro="" textlink="">
      <xdr:nvSpPr>
        <xdr:cNvPr id="53" name="Line 72">
          <a:extLst>
            <a:ext uri="{FF2B5EF4-FFF2-40B4-BE49-F238E27FC236}">
              <a16:creationId xmlns:a16="http://schemas.microsoft.com/office/drawing/2014/main" id="{00000000-0008-0000-0000-000035000000}"/>
            </a:ext>
          </a:extLst>
        </xdr:cNvPr>
        <xdr:cNvSpPr>
          <a:spLocks noChangeShapeType="1"/>
        </xdr:cNvSpPr>
      </xdr:nvSpPr>
      <xdr:spPr bwMode="auto">
        <a:xfrm flipV="1">
          <a:off x="5619750" y="2581275"/>
          <a:ext cx="95250" cy="142875"/>
        </a:xfrm>
        <a:prstGeom prst="line">
          <a:avLst/>
        </a:prstGeom>
        <a:noFill/>
        <a:ln w="9525">
          <a:solidFill>
            <a:srgbClr val="000000"/>
          </a:solidFill>
          <a:round/>
          <a:headEnd/>
          <a:tailEnd type="stealth" w="sm" len="sm"/>
        </a:ln>
      </xdr:spPr>
    </xdr:sp>
    <xdr:clientData/>
  </xdr:twoCellAnchor>
  <xdr:twoCellAnchor>
    <xdr:from>
      <xdr:col>7</xdr:col>
      <xdr:colOff>285750</xdr:colOff>
      <xdr:row>15</xdr:row>
      <xdr:rowOff>19050</xdr:rowOff>
    </xdr:from>
    <xdr:to>
      <xdr:col>7</xdr:col>
      <xdr:colOff>285750</xdr:colOff>
      <xdr:row>17</xdr:row>
      <xdr:rowOff>47625</xdr:rowOff>
    </xdr:to>
    <xdr:sp macro="" textlink="">
      <xdr:nvSpPr>
        <xdr:cNvPr id="54" name="Line 73">
          <a:extLst>
            <a:ext uri="{FF2B5EF4-FFF2-40B4-BE49-F238E27FC236}">
              <a16:creationId xmlns:a16="http://schemas.microsoft.com/office/drawing/2014/main" id="{00000000-0008-0000-0000-000036000000}"/>
            </a:ext>
          </a:extLst>
        </xdr:cNvPr>
        <xdr:cNvSpPr>
          <a:spLocks noChangeShapeType="1"/>
        </xdr:cNvSpPr>
      </xdr:nvSpPr>
      <xdr:spPr bwMode="auto">
        <a:xfrm>
          <a:off x="4552950" y="2876550"/>
          <a:ext cx="0" cy="409575"/>
        </a:xfrm>
        <a:prstGeom prst="line">
          <a:avLst/>
        </a:prstGeom>
        <a:noFill/>
        <a:ln w="9525">
          <a:solidFill>
            <a:srgbClr val="000000"/>
          </a:solidFill>
          <a:round/>
          <a:headEnd/>
          <a:tailEnd/>
        </a:ln>
      </xdr:spPr>
    </xdr:sp>
    <xdr:clientData/>
  </xdr:twoCellAnchor>
  <xdr:twoCellAnchor>
    <xdr:from>
      <xdr:col>9</xdr:col>
      <xdr:colOff>485775</xdr:colOff>
      <xdr:row>15</xdr:row>
      <xdr:rowOff>19050</xdr:rowOff>
    </xdr:from>
    <xdr:to>
      <xdr:col>9</xdr:col>
      <xdr:colOff>485775</xdr:colOff>
      <xdr:row>17</xdr:row>
      <xdr:rowOff>47625</xdr:rowOff>
    </xdr:to>
    <xdr:sp macro="" textlink="">
      <xdr:nvSpPr>
        <xdr:cNvPr id="55" name="Line 74">
          <a:extLst>
            <a:ext uri="{FF2B5EF4-FFF2-40B4-BE49-F238E27FC236}">
              <a16:creationId xmlns:a16="http://schemas.microsoft.com/office/drawing/2014/main" id="{00000000-0008-0000-0000-000037000000}"/>
            </a:ext>
          </a:extLst>
        </xdr:cNvPr>
        <xdr:cNvSpPr>
          <a:spLocks noChangeShapeType="1"/>
        </xdr:cNvSpPr>
      </xdr:nvSpPr>
      <xdr:spPr bwMode="auto">
        <a:xfrm>
          <a:off x="5972175" y="2876550"/>
          <a:ext cx="0" cy="409575"/>
        </a:xfrm>
        <a:prstGeom prst="line">
          <a:avLst/>
        </a:prstGeom>
        <a:noFill/>
        <a:ln w="9525">
          <a:solidFill>
            <a:srgbClr val="000000"/>
          </a:solidFill>
          <a:round/>
          <a:headEnd/>
          <a:tailEnd/>
        </a:ln>
      </xdr:spPr>
    </xdr:sp>
    <xdr:clientData/>
  </xdr:twoCellAnchor>
  <xdr:twoCellAnchor>
    <xdr:from>
      <xdr:col>7</xdr:col>
      <xdr:colOff>352425</xdr:colOff>
      <xdr:row>12</xdr:row>
      <xdr:rowOff>104775</xdr:rowOff>
    </xdr:from>
    <xdr:to>
      <xdr:col>8</xdr:col>
      <xdr:colOff>323850</xdr:colOff>
      <xdr:row>14</xdr:row>
      <xdr:rowOff>66675</xdr:rowOff>
    </xdr:to>
    <xdr:sp macro="" textlink="">
      <xdr:nvSpPr>
        <xdr:cNvPr id="56" name="Line 75">
          <a:extLst>
            <a:ext uri="{FF2B5EF4-FFF2-40B4-BE49-F238E27FC236}">
              <a16:creationId xmlns:a16="http://schemas.microsoft.com/office/drawing/2014/main" id="{00000000-0008-0000-0000-000038000000}"/>
            </a:ext>
          </a:extLst>
        </xdr:cNvPr>
        <xdr:cNvSpPr>
          <a:spLocks noChangeShapeType="1"/>
        </xdr:cNvSpPr>
      </xdr:nvSpPr>
      <xdr:spPr bwMode="auto">
        <a:xfrm flipV="1">
          <a:off x="4619625" y="2390775"/>
          <a:ext cx="581025" cy="342900"/>
        </a:xfrm>
        <a:prstGeom prst="line">
          <a:avLst/>
        </a:prstGeom>
        <a:noFill/>
        <a:ln w="9525">
          <a:solidFill>
            <a:srgbClr val="000000"/>
          </a:solidFill>
          <a:round/>
          <a:headEnd/>
          <a:tailEnd/>
        </a:ln>
      </xdr:spPr>
    </xdr:sp>
    <xdr:clientData/>
  </xdr:twoCellAnchor>
  <xdr:twoCellAnchor>
    <xdr:from>
      <xdr:col>8</xdr:col>
      <xdr:colOff>514350</xdr:colOff>
      <xdr:row>12</xdr:row>
      <xdr:rowOff>104775</xdr:rowOff>
    </xdr:from>
    <xdr:to>
      <xdr:col>9</xdr:col>
      <xdr:colOff>485775</xdr:colOff>
      <xdr:row>14</xdr:row>
      <xdr:rowOff>66675</xdr:rowOff>
    </xdr:to>
    <xdr:sp macro="" textlink="">
      <xdr:nvSpPr>
        <xdr:cNvPr id="57" name="Line 76">
          <a:extLst>
            <a:ext uri="{FF2B5EF4-FFF2-40B4-BE49-F238E27FC236}">
              <a16:creationId xmlns:a16="http://schemas.microsoft.com/office/drawing/2014/main" id="{00000000-0008-0000-0000-000039000000}"/>
            </a:ext>
          </a:extLst>
        </xdr:cNvPr>
        <xdr:cNvSpPr>
          <a:spLocks noChangeShapeType="1"/>
        </xdr:cNvSpPr>
      </xdr:nvSpPr>
      <xdr:spPr bwMode="auto">
        <a:xfrm>
          <a:off x="5391150" y="2390775"/>
          <a:ext cx="581025" cy="342900"/>
        </a:xfrm>
        <a:prstGeom prst="line">
          <a:avLst/>
        </a:prstGeom>
        <a:noFill/>
        <a:ln w="9525">
          <a:solidFill>
            <a:srgbClr val="000000"/>
          </a:solidFill>
          <a:round/>
          <a:headEnd/>
          <a:tailEnd/>
        </a:ln>
      </xdr:spPr>
    </xdr:sp>
    <xdr:clientData/>
  </xdr:twoCellAnchor>
  <xdr:twoCellAnchor>
    <xdr:from>
      <xdr:col>7</xdr:col>
      <xdr:colOff>447675</xdr:colOff>
      <xdr:row>3</xdr:row>
      <xdr:rowOff>38100</xdr:rowOff>
    </xdr:from>
    <xdr:to>
      <xdr:col>7</xdr:col>
      <xdr:colOff>447675</xdr:colOff>
      <xdr:row>3</xdr:row>
      <xdr:rowOff>133350</xdr:rowOff>
    </xdr:to>
    <xdr:sp macro="" textlink="">
      <xdr:nvSpPr>
        <xdr:cNvPr id="58" name="Line 77">
          <a:extLst>
            <a:ext uri="{FF2B5EF4-FFF2-40B4-BE49-F238E27FC236}">
              <a16:creationId xmlns:a16="http://schemas.microsoft.com/office/drawing/2014/main" id="{00000000-0008-0000-0000-00003A000000}"/>
            </a:ext>
          </a:extLst>
        </xdr:cNvPr>
        <xdr:cNvSpPr>
          <a:spLocks noChangeShapeType="1"/>
        </xdr:cNvSpPr>
      </xdr:nvSpPr>
      <xdr:spPr bwMode="auto">
        <a:xfrm flipV="1">
          <a:off x="4714875" y="609600"/>
          <a:ext cx="0" cy="95250"/>
        </a:xfrm>
        <a:prstGeom prst="line">
          <a:avLst/>
        </a:prstGeom>
        <a:noFill/>
        <a:ln w="9525">
          <a:solidFill>
            <a:srgbClr val="000000"/>
          </a:solidFill>
          <a:round/>
          <a:headEnd/>
          <a:tailEnd type="stealth" w="sm" len="sm"/>
        </a:ln>
      </xdr:spPr>
    </xdr:sp>
    <xdr:clientData/>
  </xdr:twoCellAnchor>
  <xdr:twoCellAnchor>
    <xdr:from>
      <xdr:col>8</xdr:col>
      <xdr:colOff>171450</xdr:colOff>
      <xdr:row>3</xdr:row>
      <xdr:rowOff>38100</xdr:rowOff>
    </xdr:from>
    <xdr:to>
      <xdr:col>8</xdr:col>
      <xdr:colOff>171450</xdr:colOff>
      <xdr:row>3</xdr:row>
      <xdr:rowOff>133350</xdr:rowOff>
    </xdr:to>
    <xdr:sp macro="" textlink="">
      <xdr:nvSpPr>
        <xdr:cNvPr id="59" name="Line 78">
          <a:extLst>
            <a:ext uri="{FF2B5EF4-FFF2-40B4-BE49-F238E27FC236}">
              <a16:creationId xmlns:a16="http://schemas.microsoft.com/office/drawing/2014/main" id="{00000000-0008-0000-0000-00003B000000}"/>
            </a:ext>
          </a:extLst>
        </xdr:cNvPr>
        <xdr:cNvSpPr>
          <a:spLocks noChangeShapeType="1"/>
        </xdr:cNvSpPr>
      </xdr:nvSpPr>
      <xdr:spPr bwMode="auto">
        <a:xfrm flipV="1">
          <a:off x="5048250" y="609600"/>
          <a:ext cx="0" cy="95250"/>
        </a:xfrm>
        <a:prstGeom prst="line">
          <a:avLst/>
        </a:prstGeom>
        <a:noFill/>
        <a:ln w="9525">
          <a:solidFill>
            <a:srgbClr val="000000"/>
          </a:solidFill>
          <a:round/>
          <a:headEnd/>
          <a:tailEnd type="stealth" w="sm" len="sm"/>
        </a:ln>
      </xdr:spPr>
    </xdr:sp>
    <xdr:clientData/>
  </xdr:twoCellAnchor>
  <xdr:twoCellAnchor>
    <xdr:from>
      <xdr:col>8</xdr:col>
      <xdr:colOff>342900</xdr:colOff>
      <xdr:row>3</xdr:row>
      <xdr:rowOff>38100</xdr:rowOff>
    </xdr:from>
    <xdr:to>
      <xdr:col>8</xdr:col>
      <xdr:colOff>342900</xdr:colOff>
      <xdr:row>3</xdr:row>
      <xdr:rowOff>133350</xdr:rowOff>
    </xdr:to>
    <xdr:sp macro="" textlink="">
      <xdr:nvSpPr>
        <xdr:cNvPr id="60" name="Line 79">
          <a:extLst>
            <a:ext uri="{FF2B5EF4-FFF2-40B4-BE49-F238E27FC236}">
              <a16:creationId xmlns:a16="http://schemas.microsoft.com/office/drawing/2014/main" id="{00000000-0008-0000-0000-00003C000000}"/>
            </a:ext>
          </a:extLst>
        </xdr:cNvPr>
        <xdr:cNvSpPr>
          <a:spLocks noChangeShapeType="1"/>
        </xdr:cNvSpPr>
      </xdr:nvSpPr>
      <xdr:spPr bwMode="auto">
        <a:xfrm flipV="1">
          <a:off x="5219700" y="609600"/>
          <a:ext cx="0" cy="95250"/>
        </a:xfrm>
        <a:prstGeom prst="line">
          <a:avLst/>
        </a:prstGeom>
        <a:noFill/>
        <a:ln w="9525">
          <a:solidFill>
            <a:srgbClr val="000000"/>
          </a:solidFill>
          <a:round/>
          <a:headEnd/>
          <a:tailEnd type="stealth" w="sm" len="sm"/>
        </a:ln>
      </xdr:spPr>
    </xdr:sp>
    <xdr:clientData/>
  </xdr:twoCellAnchor>
  <xdr:twoCellAnchor>
    <xdr:from>
      <xdr:col>8</xdr:col>
      <xdr:colOff>0</xdr:colOff>
      <xdr:row>3</xdr:row>
      <xdr:rowOff>38100</xdr:rowOff>
    </xdr:from>
    <xdr:to>
      <xdr:col>8</xdr:col>
      <xdr:colOff>0</xdr:colOff>
      <xdr:row>3</xdr:row>
      <xdr:rowOff>133350</xdr:rowOff>
    </xdr:to>
    <xdr:sp macro="" textlink="">
      <xdr:nvSpPr>
        <xdr:cNvPr id="61" name="Line 80">
          <a:extLst>
            <a:ext uri="{FF2B5EF4-FFF2-40B4-BE49-F238E27FC236}">
              <a16:creationId xmlns:a16="http://schemas.microsoft.com/office/drawing/2014/main" id="{00000000-0008-0000-0000-00003D000000}"/>
            </a:ext>
          </a:extLst>
        </xdr:cNvPr>
        <xdr:cNvSpPr>
          <a:spLocks noChangeShapeType="1"/>
        </xdr:cNvSpPr>
      </xdr:nvSpPr>
      <xdr:spPr bwMode="auto">
        <a:xfrm flipV="1">
          <a:off x="4876800" y="609600"/>
          <a:ext cx="0" cy="95250"/>
        </a:xfrm>
        <a:prstGeom prst="line">
          <a:avLst/>
        </a:prstGeom>
        <a:noFill/>
        <a:ln w="9525">
          <a:solidFill>
            <a:srgbClr val="000000"/>
          </a:solidFill>
          <a:round/>
          <a:headEnd/>
          <a:tailEnd type="stealth" w="sm" len="sm"/>
        </a:ln>
      </xdr:spPr>
    </xdr:sp>
    <xdr:clientData/>
  </xdr:twoCellAnchor>
  <xdr:twoCellAnchor>
    <xdr:from>
      <xdr:col>8</xdr:col>
      <xdr:colOff>495300</xdr:colOff>
      <xdr:row>3</xdr:row>
      <xdr:rowOff>38100</xdr:rowOff>
    </xdr:from>
    <xdr:to>
      <xdr:col>8</xdr:col>
      <xdr:colOff>495300</xdr:colOff>
      <xdr:row>3</xdr:row>
      <xdr:rowOff>133350</xdr:rowOff>
    </xdr:to>
    <xdr:sp macro="" textlink="">
      <xdr:nvSpPr>
        <xdr:cNvPr id="62" name="Line 81">
          <a:extLst>
            <a:ext uri="{FF2B5EF4-FFF2-40B4-BE49-F238E27FC236}">
              <a16:creationId xmlns:a16="http://schemas.microsoft.com/office/drawing/2014/main" id="{00000000-0008-0000-0000-00003E000000}"/>
            </a:ext>
          </a:extLst>
        </xdr:cNvPr>
        <xdr:cNvSpPr>
          <a:spLocks noChangeShapeType="1"/>
        </xdr:cNvSpPr>
      </xdr:nvSpPr>
      <xdr:spPr bwMode="auto">
        <a:xfrm flipV="1">
          <a:off x="5372100" y="609600"/>
          <a:ext cx="0" cy="95250"/>
        </a:xfrm>
        <a:prstGeom prst="line">
          <a:avLst/>
        </a:prstGeom>
        <a:noFill/>
        <a:ln w="9525">
          <a:solidFill>
            <a:srgbClr val="000000"/>
          </a:solidFill>
          <a:round/>
          <a:headEnd/>
          <a:tailEnd type="stealth" w="sm" len="sm"/>
        </a:ln>
      </xdr:spPr>
    </xdr:sp>
    <xdr:clientData/>
  </xdr:twoCellAnchor>
  <xdr:twoCellAnchor>
    <xdr:from>
      <xdr:col>9</xdr:col>
      <xdr:colOff>57150</xdr:colOff>
      <xdr:row>3</xdr:row>
      <xdr:rowOff>38100</xdr:rowOff>
    </xdr:from>
    <xdr:to>
      <xdr:col>9</xdr:col>
      <xdr:colOff>57150</xdr:colOff>
      <xdr:row>3</xdr:row>
      <xdr:rowOff>133350</xdr:rowOff>
    </xdr:to>
    <xdr:sp macro="" textlink="">
      <xdr:nvSpPr>
        <xdr:cNvPr id="63" name="Line 82">
          <a:extLst>
            <a:ext uri="{FF2B5EF4-FFF2-40B4-BE49-F238E27FC236}">
              <a16:creationId xmlns:a16="http://schemas.microsoft.com/office/drawing/2014/main" id="{00000000-0008-0000-0000-00003F000000}"/>
            </a:ext>
          </a:extLst>
        </xdr:cNvPr>
        <xdr:cNvSpPr>
          <a:spLocks noChangeShapeType="1"/>
        </xdr:cNvSpPr>
      </xdr:nvSpPr>
      <xdr:spPr bwMode="auto">
        <a:xfrm flipV="1">
          <a:off x="5543550" y="609600"/>
          <a:ext cx="0" cy="95250"/>
        </a:xfrm>
        <a:prstGeom prst="line">
          <a:avLst/>
        </a:prstGeom>
        <a:noFill/>
        <a:ln w="9525">
          <a:solidFill>
            <a:srgbClr val="000000"/>
          </a:solidFill>
          <a:round/>
          <a:headEnd/>
          <a:tailEnd type="stealth" w="sm" len="sm"/>
        </a:ln>
      </xdr:spPr>
    </xdr:sp>
    <xdr:clientData/>
  </xdr:twoCellAnchor>
  <xdr:twoCellAnchor>
    <xdr:from>
      <xdr:col>9</xdr:col>
      <xdr:colOff>228600</xdr:colOff>
      <xdr:row>3</xdr:row>
      <xdr:rowOff>38100</xdr:rowOff>
    </xdr:from>
    <xdr:to>
      <xdr:col>9</xdr:col>
      <xdr:colOff>228600</xdr:colOff>
      <xdr:row>3</xdr:row>
      <xdr:rowOff>133350</xdr:rowOff>
    </xdr:to>
    <xdr:sp macro="" textlink="">
      <xdr:nvSpPr>
        <xdr:cNvPr id="64" name="Line 83">
          <a:extLst>
            <a:ext uri="{FF2B5EF4-FFF2-40B4-BE49-F238E27FC236}">
              <a16:creationId xmlns:a16="http://schemas.microsoft.com/office/drawing/2014/main" id="{00000000-0008-0000-0000-000040000000}"/>
            </a:ext>
          </a:extLst>
        </xdr:cNvPr>
        <xdr:cNvSpPr>
          <a:spLocks noChangeShapeType="1"/>
        </xdr:cNvSpPr>
      </xdr:nvSpPr>
      <xdr:spPr bwMode="auto">
        <a:xfrm flipV="1">
          <a:off x="5715000" y="609600"/>
          <a:ext cx="0" cy="95250"/>
        </a:xfrm>
        <a:prstGeom prst="line">
          <a:avLst/>
        </a:prstGeom>
        <a:noFill/>
        <a:ln w="9525">
          <a:solidFill>
            <a:srgbClr val="000000"/>
          </a:solidFill>
          <a:round/>
          <a:headEnd/>
          <a:tailEnd type="stealth" w="sm" len="sm"/>
        </a:ln>
      </xdr:spPr>
    </xdr:sp>
    <xdr:clientData/>
  </xdr:twoCellAnchor>
  <xdr:twoCellAnchor>
    <xdr:from>
      <xdr:col>9</xdr:col>
      <xdr:colOff>390525</xdr:colOff>
      <xdr:row>3</xdr:row>
      <xdr:rowOff>38100</xdr:rowOff>
    </xdr:from>
    <xdr:to>
      <xdr:col>9</xdr:col>
      <xdr:colOff>390525</xdr:colOff>
      <xdr:row>3</xdr:row>
      <xdr:rowOff>133350</xdr:rowOff>
    </xdr:to>
    <xdr:sp macro="" textlink="">
      <xdr:nvSpPr>
        <xdr:cNvPr id="65" name="Line 84">
          <a:extLst>
            <a:ext uri="{FF2B5EF4-FFF2-40B4-BE49-F238E27FC236}">
              <a16:creationId xmlns:a16="http://schemas.microsoft.com/office/drawing/2014/main" id="{00000000-0008-0000-0000-000041000000}"/>
            </a:ext>
          </a:extLst>
        </xdr:cNvPr>
        <xdr:cNvSpPr>
          <a:spLocks noChangeShapeType="1"/>
        </xdr:cNvSpPr>
      </xdr:nvSpPr>
      <xdr:spPr bwMode="auto">
        <a:xfrm flipV="1">
          <a:off x="5876925" y="609600"/>
          <a:ext cx="0" cy="95250"/>
        </a:xfrm>
        <a:prstGeom prst="line">
          <a:avLst/>
        </a:prstGeom>
        <a:noFill/>
        <a:ln w="9525">
          <a:solidFill>
            <a:srgbClr val="000000"/>
          </a:solidFill>
          <a:round/>
          <a:headEnd/>
          <a:tailEnd type="stealth" w="sm" len="sm"/>
        </a:ln>
      </xdr:spPr>
    </xdr:sp>
    <xdr:clientData/>
  </xdr:twoCellAnchor>
  <xdr:twoCellAnchor>
    <xdr:from>
      <xdr:col>7</xdr:col>
      <xdr:colOff>447675</xdr:colOff>
      <xdr:row>3</xdr:row>
      <xdr:rowOff>38100</xdr:rowOff>
    </xdr:from>
    <xdr:to>
      <xdr:col>9</xdr:col>
      <xdr:colOff>390525</xdr:colOff>
      <xdr:row>3</xdr:row>
      <xdr:rowOff>38100</xdr:rowOff>
    </xdr:to>
    <xdr:sp macro="" textlink="">
      <xdr:nvSpPr>
        <xdr:cNvPr id="66" name="Line 85">
          <a:extLst>
            <a:ext uri="{FF2B5EF4-FFF2-40B4-BE49-F238E27FC236}">
              <a16:creationId xmlns:a16="http://schemas.microsoft.com/office/drawing/2014/main" id="{00000000-0008-0000-0000-000042000000}"/>
            </a:ext>
          </a:extLst>
        </xdr:cNvPr>
        <xdr:cNvSpPr>
          <a:spLocks noChangeShapeType="1"/>
        </xdr:cNvSpPr>
      </xdr:nvSpPr>
      <xdr:spPr bwMode="auto">
        <a:xfrm>
          <a:off x="4714875" y="609600"/>
          <a:ext cx="1162050" cy="0"/>
        </a:xfrm>
        <a:prstGeom prst="line">
          <a:avLst/>
        </a:prstGeom>
        <a:noFill/>
        <a:ln w="9525">
          <a:solidFill>
            <a:srgbClr val="000000"/>
          </a:solidFill>
          <a:round/>
          <a:headEnd/>
          <a:tailEnd/>
        </a:ln>
      </xdr:spPr>
    </xdr:sp>
    <xdr:clientData/>
  </xdr:twoCellAnchor>
  <xdr:twoCellAnchor>
    <xdr:from>
      <xdr:col>8</xdr:col>
      <xdr:colOff>0</xdr:colOff>
      <xdr:row>9</xdr:row>
      <xdr:rowOff>133350</xdr:rowOff>
    </xdr:from>
    <xdr:to>
      <xdr:col>8</xdr:col>
      <xdr:colOff>0</xdr:colOff>
      <xdr:row>10</xdr:row>
      <xdr:rowOff>38100</xdr:rowOff>
    </xdr:to>
    <xdr:sp macro="" textlink="">
      <xdr:nvSpPr>
        <xdr:cNvPr id="67" name="Line 86">
          <a:extLst>
            <a:ext uri="{FF2B5EF4-FFF2-40B4-BE49-F238E27FC236}">
              <a16:creationId xmlns:a16="http://schemas.microsoft.com/office/drawing/2014/main" id="{00000000-0008-0000-0000-000043000000}"/>
            </a:ext>
          </a:extLst>
        </xdr:cNvPr>
        <xdr:cNvSpPr>
          <a:spLocks noChangeShapeType="1"/>
        </xdr:cNvSpPr>
      </xdr:nvSpPr>
      <xdr:spPr bwMode="auto">
        <a:xfrm flipV="1">
          <a:off x="4876800" y="1847850"/>
          <a:ext cx="0" cy="95250"/>
        </a:xfrm>
        <a:prstGeom prst="line">
          <a:avLst/>
        </a:prstGeom>
        <a:noFill/>
        <a:ln w="9525">
          <a:solidFill>
            <a:srgbClr val="000000"/>
          </a:solidFill>
          <a:round/>
          <a:headEnd type="stealth" w="sm" len="sm"/>
          <a:tailEnd type="none" w="sm" len="sm"/>
        </a:ln>
      </xdr:spPr>
    </xdr:sp>
    <xdr:clientData/>
  </xdr:twoCellAnchor>
  <xdr:twoCellAnchor>
    <xdr:from>
      <xdr:col>8</xdr:col>
      <xdr:colOff>342900</xdr:colOff>
      <xdr:row>9</xdr:row>
      <xdr:rowOff>133350</xdr:rowOff>
    </xdr:from>
    <xdr:to>
      <xdr:col>8</xdr:col>
      <xdr:colOff>342900</xdr:colOff>
      <xdr:row>10</xdr:row>
      <xdr:rowOff>38100</xdr:rowOff>
    </xdr:to>
    <xdr:sp macro="" textlink="">
      <xdr:nvSpPr>
        <xdr:cNvPr id="68" name="Line 87">
          <a:extLst>
            <a:ext uri="{FF2B5EF4-FFF2-40B4-BE49-F238E27FC236}">
              <a16:creationId xmlns:a16="http://schemas.microsoft.com/office/drawing/2014/main" id="{00000000-0008-0000-0000-000044000000}"/>
            </a:ext>
          </a:extLst>
        </xdr:cNvPr>
        <xdr:cNvSpPr>
          <a:spLocks noChangeShapeType="1"/>
        </xdr:cNvSpPr>
      </xdr:nvSpPr>
      <xdr:spPr bwMode="auto">
        <a:xfrm flipV="1">
          <a:off x="5219700" y="1847850"/>
          <a:ext cx="0" cy="95250"/>
        </a:xfrm>
        <a:prstGeom prst="line">
          <a:avLst/>
        </a:prstGeom>
        <a:noFill/>
        <a:ln w="9525">
          <a:solidFill>
            <a:srgbClr val="000000"/>
          </a:solidFill>
          <a:round/>
          <a:headEnd type="stealth" w="sm" len="sm"/>
          <a:tailEnd type="none" w="sm" len="sm"/>
        </a:ln>
      </xdr:spPr>
    </xdr:sp>
    <xdr:clientData/>
  </xdr:twoCellAnchor>
  <xdr:twoCellAnchor>
    <xdr:from>
      <xdr:col>8</xdr:col>
      <xdr:colOff>495300</xdr:colOff>
      <xdr:row>9</xdr:row>
      <xdr:rowOff>133350</xdr:rowOff>
    </xdr:from>
    <xdr:to>
      <xdr:col>8</xdr:col>
      <xdr:colOff>495300</xdr:colOff>
      <xdr:row>10</xdr:row>
      <xdr:rowOff>38100</xdr:rowOff>
    </xdr:to>
    <xdr:sp macro="" textlink="">
      <xdr:nvSpPr>
        <xdr:cNvPr id="69" name="Line 88">
          <a:extLst>
            <a:ext uri="{FF2B5EF4-FFF2-40B4-BE49-F238E27FC236}">
              <a16:creationId xmlns:a16="http://schemas.microsoft.com/office/drawing/2014/main" id="{00000000-0008-0000-0000-000045000000}"/>
            </a:ext>
          </a:extLst>
        </xdr:cNvPr>
        <xdr:cNvSpPr>
          <a:spLocks noChangeShapeType="1"/>
        </xdr:cNvSpPr>
      </xdr:nvSpPr>
      <xdr:spPr bwMode="auto">
        <a:xfrm flipV="1">
          <a:off x="5372100" y="1847850"/>
          <a:ext cx="0" cy="95250"/>
        </a:xfrm>
        <a:prstGeom prst="line">
          <a:avLst/>
        </a:prstGeom>
        <a:noFill/>
        <a:ln w="9525">
          <a:solidFill>
            <a:srgbClr val="000000"/>
          </a:solidFill>
          <a:round/>
          <a:headEnd type="stealth" w="sm" len="sm"/>
          <a:tailEnd type="none" w="sm" len="sm"/>
        </a:ln>
      </xdr:spPr>
    </xdr:sp>
    <xdr:clientData/>
  </xdr:twoCellAnchor>
  <xdr:twoCellAnchor>
    <xdr:from>
      <xdr:col>8</xdr:col>
      <xdr:colOff>171450</xdr:colOff>
      <xdr:row>9</xdr:row>
      <xdr:rowOff>133350</xdr:rowOff>
    </xdr:from>
    <xdr:to>
      <xdr:col>8</xdr:col>
      <xdr:colOff>171450</xdr:colOff>
      <xdr:row>10</xdr:row>
      <xdr:rowOff>38100</xdr:rowOff>
    </xdr:to>
    <xdr:sp macro="" textlink="">
      <xdr:nvSpPr>
        <xdr:cNvPr id="70" name="Line 89">
          <a:extLst>
            <a:ext uri="{FF2B5EF4-FFF2-40B4-BE49-F238E27FC236}">
              <a16:creationId xmlns:a16="http://schemas.microsoft.com/office/drawing/2014/main" id="{00000000-0008-0000-0000-000046000000}"/>
            </a:ext>
          </a:extLst>
        </xdr:cNvPr>
        <xdr:cNvSpPr>
          <a:spLocks noChangeShapeType="1"/>
        </xdr:cNvSpPr>
      </xdr:nvSpPr>
      <xdr:spPr bwMode="auto">
        <a:xfrm flipV="1">
          <a:off x="5048250" y="1847850"/>
          <a:ext cx="0" cy="95250"/>
        </a:xfrm>
        <a:prstGeom prst="line">
          <a:avLst/>
        </a:prstGeom>
        <a:noFill/>
        <a:ln w="9525">
          <a:solidFill>
            <a:srgbClr val="000000"/>
          </a:solidFill>
          <a:round/>
          <a:headEnd type="stealth" w="sm" len="sm"/>
          <a:tailEnd type="none" w="sm" len="sm"/>
        </a:ln>
      </xdr:spPr>
    </xdr:sp>
    <xdr:clientData/>
  </xdr:twoCellAnchor>
  <xdr:twoCellAnchor>
    <xdr:from>
      <xdr:col>9</xdr:col>
      <xdr:colOff>57150</xdr:colOff>
      <xdr:row>9</xdr:row>
      <xdr:rowOff>133350</xdr:rowOff>
    </xdr:from>
    <xdr:to>
      <xdr:col>9</xdr:col>
      <xdr:colOff>57150</xdr:colOff>
      <xdr:row>10</xdr:row>
      <xdr:rowOff>38100</xdr:rowOff>
    </xdr:to>
    <xdr:sp macro="" textlink="">
      <xdr:nvSpPr>
        <xdr:cNvPr id="71" name="Line 90">
          <a:extLst>
            <a:ext uri="{FF2B5EF4-FFF2-40B4-BE49-F238E27FC236}">
              <a16:creationId xmlns:a16="http://schemas.microsoft.com/office/drawing/2014/main" id="{00000000-0008-0000-0000-000047000000}"/>
            </a:ext>
          </a:extLst>
        </xdr:cNvPr>
        <xdr:cNvSpPr>
          <a:spLocks noChangeShapeType="1"/>
        </xdr:cNvSpPr>
      </xdr:nvSpPr>
      <xdr:spPr bwMode="auto">
        <a:xfrm flipV="1">
          <a:off x="5543550" y="1847850"/>
          <a:ext cx="0" cy="95250"/>
        </a:xfrm>
        <a:prstGeom prst="line">
          <a:avLst/>
        </a:prstGeom>
        <a:noFill/>
        <a:ln w="9525">
          <a:solidFill>
            <a:srgbClr val="000000"/>
          </a:solidFill>
          <a:round/>
          <a:headEnd type="stealth" w="sm" len="sm"/>
          <a:tailEnd type="none" w="sm" len="sm"/>
        </a:ln>
      </xdr:spPr>
    </xdr:sp>
    <xdr:clientData/>
  </xdr:twoCellAnchor>
  <xdr:twoCellAnchor>
    <xdr:from>
      <xdr:col>9</xdr:col>
      <xdr:colOff>228600</xdr:colOff>
      <xdr:row>9</xdr:row>
      <xdr:rowOff>133350</xdr:rowOff>
    </xdr:from>
    <xdr:to>
      <xdr:col>9</xdr:col>
      <xdr:colOff>228600</xdr:colOff>
      <xdr:row>10</xdr:row>
      <xdr:rowOff>38100</xdr:rowOff>
    </xdr:to>
    <xdr:sp macro="" textlink="">
      <xdr:nvSpPr>
        <xdr:cNvPr id="72" name="Line 91">
          <a:extLst>
            <a:ext uri="{FF2B5EF4-FFF2-40B4-BE49-F238E27FC236}">
              <a16:creationId xmlns:a16="http://schemas.microsoft.com/office/drawing/2014/main" id="{00000000-0008-0000-0000-000048000000}"/>
            </a:ext>
          </a:extLst>
        </xdr:cNvPr>
        <xdr:cNvSpPr>
          <a:spLocks noChangeShapeType="1"/>
        </xdr:cNvSpPr>
      </xdr:nvSpPr>
      <xdr:spPr bwMode="auto">
        <a:xfrm flipV="1">
          <a:off x="5715000" y="1847850"/>
          <a:ext cx="0" cy="95250"/>
        </a:xfrm>
        <a:prstGeom prst="line">
          <a:avLst/>
        </a:prstGeom>
        <a:noFill/>
        <a:ln w="9525">
          <a:solidFill>
            <a:srgbClr val="000000"/>
          </a:solidFill>
          <a:round/>
          <a:headEnd type="stealth" w="sm" len="sm"/>
          <a:tailEnd type="none" w="sm" len="sm"/>
        </a:ln>
      </xdr:spPr>
    </xdr:sp>
    <xdr:clientData/>
  </xdr:twoCellAnchor>
  <xdr:twoCellAnchor>
    <xdr:from>
      <xdr:col>9</xdr:col>
      <xdr:colOff>390525</xdr:colOff>
      <xdr:row>9</xdr:row>
      <xdr:rowOff>133350</xdr:rowOff>
    </xdr:from>
    <xdr:to>
      <xdr:col>9</xdr:col>
      <xdr:colOff>390525</xdr:colOff>
      <xdr:row>10</xdr:row>
      <xdr:rowOff>38100</xdr:rowOff>
    </xdr:to>
    <xdr:sp macro="" textlink="">
      <xdr:nvSpPr>
        <xdr:cNvPr id="73" name="Line 92">
          <a:extLst>
            <a:ext uri="{FF2B5EF4-FFF2-40B4-BE49-F238E27FC236}">
              <a16:creationId xmlns:a16="http://schemas.microsoft.com/office/drawing/2014/main" id="{00000000-0008-0000-0000-000049000000}"/>
            </a:ext>
          </a:extLst>
        </xdr:cNvPr>
        <xdr:cNvSpPr>
          <a:spLocks noChangeShapeType="1"/>
        </xdr:cNvSpPr>
      </xdr:nvSpPr>
      <xdr:spPr bwMode="auto">
        <a:xfrm flipV="1">
          <a:off x="5876925" y="1847850"/>
          <a:ext cx="0" cy="95250"/>
        </a:xfrm>
        <a:prstGeom prst="line">
          <a:avLst/>
        </a:prstGeom>
        <a:noFill/>
        <a:ln w="9525">
          <a:solidFill>
            <a:srgbClr val="000000"/>
          </a:solidFill>
          <a:round/>
          <a:headEnd type="stealth" w="sm" len="sm"/>
          <a:tailEnd type="none" w="sm" len="sm"/>
        </a:ln>
      </xdr:spPr>
    </xdr:sp>
    <xdr:clientData/>
  </xdr:twoCellAnchor>
  <xdr:twoCellAnchor>
    <xdr:from>
      <xdr:col>7</xdr:col>
      <xdr:colOff>447675</xdr:colOff>
      <xdr:row>9</xdr:row>
      <xdr:rowOff>133350</xdr:rowOff>
    </xdr:from>
    <xdr:to>
      <xdr:col>7</xdr:col>
      <xdr:colOff>447675</xdr:colOff>
      <xdr:row>10</xdr:row>
      <xdr:rowOff>38100</xdr:rowOff>
    </xdr:to>
    <xdr:sp macro="" textlink="">
      <xdr:nvSpPr>
        <xdr:cNvPr id="74" name="Line 93">
          <a:extLst>
            <a:ext uri="{FF2B5EF4-FFF2-40B4-BE49-F238E27FC236}">
              <a16:creationId xmlns:a16="http://schemas.microsoft.com/office/drawing/2014/main" id="{00000000-0008-0000-0000-00004A000000}"/>
            </a:ext>
          </a:extLst>
        </xdr:cNvPr>
        <xdr:cNvSpPr>
          <a:spLocks noChangeShapeType="1"/>
        </xdr:cNvSpPr>
      </xdr:nvSpPr>
      <xdr:spPr bwMode="auto">
        <a:xfrm flipV="1">
          <a:off x="4714875" y="1847850"/>
          <a:ext cx="0" cy="95250"/>
        </a:xfrm>
        <a:prstGeom prst="line">
          <a:avLst/>
        </a:prstGeom>
        <a:noFill/>
        <a:ln w="9525">
          <a:solidFill>
            <a:srgbClr val="000000"/>
          </a:solidFill>
          <a:round/>
          <a:headEnd type="stealth" w="sm" len="sm"/>
          <a:tailEnd type="none" w="sm" len="sm"/>
        </a:ln>
      </xdr:spPr>
    </xdr:sp>
    <xdr:clientData/>
  </xdr:twoCellAnchor>
  <xdr:twoCellAnchor>
    <xdr:from>
      <xdr:col>7</xdr:col>
      <xdr:colOff>447675</xdr:colOff>
      <xdr:row>10</xdr:row>
      <xdr:rowOff>38100</xdr:rowOff>
    </xdr:from>
    <xdr:to>
      <xdr:col>9</xdr:col>
      <xdr:colOff>390525</xdr:colOff>
      <xdr:row>10</xdr:row>
      <xdr:rowOff>38100</xdr:rowOff>
    </xdr:to>
    <xdr:sp macro="" textlink="">
      <xdr:nvSpPr>
        <xdr:cNvPr id="75" name="Line 94">
          <a:extLst>
            <a:ext uri="{FF2B5EF4-FFF2-40B4-BE49-F238E27FC236}">
              <a16:creationId xmlns:a16="http://schemas.microsoft.com/office/drawing/2014/main" id="{00000000-0008-0000-0000-00004B000000}"/>
            </a:ext>
          </a:extLst>
        </xdr:cNvPr>
        <xdr:cNvSpPr>
          <a:spLocks noChangeShapeType="1"/>
        </xdr:cNvSpPr>
      </xdr:nvSpPr>
      <xdr:spPr bwMode="auto">
        <a:xfrm>
          <a:off x="4714875" y="1943100"/>
          <a:ext cx="1162050" cy="0"/>
        </a:xfrm>
        <a:prstGeom prst="line">
          <a:avLst/>
        </a:prstGeom>
        <a:noFill/>
        <a:ln w="9525">
          <a:solidFill>
            <a:srgbClr val="000000"/>
          </a:solidFill>
          <a:round/>
          <a:headEnd/>
          <a:tailEnd/>
        </a:ln>
      </xdr:spPr>
    </xdr:sp>
    <xdr:clientData/>
  </xdr:twoCellAnchor>
  <xdr:twoCellAnchor>
    <xdr:from>
      <xdr:col>7</xdr:col>
      <xdr:colOff>285750</xdr:colOff>
      <xdr:row>9</xdr:row>
      <xdr:rowOff>133350</xdr:rowOff>
    </xdr:from>
    <xdr:to>
      <xdr:col>7</xdr:col>
      <xdr:colOff>447675</xdr:colOff>
      <xdr:row>9</xdr:row>
      <xdr:rowOff>133350</xdr:rowOff>
    </xdr:to>
    <xdr:sp macro="" textlink="">
      <xdr:nvSpPr>
        <xdr:cNvPr id="76" name="Line 95">
          <a:extLst>
            <a:ext uri="{FF2B5EF4-FFF2-40B4-BE49-F238E27FC236}">
              <a16:creationId xmlns:a16="http://schemas.microsoft.com/office/drawing/2014/main" id="{00000000-0008-0000-0000-00004C000000}"/>
            </a:ext>
          </a:extLst>
        </xdr:cNvPr>
        <xdr:cNvSpPr>
          <a:spLocks noChangeShapeType="1"/>
        </xdr:cNvSpPr>
      </xdr:nvSpPr>
      <xdr:spPr bwMode="auto">
        <a:xfrm>
          <a:off x="4552950" y="1847850"/>
          <a:ext cx="161925" cy="0"/>
        </a:xfrm>
        <a:prstGeom prst="line">
          <a:avLst/>
        </a:prstGeom>
        <a:noFill/>
        <a:ln w="9525">
          <a:solidFill>
            <a:srgbClr val="000000"/>
          </a:solidFill>
          <a:round/>
          <a:headEnd/>
          <a:tailEnd type="stealth" w="sm" len="sm"/>
        </a:ln>
      </xdr:spPr>
    </xdr:sp>
    <xdr:clientData/>
  </xdr:twoCellAnchor>
  <xdr:twoCellAnchor>
    <xdr:from>
      <xdr:col>7</xdr:col>
      <xdr:colOff>285750</xdr:colOff>
      <xdr:row>8</xdr:row>
      <xdr:rowOff>161925</xdr:rowOff>
    </xdr:from>
    <xdr:to>
      <xdr:col>7</xdr:col>
      <xdr:colOff>447675</xdr:colOff>
      <xdr:row>8</xdr:row>
      <xdr:rowOff>161925</xdr:rowOff>
    </xdr:to>
    <xdr:sp macro="" textlink="">
      <xdr:nvSpPr>
        <xdr:cNvPr id="77" name="Line 96">
          <a:extLst>
            <a:ext uri="{FF2B5EF4-FFF2-40B4-BE49-F238E27FC236}">
              <a16:creationId xmlns:a16="http://schemas.microsoft.com/office/drawing/2014/main" id="{00000000-0008-0000-0000-00004D000000}"/>
            </a:ext>
          </a:extLst>
        </xdr:cNvPr>
        <xdr:cNvSpPr>
          <a:spLocks noChangeShapeType="1"/>
        </xdr:cNvSpPr>
      </xdr:nvSpPr>
      <xdr:spPr bwMode="auto">
        <a:xfrm>
          <a:off x="4552950" y="1685925"/>
          <a:ext cx="161925" cy="0"/>
        </a:xfrm>
        <a:prstGeom prst="line">
          <a:avLst/>
        </a:prstGeom>
        <a:noFill/>
        <a:ln w="9525">
          <a:solidFill>
            <a:srgbClr val="000000"/>
          </a:solidFill>
          <a:round/>
          <a:headEnd/>
          <a:tailEnd type="stealth" w="sm" len="sm"/>
        </a:ln>
      </xdr:spPr>
    </xdr:sp>
    <xdr:clientData/>
  </xdr:twoCellAnchor>
  <xdr:twoCellAnchor>
    <xdr:from>
      <xdr:col>7</xdr:col>
      <xdr:colOff>285750</xdr:colOff>
      <xdr:row>8</xdr:row>
      <xdr:rowOff>0</xdr:rowOff>
    </xdr:from>
    <xdr:to>
      <xdr:col>7</xdr:col>
      <xdr:colOff>447675</xdr:colOff>
      <xdr:row>8</xdr:row>
      <xdr:rowOff>0</xdr:rowOff>
    </xdr:to>
    <xdr:sp macro="" textlink="">
      <xdr:nvSpPr>
        <xdr:cNvPr id="78" name="Line 97">
          <a:extLst>
            <a:ext uri="{FF2B5EF4-FFF2-40B4-BE49-F238E27FC236}">
              <a16:creationId xmlns:a16="http://schemas.microsoft.com/office/drawing/2014/main" id="{00000000-0008-0000-0000-00004E000000}"/>
            </a:ext>
          </a:extLst>
        </xdr:cNvPr>
        <xdr:cNvSpPr>
          <a:spLocks noChangeShapeType="1"/>
        </xdr:cNvSpPr>
      </xdr:nvSpPr>
      <xdr:spPr bwMode="auto">
        <a:xfrm>
          <a:off x="4552950" y="1524000"/>
          <a:ext cx="161925" cy="0"/>
        </a:xfrm>
        <a:prstGeom prst="line">
          <a:avLst/>
        </a:prstGeom>
        <a:noFill/>
        <a:ln w="9525">
          <a:solidFill>
            <a:srgbClr val="000000"/>
          </a:solidFill>
          <a:round/>
          <a:headEnd/>
          <a:tailEnd type="stealth" w="sm" len="sm"/>
        </a:ln>
      </xdr:spPr>
    </xdr:sp>
    <xdr:clientData/>
  </xdr:twoCellAnchor>
  <xdr:twoCellAnchor>
    <xdr:from>
      <xdr:col>7</xdr:col>
      <xdr:colOff>285750</xdr:colOff>
      <xdr:row>3</xdr:row>
      <xdr:rowOff>133350</xdr:rowOff>
    </xdr:from>
    <xdr:to>
      <xdr:col>7</xdr:col>
      <xdr:colOff>447675</xdr:colOff>
      <xdr:row>3</xdr:row>
      <xdr:rowOff>133350</xdr:rowOff>
    </xdr:to>
    <xdr:sp macro="" textlink="">
      <xdr:nvSpPr>
        <xdr:cNvPr id="79" name="Line 98">
          <a:extLst>
            <a:ext uri="{FF2B5EF4-FFF2-40B4-BE49-F238E27FC236}">
              <a16:creationId xmlns:a16="http://schemas.microsoft.com/office/drawing/2014/main" id="{00000000-0008-0000-0000-00004F000000}"/>
            </a:ext>
          </a:extLst>
        </xdr:cNvPr>
        <xdr:cNvSpPr>
          <a:spLocks noChangeShapeType="1"/>
        </xdr:cNvSpPr>
      </xdr:nvSpPr>
      <xdr:spPr bwMode="auto">
        <a:xfrm>
          <a:off x="4552950" y="704850"/>
          <a:ext cx="161925" cy="0"/>
        </a:xfrm>
        <a:prstGeom prst="line">
          <a:avLst/>
        </a:prstGeom>
        <a:noFill/>
        <a:ln w="9525">
          <a:solidFill>
            <a:srgbClr val="000000"/>
          </a:solidFill>
          <a:round/>
          <a:headEnd/>
          <a:tailEnd type="stealth" w="sm" len="sm"/>
        </a:ln>
      </xdr:spPr>
    </xdr:sp>
    <xdr:clientData/>
  </xdr:twoCellAnchor>
  <xdr:twoCellAnchor>
    <xdr:from>
      <xdr:col>7</xdr:col>
      <xdr:colOff>285750</xdr:colOff>
      <xdr:row>4</xdr:row>
      <xdr:rowOff>104775</xdr:rowOff>
    </xdr:from>
    <xdr:to>
      <xdr:col>7</xdr:col>
      <xdr:colOff>447675</xdr:colOff>
      <xdr:row>4</xdr:row>
      <xdr:rowOff>104775</xdr:rowOff>
    </xdr:to>
    <xdr:sp macro="" textlink="">
      <xdr:nvSpPr>
        <xdr:cNvPr id="80" name="Line 99">
          <a:extLst>
            <a:ext uri="{FF2B5EF4-FFF2-40B4-BE49-F238E27FC236}">
              <a16:creationId xmlns:a16="http://schemas.microsoft.com/office/drawing/2014/main" id="{00000000-0008-0000-0000-000050000000}"/>
            </a:ext>
          </a:extLst>
        </xdr:cNvPr>
        <xdr:cNvSpPr>
          <a:spLocks noChangeShapeType="1"/>
        </xdr:cNvSpPr>
      </xdr:nvSpPr>
      <xdr:spPr bwMode="auto">
        <a:xfrm>
          <a:off x="4552950" y="866775"/>
          <a:ext cx="161925" cy="0"/>
        </a:xfrm>
        <a:prstGeom prst="line">
          <a:avLst/>
        </a:prstGeom>
        <a:noFill/>
        <a:ln w="9525">
          <a:solidFill>
            <a:srgbClr val="000000"/>
          </a:solidFill>
          <a:round/>
          <a:headEnd/>
          <a:tailEnd type="stealth" w="sm" len="sm"/>
        </a:ln>
      </xdr:spPr>
    </xdr:sp>
    <xdr:clientData/>
  </xdr:twoCellAnchor>
  <xdr:twoCellAnchor>
    <xdr:from>
      <xdr:col>7</xdr:col>
      <xdr:colOff>285750</xdr:colOff>
      <xdr:row>5</xdr:row>
      <xdr:rowOff>76200</xdr:rowOff>
    </xdr:from>
    <xdr:to>
      <xdr:col>7</xdr:col>
      <xdr:colOff>447675</xdr:colOff>
      <xdr:row>5</xdr:row>
      <xdr:rowOff>76200</xdr:rowOff>
    </xdr:to>
    <xdr:sp macro="" textlink="">
      <xdr:nvSpPr>
        <xdr:cNvPr id="81" name="Line 100">
          <a:extLst>
            <a:ext uri="{FF2B5EF4-FFF2-40B4-BE49-F238E27FC236}">
              <a16:creationId xmlns:a16="http://schemas.microsoft.com/office/drawing/2014/main" id="{00000000-0008-0000-0000-000051000000}"/>
            </a:ext>
          </a:extLst>
        </xdr:cNvPr>
        <xdr:cNvSpPr>
          <a:spLocks noChangeShapeType="1"/>
        </xdr:cNvSpPr>
      </xdr:nvSpPr>
      <xdr:spPr bwMode="auto">
        <a:xfrm>
          <a:off x="4552950" y="1028700"/>
          <a:ext cx="161925" cy="0"/>
        </a:xfrm>
        <a:prstGeom prst="line">
          <a:avLst/>
        </a:prstGeom>
        <a:noFill/>
        <a:ln w="9525">
          <a:solidFill>
            <a:srgbClr val="000000"/>
          </a:solidFill>
          <a:round/>
          <a:headEnd/>
          <a:tailEnd type="stealth" w="sm" len="sm"/>
        </a:ln>
      </xdr:spPr>
    </xdr:sp>
    <xdr:clientData/>
  </xdr:twoCellAnchor>
  <xdr:twoCellAnchor>
    <xdr:from>
      <xdr:col>7</xdr:col>
      <xdr:colOff>285750</xdr:colOff>
      <xdr:row>6</xdr:row>
      <xdr:rowOff>47625</xdr:rowOff>
    </xdr:from>
    <xdr:to>
      <xdr:col>7</xdr:col>
      <xdr:colOff>447675</xdr:colOff>
      <xdr:row>6</xdr:row>
      <xdr:rowOff>47625</xdr:rowOff>
    </xdr:to>
    <xdr:sp macro="" textlink="">
      <xdr:nvSpPr>
        <xdr:cNvPr id="82" name="Line 101">
          <a:extLst>
            <a:ext uri="{FF2B5EF4-FFF2-40B4-BE49-F238E27FC236}">
              <a16:creationId xmlns:a16="http://schemas.microsoft.com/office/drawing/2014/main" id="{00000000-0008-0000-0000-000052000000}"/>
            </a:ext>
          </a:extLst>
        </xdr:cNvPr>
        <xdr:cNvSpPr>
          <a:spLocks noChangeShapeType="1"/>
        </xdr:cNvSpPr>
      </xdr:nvSpPr>
      <xdr:spPr bwMode="auto">
        <a:xfrm>
          <a:off x="4552950" y="1190625"/>
          <a:ext cx="161925" cy="0"/>
        </a:xfrm>
        <a:prstGeom prst="line">
          <a:avLst/>
        </a:prstGeom>
        <a:noFill/>
        <a:ln w="9525">
          <a:solidFill>
            <a:srgbClr val="000000"/>
          </a:solidFill>
          <a:round/>
          <a:headEnd/>
          <a:tailEnd type="stealth" w="sm" len="sm"/>
        </a:ln>
      </xdr:spPr>
    </xdr:sp>
    <xdr:clientData/>
  </xdr:twoCellAnchor>
  <xdr:twoCellAnchor>
    <xdr:from>
      <xdr:col>7</xdr:col>
      <xdr:colOff>285750</xdr:colOff>
      <xdr:row>7</xdr:row>
      <xdr:rowOff>19050</xdr:rowOff>
    </xdr:from>
    <xdr:to>
      <xdr:col>7</xdr:col>
      <xdr:colOff>447675</xdr:colOff>
      <xdr:row>7</xdr:row>
      <xdr:rowOff>19050</xdr:rowOff>
    </xdr:to>
    <xdr:sp macro="" textlink="">
      <xdr:nvSpPr>
        <xdr:cNvPr id="83" name="Line 102">
          <a:extLst>
            <a:ext uri="{FF2B5EF4-FFF2-40B4-BE49-F238E27FC236}">
              <a16:creationId xmlns:a16="http://schemas.microsoft.com/office/drawing/2014/main" id="{00000000-0008-0000-0000-000053000000}"/>
            </a:ext>
          </a:extLst>
        </xdr:cNvPr>
        <xdr:cNvSpPr>
          <a:spLocks noChangeShapeType="1"/>
        </xdr:cNvSpPr>
      </xdr:nvSpPr>
      <xdr:spPr bwMode="auto">
        <a:xfrm>
          <a:off x="4552950" y="1352550"/>
          <a:ext cx="161925" cy="0"/>
        </a:xfrm>
        <a:prstGeom prst="line">
          <a:avLst/>
        </a:prstGeom>
        <a:noFill/>
        <a:ln w="9525">
          <a:solidFill>
            <a:srgbClr val="000000"/>
          </a:solidFill>
          <a:round/>
          <a:headEnd/>
          <a:tailEnd type="stealth" w="sm" len="sm"/>
        </a:ln>
      </xdr:spPr>
    </xdr:sp>
    <xdr:clientData/>
  </xdr:twoCellAnchor>
  <xdr:twoCellAnchor>
    <xdr:from>
      <xdr:col>7</xdr:col>
      <xdr:colOff>276225</xdr:colOff>
      <xdr:row>3</xdr:row>
      <xdr:rowOff>133350</xdr:rowOff>
    </xdr:from>
    <xdr:to>
      <xdr:col>7</xdr:col>
      <xdr:colOff>276225</xdr:colOff>
      <xdr:row>9</xdr:row>
      <xdr:rowOff>133350</xdr:rowOff>
    </xdr:to>
    <xdr:sp macro="" textlink="">
      <xdr:nvSpPr>
        <xdr:cNvPr id="84" name="Line 103">
          <a:extLst>
            <a:ext uri="{FF2B5EF4-FFF2-40B4-BE49-F238E27FC236}">
              <a16:creationId xmlns:a16="http://schemas.microsoft.com/office/drawing/2014/main" id="{00000000-0008-0000-0000-000054000000}"/>
            </a:ext>
          </a:extLst>
        </xdr:cNvPr>
        <xdr:cNvSpPr>
          <a:spLocks noChangeShapeType="1"/>
        </xdr:cNvSpPr>
      </xdr:nvSpPr>
      <xdr:spPr bwMode="auto">
        <a:xfrm>
          <a:off x="4543425" y="704850"/>
          <a:ext cx="0" cy="1143000"/>
        </a:xfrm>
        <a:prstGeom prst="line">
          <a:avLst/>
        </a:prstGeom>
        <a:noFill/>
        <a:ln w="9525">
          <a:solidFill>
            <a:srgbClr val="000000"/>
          </a:solidFill>
          <a:round/>
          <a:headEnd/>
          <a:tailEnd/>
        </a:ln>
      </xdr:spPr>
    </xdr:sp>
    <xdr:clientData/>
  </xdr:twoCellAnchor>
  <xdr:twoCellAnchor>
    <xdr:from>
      <xdr:col>9</xdr:col>
      <xdr:colOff>390525</xdr:colOff>
      <xdr:row>3</xdr:row>
      <xdr:rowOff>133350</xdr:rowOff>
    </xdr:from>
    <xdr:to>
      <xdr:col>9</xdr:col>
      <xdr:colOff>485775</xdr:colOff>
      <xdr:row>3</xdr:row>
      <xdr:rowOff>133350</xdr:rowOff>
    </xdr:to>
    <xdr:sp macro="" textlink="">
      <xdr:nvSpPr>
        <xdr:cNvPr id="85" name="Line 104">
          <a:extLst>
            <a:ext uri="{FF2B5EF4-FFF2-40B4-BE49-F238E27FC236}">
              <a16:creationId xmlns:a16="http://schemas.microsoft.com/office/drawing/2014/main" id="{00000000-0008-0000-0000-000055000000}"/>
            </a:ext>
          </a:extLst>
        </xdr:cNvPr>
        <xdr:cNvSpPr>
          <a:spLocks noChangeShapeType="1"/>
        </xdr:cNvSpPr>
      </xdr:nvSpPr>
      <xdr:spPr bwMode="auto">
        <a:xfrm>
          <a:off x="5876925" y="704850"/>
          <a:ext cx="95250" cy="0"/>
        </a:xfrm>
        <a:prstGeom prst="line">
          <a:avLst/>
        </a:prstGeom>
        <a:noFill/>
        <a:ln w="9525">
          <a:solidFill>
            <a:srgbClr val="000000"/>
          </a:solidFill>
          <a:round/>
          <a:headEnd/>
          <a:tailEnd type="stealth" w="sm" len="sm"/>
        </a:ln>
      </xdr:spPr>
    </xdr:sp>
    <xdr:clientData/>
  </xdr:twoCellAnchor>
  <xdr:twoCellAnchor>
    <xdr:from>
      <xdr:col>9</xdr:col>
      <xdr:colOff>390525</xdr:colOff>
      <xdr:row>4</xdr:row>
      <xdr:rowOff>104775</xdr:rowOff>
    </xdr:from>
    <xdr:to>
      <xdr:col>9</xdr:col>
      <xdr:colOff>485775</xdr:colOff>
      <xdr:row>4</xdr:row>
      <xdr:rowOff>104775</xdr:rowOff>
    </xdr:to>
    <xdr:sp macro="" textlink="">
      <xdr:nvSpPr>
        <xdr:cNvPr id="86" name="Line 105">
          <a:extLst>
            <a:ext uri="{FF2B5EF4-FFF2-40B4-BE49-F238E27FC236}">
              <a16:creationId xmlns:a16="http://schemas.microsoft.com/office/drawing/2014/main" id="{00000000-0008-0000-0000-000056000000}"/>
            </a:ext>
          </a:extLst>
        </xdr:cNvPr>
        <xdr:cNvSpPr>
          <a:spLocks noChangeShapeType="1"/>
        </xdr:cNvSpPr>
      </xdr:nvSpPr>
      <xdr:spPr bwMode="auto">
        <a:xfrm>
          <a:off x="5876925" y="866775"/>
          <a:ext cx="95250" cy="0"/>
        </a:xfrm>
        <a:prstGeom prst="line">
          <a:avLst/>
        </a:prstGeom>
        <a:noFill/>
        <a:ln w="9525">
          <a:solidFill>
            <a:srgbClr val="000000"/>
          </a:solidFill>
          <a:round/>
          <a:headEnd/>
          <a:tailEnd type="stealth" w="sm" len="sm"/>
        </a:ln>
      </xdr:spPr>
    </xdr:sp>
    <xdr:clientData/>
  </xdr:twoCellAnchor>
  <xdr:twoCellAnchor>
    <xdr:from>
      <xdr:col>9</xdr:col>
      <xdr:colOff>390525</xdr:colOff>
      <xdr:row>5</xdr:row>
      <xdr:rowOff>76200</xdr:rowOff>
    </xdr:from>
    <xdr:to>
      <xdr:col>9</xdr:col>
      <xdr:colOff>485775</xdr:colOff>
      <xdr:row>5</xdr:row>
      <xdr:rowOff>76200</xdr:rowOff>
    </xdr:to>
    <xdr:sp macro="" textlink="">
      <xdr:nvSpPr>
        <xdr:cNvPr id="87" name="Line 106">
          <a:extLst>
            <a:ext uri="{FF2B5EF4-FFF2-40B4-BE49-F238E27FC236}">
              <a16:creationId xmlns:a16="http://schemas.microsoft.com/office/drawing/2014/main" id="{00000000-0008-0000-0000-000057000000}"/>
            </a:ext>
          </a:extLst>
        </xdr:cNvPr>
        <xdr:cNvSpPr>
          <a:spLocks noChangeShapeType="1"/>
        </xdr:cNvSpPr>
      </xdr:nvSpPr>
      <xdr:spPr bwMode="auto">
        <a:xfrm>
          <a:off x="5876925" y="1028700"/>
          <a:ext cx="95250" cy="0"/>
        </a:xfrm>
        <a:prstGeom prst="line">
          <a:avLst/>
        </a:prstGeom>
        <a:noFill/>
        <a:ln w="9525">
          <a:solidFill>
            <a:srgbClr val="000000"/>
          </a:solidFill>
          <a:round/>
          <a:headEnd/>
          <a:tailEnd type="stealth" w="sm" len="sm"/>
        </a:ln>
      </xdr:spPr>
    </xdr:sp>
    <xdr:clientData/>
  </xdr:twoCellAnchor>
  <xdr:twoCellAnchor>
    <xdr:from>
      <xdr:col>9</xdr:col>
      <xdr:colOff>390525</xdr:colOff>
      <xdr:row>6</xdr:row>
      <xdr:rowOff>47625</xdr:rowOff>
    </xdr:from>
    <xdr:to>
      <xdr:col>9</xdr:col>
      <xdr:colOff>485775</xdr:colOff>
      <xdr:row>6</xdr:row>
      <xdr:rowOff>47625</xdr:rowOff>
    </xdr:to>
    <xdr:sp macro="" textlink="">
      <xdr:nvSpPr>
        <xdr:cNvPr id="88" name="Line 107">
          <a:extLst>
            <a:ext uri="{FF2B5EF4-FFF2-40B4-BE49-F238E27FC236}">
              <a16:creationId xmlns:a16="http://schemas.microsoft.com/office/drawing/2014/main" id="{00000000-0008-0000-0000-000058000000}"/>
            </a:ext>
          </a:extLst>
        </xdr:cNvPr>
        <xdr:cNvSpPr>
          <a:spLocks noChangeShapeType="1"/>
        </xdr:cNvSpPr>
      </xdr:nvSpPr>
      <xdr:spPr bwMode="auto">
        <a:xfrm>
          <a:off x="5876925" y="1190625"/>
          <a:ext cx="95250" cy="0"/>
        </a:xfrm>
        <a:prstGeom prst="line">
          <a:avLst/>
        </a:prstGeom>
        <a:noFill/>
        <a:ln w="9525">
          <a:solidFill>
            <a:srgbClr val="000000"/>
          </a:solidFill>
          <a:round/>
          <a:headEnd/>
          <a:tailEnd type="stealth" w="sm" len="sm"/>
        </a:ln>
      </xdr:spPr>
    </xdr:sp>
    <xdr:clientData/>
  </xdr:twoCellAnchor>
  <xdr:twoCellAnchor>
    <xdr:from>
      <xdr:col>9</xdr:col>
      <xdr:colOff>390525</xdr:colOff>
      <xdr:row>7</xdr:row>
      <xdr:rowOff>19050</xdr:rowOff>
    </xdr:from>
    <xdr:to>
      <xdr:col>9</xdr:col>
      <xdr:colOff>485775</xdr:colOff>
      <xdr:row>7</xdr:row>
      <xdr:rowOff>19050</xdr:rowOff>
    </xdr:to>
    <xdr:sp macro="" textlink="">
      <xdr:nvSpPr>
        <xdr:cNvPr id="89" name="Line 108">
          <a:extLst>
            <a:ext uri="{FF2B5EF4-FFF2-40B4-BE49-F238E27FC236}">
              <a16:creationId xmlns:a16="http://schemas.microsoft.com/office/drawing/2014/main" id="{00000000-0008-0000-0000-000059000000}"/>
            </a:ext>
          </a:extLst>
        </xdr:cNvPr>
        <xdr:cNvSpPr>
          <a:spLocks noChangeShapeType="1"/>
        </xdr:cNvSpPr>
      </xdr:nvSpPr>
      <xdr:spPr bwMode="auto">
        <a:xfrm>
          <a:off x="5876925" y="1352550"/>
          <a:ext cx="95250" cy="0"/>
        </a:xfrm>
        <a:prstGeom prst="line">
          <a:avLst/>
        </a:prstGeom>
        <a:noFill/>
        <a:ln w="9525">
          <a:solidFill>
            <a:srgbClr val="000000"/>
          </a:solidFill>
          <a:round/>
          <a:headEnd/>
          <a:tailEnd type="stealth" w="sm" len="sm"/>
        </a:ln>
      </xdr:spPr>
    </xdr:sp>
    <xdr:clientData/>
  </xdr:twoCellAnchor>
  <xdr:twoCellAnchor>
    <xdr:from>
      <xdr:col>9</xdr:col>
      <xdr:colOff>390525</xdr:colOff>
      <xdr:row>8</xdr:row>
      <xdr:rowOff>0</xdr:rowOff>
    </xdr:from>
    <xdr:to>
      <xdr:col>9</xdr:col>
      <xdr:colOff>485775</xdr:colOff>
      <xdr:row>8</xdr:row>
      <xdr:rowOff>0</xdr:rowOff>
    </xdr:to>
    <xdr:sp macro="" textlink="">
      <xdr:nvSpPr>
        <xdr:cNvPr id="90" name="Line 109">
          <a:extLst>
            <a:ext uri="{FF2B5EF4-FFF2-40B4-BE49-F238E27FC236}">
              <a16:creationId xmlns:a16="http://schemas.microsoft.com/office/drawing/2014/main" id="{00000000-0008-0000-0000-00005A000000}"/>
            </a:ext>
          </a:extLst>
        </xdr:cNvPr>
        <xdr:cNvSpPr>
          <a:spLocks noChangeShapeType="1"/>
        </xdr:cNvSpPr>
      </xdr:nvSpPr>
      <xdr:spPr bwMode="auto">
        <a:xfrm>
          <a:off x="5876925" y="1524000"/>
          <a:ext cx="95250" cy="0"/>
        </a:xfrm>
        <a:prstGeom prst="line">
          <a:avLst/>
        </a:prstGeom>
        <a:noFill/>
        <a:ln w="9525">
          <a:solidFill>
            <a:srgbClr val="000000"/>
          </a:solidFill>
          <a:round/>
          <a:headEnd/>
          <a:tailEnd type="stealth" w="sm" len="sm"/>
        </a:ln>
      </xdr:spPr>
    </xdr:sp>
    <xdr:clientData/>
  </xdr:twoCellAnchor>
  <xdr:twoCellAnchor>
    <xdr:from>
      <xdr:col>9</xdr:col>
      <xdr:colOff>390525</xdr:colOff>
      <xdr:row>8</xdr:row>
      <xdr:rowOff>161925</xdr:rowOff>
    </xdr:from>
    <xdr:to>
      <xdr:col>9</xdr:col>
      <xdr:colOff>485775</xdr:colOff>
      <xdr:row>8</xdr:row>
      <xdr:rowOff>161925</xdr:rowOff>
    </xdr:to>
    <xdr:sp macro="" textlink="">
      <xdr:nvSpPr>
        <xdr:cNvPr id="91" name="Line 110">
          <a:extLst>
            <a:ext uri="{FF2B5EF4-FFF2-40B4-BE49-F238E27FC236}">
              <a16:creationId xmlns:a16="http://schemas.microsoft.com/office/drawing/2014/main" id="{00000000-0008-0000-0000-00005B000000}"/>
            </a:ext>
          </a:extLst>
        </xdr:cNvPr>
        <xdr:cNvSpPr>
          <a:spLocks noChangeShapeType="1"/>
        </xdr:cNvSpPr>
      </xdr:nvSpPr>
      <xdr:spPr bwMode="auto">
        <a:xfrm>
          <a:off x="5876925" y="1685925"/>
          <a:ext cx="95250" cy="0"/>
        </a:xfrm>
        <a:prstGeom prst="line">
          <a:avLst/>
        </a:prstGeom>
        <a:noFill/>
        <a:ln w="9525">
          <a:solidFill>
            <a:srgbClr val="000000"/>
          </a:solidFill>
          <a:round/>
          <a:headEnd/>
          <a:tailEnd type="stealth" w="sm" len="sm"/>
        </a:ln>
      </xdr:spPr>
    </xdr:sp>
    <xdr:clientData/>
  </xdr:twoCellAnchor>
  <xdr:twoCellAnchor>
    <xdr:from>
      <xdr:col>9</xdr:col>
      <xdr:colOff>390525</xdr:colOff>
      <xdr:row>9</xdr:row>
      <xdr:rowOff>133350</xdr:rowOff>
    </xdr:from>
    <xdr:to>
      <xdr:col>9</xdr:col>
      <xdr:colOff>485775</xdr:colOff>
      <xdr:row>9</xdr:row>
      <xdr:rowOff>133350</xdr:rowOff>
    </xdr:to>
    <xdr:sp macro="" textlink="">
      <xdr:nvSpPr>
        <xdr:cNvPr id="92" name="Line 111">
          <a:extLst>
            <a:ext uri="{FF2B5EF4-FFF2-40B4-BE49-F238E27FC236}">
              <a16:creationId xmlns:a16="http://schemas.microsoft.com/office/drawing/2014/main" id="{00000000-0008-0000-0000-00005C000000}"/>
            </a:ext>
          </a:extLst>
        </xdr:cNvPr>
        <xdr:cNvSpPr>
          <a:spLocks noChangeShapeType="1"/>
        </xdr:cNvSpPr>
      </xdr:nvSpPr>
      <xdr:spPr bwMode="auto">
        <a:xfrm>
          <a:off x="5876925" y="1847850"/>
          <a:ext cx="95250" cy="0"/>
        </a:xfrm>
        <a:prstGeom prst="line">
          <a:avLst/>
        </a:prstGeom>
        <a:noFill/>
        <a:ln w="9525">
          <a:solidFill>
            <a:srgbClr val="000000"/>
          </a:solidFill>
          <a:round/>
          <a:headEnd/>
          <a:tailEnd type="stealth" w="sm" len="sm"/>
        </a:ln>
      </xdr:spPr>
    </xdr:sp>
    <xdr:clientData/>
  </xdr:twoCellAnchor>
  <xdr:twoCellAnchor>
    <xdr:from>
      <xdr:col>9</xdr:col>
      <xdr:colOff>485775</xdr:colOff>
      <xdr:row>3</xdr:row>
      <xdr:rowOff>133350</xdr:rowOff>
    </xdr:from>
    <xdr:to>
      <xdr:col>9</xdr:col>
      <xdr:colOff>485775</xdr:colOff>
      <xdr:row>9</xdr:row>
      <xdr:rowOff>133350</xdr:rowOff>
    </xdr:to>
    <xdr:sp macro="" textlink="">
      <xdr:nvSpPr>
        <xdr:cNvPr id="93" name="Line 112">
          <a:extLst>
            <a:ext uri="{FF2B5EF4-FFF2-40B4-BE49-F238E27FC236}">
              <a16:creationId xmlns:a16="http://schemas.microsoft.com/office/drawing/2014/main" id="{00000000-0008-0000-0000-00005D000000}"/>
            </a:ext>
          </a:extLst>
        </xdr:cNvPr>
        <xdr:cNvSpPr>
          <a:spLocks noChangeShapeType="1"/>
        </xdr:cNvSpPr>
      </xdr:nvSpPr>
      <xdr:spPr bwMode="auto">
        <a:xfrm>
          <a:off x="5972175" y="704850"/>
          <a:ext cx="0" cy="1143000"/>
        </a:xfrm>
        <a:prstGeom prst="line">
          <a:avLst/>
        </a:prstGeom>
        <a:noFill/>
        <a:ln w="9525">
          <a:solidFill>
            <a:srgbClr val="000000"/>
          </a:solidFill>
          <a:round/>
          <a:headEnd/>
          <a:tailEnd/>
        </a:ln>
      </xdr:spPr>
    </xdr:sp>
    <xdr:clientData/>
  </xdr:twoCellAnchor>
  <xdr:twoCellAnchor>
    <xdr:from>
      <xdr:col>6</xdr:col>
      <xdr:colOff>476250</xdr:colOff>
      <xdr:row>6</xdr:row>
      <xdr:rowOff>123825</xdr:rowOff>
    </xdr:from>
    <xdr:to>
      <xdr:col>7</xdr:col>
      <xdr:colOff>238125</xdr:colOff>
      <xdr:row>6</xdr:row>
      <xdr:rowOff>123825</xdr:rowOff>
    </xdr:to>
    <xdr:sp macro="" textlink="">
      <xdr:nvSpPr>
        <xdr:cNvPr id="94" name="Line 113">
          <a:extLst>
            <a:ext uri="{FF2B5EF4-FFF2-40B4-BE49-F238E27FC236}">
              <a16:creationId xmlns:a16="http://schemas.microsoft.com/office/drawing/2014/main" id="{00000000-0008-0000-0000-00005E000000}"/>
            </a:ext>
          </a:extLst>
        </xdr:cNvPr>
        <xdr:cNvSpPr>
          <a:spLocks noChangeShapeType="1"/>
        </xdr:cNvSpPr>
      </xdr:nvSpPr>
      <xdr:spPr bwMode="auto">
        <a:xfrm>
          <a:off x="4133850" y="1266825"/>
          <a:ext cx="371475" cy="0"/>
        </a:xfrm>
        <a:prstGeom prst="line">
          <a:avLst/>
        </a:prstGeom>
        <a:noFill/>
        <a:ln w="9525">
          <a:solidFill>
            <a:srgbClr val="000000"/>
          </a:solidFill>
          <a:round/>
          <a:headEnd/>
          <a:tailEnd type="stealth" w="sm" len="med"/>
        </a:ln>
      </xdr:spPr>
    </xdr:sp>
    <xdr:clientData/>
  </xdr:twoCellAnchor>
  <xdr:twoCellAnchor>
    <xdr:from>
      <xdr:col>6</xdr:col>
      <xdr:colOff>457200</xdr:colOff>
      <xdr:row>5</xdr:row>
      <xdr:rowOff>161925</xdr:rowOff>
    </xdr:from>
    <xdr:to>
      <xdr:col>7</xdr:col>
      <xdr:colOff>190500</xdr:colOff>
      <xdr:row>6</xdr:row>
      <xdr:rowOff>142875</xdr:rowOff>
    </xdr:to>
    <xdr:sp macro="" textlink="">
      <xdr:nvSpPr>
        <xdr:cNvPr id="95" name="Text Box 114">
          <a:extLst>
            <a:ext uri="{FF2B5EF4-FFF2-40B4-BE49-F238E27FC236}">
              <a16:creationId xmlns:a16="http://schemas.microsoft.com/office/drawing/2014/main" id="{00000000-0008-0000-0000-00005F000000}"/>
            </a:ext>
          </a:extLst>
        </xdr:cNvPr>
        <xdr:cNvSpPr txBox="1">
          <a:spLocks noChangeArrowheads="1"/>
        </xdr:cNvSpPr>
      </xdr:nvSpPr>
      <xdr:spPr bwMode="auto">
        <a:xfrm>
          <a:off x="4114800" y="1114425"/>
          <a:ext cx="342900" cy="171450"/>
        </a:xfrm>
        <a:prstGeom prst="rect">
          <a:avLst/>
        </a:prstGeom>
        <a:noFill/>
        <a:ln>
          <a:noFill/>
        </a:ln>
      </xdr:spPr>
      <xdr:txBody>
        <a:bodyPr vertOverflow="clip" wrap="square" lIns="27432" tIns="22860" rIns="0" bIns="0" anchor="t" upright="1"/>
        <a:lstStyle/>
        <a:p>
          <a:pPr algn="l" rtl="0">
            <a:defRPr sz="1000"/>
          </a:pPr>
          <a:r>
            <a:rPr lang="en-US" sz="900" b="0" i="1" u="none" strike="noStrike" baseline="0">
              <a:solidFill>
                <a:srgbClr val="0000FF"/>
              </a:solidFill>
              <a:latin typeface="Arial"/>
              <a:cs typeface="Arial"/>
            </a:rPr>
            <a:t>Wind</a:t>
          </a:r>
          <a:endParaRPr lang="en-US"/>
        </a:p>
      </xdr:txBody>
    </xdr:sp>
    <xdr:clientData/>
  </xdr:twoCellAnchor>
  <xdr:twoCellAnchor>
    <xdr:from>
      <xdr:col>8</xdr:col>
      <xdr:colOff>266700</xdr:colOff>
      <xdr:row>11</xdr:row>
      <xdr:rowOff>38100</xdr:rowOff>
    </xdr:from>
    <xdr:to>
      <xdr:col>9</xdr:col>
      <xdr:colOff>38100</xdr:colOff>
      <xdr:row>12</xdr:row>
      <xdr:rowOff>38100</xdr:rowOff>
    </xdr:to>
    <xdr:sp macro="" textlink="">
      <xdr:nvSpPr>
        <xdr:cNvPr id="96" name="Text Box 115">
          <a:extLst>
            <a:ext uri="{FF2B5EF4-FFF2-40B4-BE49-F238E27FC236}">
              <a16:creationId xmlns:a16="http://schemas.microsoft.com/office/drawing/2014/main" id="{00000000-0008-0000-0000-000060000000}"/>
            </a:ext>
          </a:extLst>
        </xdr:cNvPr>
        <xdr:cNvSpPr txBox="1">
          <a:spLocks noChangeArrowheads="1"/>
        </xdr:cNvSpPr>
      </xdr:nvSpPr>
      <xdr:spPr bwMode="auto">
        <a:xfrm>
          <a:off x="5143500" y="2133600"/>
          <a:ext cx="381000" cy="190500"/>
        </a:xfrm>
        <a:prstGeom prst="rect">
          <a:avLst/>
        </a:prstGeom>
        <a:noFill/>
        <a:ln>
          <a:noFill/>
        </a:ln>
      </xdr:spPr>
      <xdr:txBody>
        <a:bodyPr vertOverflow="clip" wrap="square" lIns="27432" tIns="22860" rIns="0" bIns="0" anchor="t" upright="1"/>
        <a:lstStyle/>
        <a:p>
          <a:pPr algn="l" rtl="0">
            <a:defRPr sz="1000"/>
          </a:pPr>
          <a:r>
            <a:rPr lang="en-US" sz="1000" b="1" i="0" u="sng" strike="noStrike" baseline="0">
              <a:solidFill>
                <a:srgbClr val="000000"/>
              </a:solidFill>
              <a:latin typeface="Arial"/>
              <a:cs typeface="Arial"/>
            </a:rPr>
            <a:t>Plan</a:t>
          </a:r>
          <a:endParaRPr lang="en-US"/>
        </a:p>
      </xdr:txBody>
    </xdr:sp>
    <xdr:clientData/>
  </xdr:twoCellAnchor>
  <xdr:twoCellAnchor>
    <xdr:from>
      <xdr:col>8</xdr:col>
      <xdr:colOff>123825</xdr:colOff>
      <xdr:row>18</xdr:row>
      <xdr:rowOff>95250</xdr:rowOff>
    </xdr:from>
    <xdr:to>
      <xdr:col>9</xdr:col>
      <xdr:colOff>152400</xdr:colOff>
      <xdr:row>19</xdr:row>
      <xdr:rowOff>114300</xdr:rowOff>
    </xdr:to>
    <xdr:sp macro="" textlink="">
      <xdr:nvSpPr>
        <xdr:cNvPr id="97" name="Text Box 116">
          <a:extLst>
            <a:ext uri="{FF2B5EF4-FFF2-40B4-BE49-F238E27FC236}">
              <a16:creationId xmlns:a16="http://schemas.microsoft.com/office/drawing/2014/main" id="{00000000-0008-0000-0000-000061000000}"/>
            </a:ext>
          </a:extLst>
        </xdr:cNvPr>
        <xdr:cNvSpPr txBox="1">
          <a:spLocks noChangeArrowheads="1"/>
        </xdr:cNvSpPr>
      </xdr:nvSpPr>
      <xdr:spPr bwMode="auto">
        <a:xfrm>
          <a:off x="5000625" y="3524250"/>
          <a:ext cx="638175" cy="209550"/>
        </a:xfrm>
        <a:prstGeom prst="rect">
          <a:avLst/>
        </a:prstGeom>
        <a:noFill/>
        <a:ln>
          <a:noFill/>
        </a:ln>
      </xdr:spPr>
      <xdr:txBody>
        <a:bodyPr vertOverflow="clip" wrap="square" lIns="27432" tIns="22860" rIns="0" bIns="0" anchor="t" upright="1"/>
        <a:lstStyle/>
        <a:p>
          <a:pPr algn="l" rtl="0">
            <a:defRPr sz="1000"/>
          </a:pPr>
          <a:r>
            <a:rPr lang="en-US" sz="1000" b="1" i="0" u="sng" strike="noStrike" baseline="0">
              <a:solidFill>
                <a:srgbClr val="000000"/>
              </a:solidFill>
              <a:latin typeface="Arial"/>
              <a:cs typeface="Arial"/>
            </a:rPr>
            <a:t>Elevation</a:t>
          </a:r>
          <a:endParaRPr lang="en-US"/>
        </a:p>
      </xdr:txBody>
    </xdr:sp>
    <xdr:clientData/>
  </xdr:twoCellAnchor>
  <xdr:twoCellAnchor>
    <xdr:from>
      <xdr:col>8</xdr:col>
      <xdr:colOff>352425</xdr:colOff>
      <xdr:row>17</xdr:row>
      <xdr:rowOff>76200</xdr:rowOff>
    </xdr:from>
    <xdr:to>
      <xdr:col>8</xdr:col>
      <xdr:colOff>504825</xdr:colOff>
      <xdr:row>18</xdr:row>
      <xdr:rowOff>47625</xdr:rowOff>
    </xdr:to>
    <xdr:sp macro="" textlink="">
      <xdr:nvSpPr>
        <xdr:cNvPr id="98" name="Text Box 117">
          <a:extLst>
            <a:ext uri="{FF2B5EF4-FFF2-40B4-BE49-F238E27FC236}">
              <a16:creationId xmlns:a16="http://schemas.microsoft.com/office/drawing/2014/main" id="{00000000-0008-0000-0000-000062000000}"/>
            </a:ext>
          </a:extLst>
        </xdr:cNvPr>
        <xdr:cNvSpPr txBox="1">
          <a:spLocks noChangeArrowheads="1"/>
        </xdr:cNvSpPr>
      </xdr:nvSpPr>
      <xdr:spPr bwMode="auto">
        <a:xfrm>
          <a:off x="5229225" y="3314700"/>
          <a:ext cx="152400" cy="161925"/>
        </a:xfrm>
        <a:prstGeom prst="rect">
          <a:avLst/>
        </a:prstGeom>
        <a:noFill/>
        <a:ln>
          <a:noFill/>
        </a:ln>
      </xdr:spPr>
      <xdr:txBody>
        <a:bodyPr vertOverflow="clip" wrap="square" lIns="27432" tIns="22860" rIns="0" bIns="0" anchor="t" upright="1"/>
        <a:lstStyle/>
        <a:p>
          <a:pPr algn="l" rtl="0">
            <a:defRPr sz="1000"/>
          </a:pPr>
          <a:r>
            <a:rPr lang="en-US" sz="900" b="0" i="0" u="none" strike="noStrike" baseline="0">
              <a:solidFill>
                <a:srgbClr val="0000FF"/>
              </a:solidFill>
              <a:latin typeface="Arial"/>
              <a:cs typeface="Arial"/>
            </a:rPr>
            <a:t>L</a:t>
          </a:r>
          <a:endParaRPr lang="en-US"/>
        </a:p>
      </xdr:txBody>
    </xdr:sp>
    <xdr:clientData/>
  </xdr:twoCellAnchor>
  <xdr:twoCellAnchor editAs="oneCell">
    <xdr:from>
      <xdr:col>26</xdr:col>
      <xdr:colOff>57150</xdr:colOff>
      <xdr:row>122</xdr:row>
      <xdr:rowOff>0</xdr:rowOff>
    </xdr:from>
    <xdr:to>
      <xdr:col>33</xdr:col>
      <xdr:colOff>542925</xdr:colOff>
      <xdr:row>134</xdr:row>
      <xdr:rowOff>114300</xdr:rowOff>
    </xdr:to>
    <xdr:pic>
      <xdr:nvPicPr>
        <xdr:cNvPr id="99" name="Picture 2">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rcRect/>
        <a:stretch>
          <a:fillRect/>
        </a:stretch>
      </xdr:blipFill>
      <xdr:spPr bwMode="auto">
        <a:xfrm>
          <a:off x="11458575" y="23631525"/>
          <a:ext cx="4752975" cy="2400300"/>
        </a:xfrm>
        <a:prstGeom prst="rect">
          <a:avLst/>
        </a:prstGeom>
        <a:noFill/>
        <a:ln w="9525">
          <a:noFill/>
          <a:miter lim="800000"/>
          <a:headEnd/>
          <a:tailEnd/>
        </a:ln>
      </xdr:spPr>
    </xdr:pic>
    <xdr:clientData/>
  </xdr:twoCellAnchor>
  <xdr:twoCellAnchor editAs="oneCell">
    <xdr:from>
      <xdr:col>26</xdr:col>
      <xdr:colOff>352425</xdr:colOff>
      <xdr:row>79</xdr:row>
      <xdr:rowOff>161925</xdr:rowOff>
    </xdr:from>
    <xdr:to>
      <xdr:col>34</xdr:col>
      <xdr:colOff>190500</xdr:colOff>
      <xdr:row>113</xdr:row>
      <xdr:rowOff>66675</xdr:rowOff>
    </xdr:to>
    <xdr:pic>
      <xdr:nvPicPr>
        <xdr:cNvPr id="100" name="Picture 1">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2" cstate="print"/>
        <a:srcRect/>
        <a:stretch>
          <a:fillRect/>
        </a:stretch>
      </xdr:blipFill>
      <xdr:spPr bwMode="auto">
        <a:xfrm>
          <a:off x="11753850" y="15601950"/>
          <a:ext cx="4714875" cy="6381750"/>
        </a:xfrm>
        <a:prstGeom prst="rect">
          <a:avLst/>
        </a:prstGeom>
        <a:noFill/>
        <a:ln w="9525">
          <a:noFill/>
          <a:miter lim="800000"/>
          <a:headEnd/>
          <a:tailEnd/>
        </a:ln>
      </xdr:spPr>
    </xdr:pic>
    <xdr:clientData/>
  </xdr:twoCellAnchor>
  <xdr:twoCellAnchor>
    <xdr:from>
      <xdr:col>11</xdr:col>
      <xdr:colOff>47624</xdr:colOff>
      <xdr:row>5</xdr:row>
      <xdr:rowOff>9525</xdr:rowOff>
    </xdr:from>
    <xdr:to>
      <xdr:col>28</xdr:col>
      <xdr:colOff>581024</xdr:colOff>
      <xdr:row>8</xdr:row>
      <xdr:rowOff>76200</xdr:rowOff>
    </xdr:to>
    <xdr:sp macro="" textlink="">
      <xdr:nvSpPr>
        <xdr:cNvPr id="102" name="Rounded Rectangle 101">
          <a:hlinkClick xmlns:r="http://schemas.openxmlformats.org/officeDocument/2006/relationships" r:id="rId3"/>
          <a:extLst>
            <a:ext uri="{FF2B5EF4-FFF2-40B4-BE49-F238E27FC236}">
              <a16:creationId xmlns:a16="http://schemas.microsoft.com/office/drawing/2014/main" id="{00000000-0008-0000-0000-000066000000}"/>
            </a:ext>
          </a:extLst>
        </xdr:cNvPr>
        <xdr:cNvSpPr/>
      </xdr:nvSpPr>
      <xdr:spPr>
        <a:xfrm>
          <a:off x="8381999" y="990600"/>
          <a:ext cx="2971800" cy="638175"/>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e1</a:t>
          </a:r>
          <a:r>
            <a:rPr lang="en-US" sz="2800" b="1" baseline="0"/>
            <a:t> &amp; e2 Cal.</a:t>
          </a:r>
          <a:endParaRPr lang="en-US" sz="2800" b="1"/>
        </a:p>
      </xdr:txBody>
    </xdr:sp>
    <xdr:clientData/>
  </xdr:twoCellAnchor>
  <xdr:twoCellAnchor>
    <xdr:from>
      <xdr:col>11</xdr:col>
      <xdr:colOff>9524</xdr:colOff>
      <xdr:row>9</xdr:row>
      <xdr:rowOff>28575</xdr:rowOff>
    </xdr:from>
    <xdr:to>
      <xdr:col>28</xdr:col>
      <xdr:colOff>561974</xdr:colOff>
      <xdr:row>12</xdr:row>
      <xdr:rowOff>95250</xdr:rowOff>
    </xdr:to>
    <xdr:sp macro="" textlink="">
      <xdr:nvSpPr>
        <xdr:cNvPr id="103" name="Rounded Rectangle 102">
          <a:hlinkClick xmlns:r="http://schemas.openxmlformats.org/officeDocument/2006/relationships" r:id="rId4"/>
          <a:extLst>
            <a:ext uri="{FF2B5EF4-FFF2-40B4-BE49-F238E27FC236}">
              <a16:creationId xmlns:a16="http://schemas.microsoft.com/office/drawing/2014/main" id="{00000000-0008-0000-0000-000067000000}"/>
            </a:ext>
          </a:extLst>
        </xdr:cNvPr>
        <xdr:cNvSpPr/>
      </xdr:nvSpPr>
      <xdr:spPr>
        <a:xfrm>
          <a:off x="8343899" y="1771650"/>
          <a:ext cx="2990850" cy="638175"/>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Soft. Input</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9524</xdr:colOff>
      <xdr:row>1</xdr:row>
      <xdr:rowOff>180975</xdr:rowOff>
    </xdr:from>
    <xdr:to>
      <xdr:col>16</xdr:col>
      <xdr:colOff>561975</xdr:colOff>
      <xdr:row>6</xdr:row>
      <xdr:rowOff>169730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324724" y="371475"/>
          <a:ext cx="3219451" cy="941255"/>
        </a:xfrm>
        <a:prstGeom prst="rect">
          <a:avLst/>
        </a:prstGeom>
      </xdr:spPr>
    </xdr:pic>
    <xdr:clientData/>
  </xdr:twoCellAnchor>
  <xdr:twoCellAnchor>
    <xdr:from>
      <xdr:col>12</xdr:col>
      <xdr:colOff>342899</xdr:colOff>
      <xdr:row>7</xdr:row>
      <xdr:rowOff>85725</xdr:rowOff>
    </xdr:from>
    <xdr:to>
      <xdr:col>16</xdr:col>
      <xdr:colOff>542924</xdr:colOff>
      <xdr:row>11</xdr:row>
      <xdr:rowOff>152400</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7658099" y="1419225"/>
          <a:ext cx="2867025" cy="828675"/>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Data Input</a:t>
          </a:r>
        </a:p>
      </xdr:txBody>
    </xdr:sp>
    <xdr:clientData/>
  </xdr:twoCellAnchor>
  <xdr:twoCellAnchor>
    <xdr:from>
      <xdr:col>12</xdr:col>
      <xdr:colOff>361950</xdr:colOff>
      <xdr:row>12</xdr:row>
      <xdr:rowOff>47625</xdr:rowOff>
    </xdr:from>
    <xdr:to>
      <xdr:col>16</xdr:col>
      <xdr:colOff>552450</xdr:colOff>
      <xdr:row>16</xdr:row>
      <xdr:rowOff>76200</xdr:rowOff>
    </xdr:to>
    <xdr:sp macro="" textlink="">
      <xdr:nvSpPr>
        <xdr:cNvPr id="5" name="Rounded Rectangle 4">
          <a:hlinkClick xmlns:r="http://schemas.openxmlformats.org/officeDocument/2006/relationships" r:id="rId3"/>
          <a:extLst>
            <a:ext uri="{FF2B5EF4-FFF2-40B4-BE49-F238E27FC236}">
              <a16:creationId xmlns:a16="http://schemas.microsoft.com/office/drawing/2014/main" id="{00000000-0008-0000-0100-000005000000}"/>
            </a:ext>
          </a:extLst>
        </xdr:cNvPr>
        <xdr:cNvSpPr/>
      </xdr:nvSpPr>
      <xdr:spPr>
        <a:xfrm>
          <a:off x="7677150" y="2333625"/>
          <a:ext cx="2857500" cy="790575"/>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Soft. Input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409575</xdr:colOff>
      <xdr:row>5</xdr:row>
      <xdr:rowOff>0</xdr:rowOff>
    </xdr:from>
    <xdr:to>
      <xdr:col>15</xdr:col>
      <xdr:colOff>85725</xdr:colOff>
      <xdr:row>7</xdr:row>
      <xdr:rowOff>76200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8124825" y="1828800"/>
          <a:ext cx="2219325" cy="638175"/>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Data Input</a:t>
          </a:r>
        </a:p>
      </xdr:txBody>
    </xdr:sp>
    <xdr:clientData/>
  </xdr:twoCellAnchor>
  <xdr:twoCellAnchor>
    <xdr:from>
      <xdr:col>11</xdr:col>
      <xdr:colOff>419100</xdr:colOff>
      <xdr:row>8</xdr:row>
      <xdr:rowOff>76200</xdr:rowOff>
    </xdr:from>
    <xdr:to>
      <xdr:col>15</xdr:col>
      <xdr:colOff>66675</xdr:colOff>
      <xdr:row>11</xdr:row>
      <xdr:rowOff>85725</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8134350" y="2676525"/>
          <a:ext cx="2190750" cy="638175"/>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e1</a:t>
          </a:r>
          <a:r>
            <a:rPr lang="en-US" sz="2800" b="1" baseline="0"/>
            <a:t> &amp; e2 Cal.</a:t>
          </a:r>
          <a:endParaRPr lang="en-US" sz="2800" b="1"/>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12</xdr:col>
      <xdr:colOff>619125</xdr:colOff>
      <xdr:row>18</xdr:row>
      <xdr:rowOff>57150</xdr:rowOff>
    </xdr:from>
    <xdr:ext cx="65" cy="172227"/>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8905875" y="392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9</xdr:col>
      <xdr:colOff>371475</xdr:colOff>
      <xdr:row>18</xdr:row>
      <xdr:rowOff>142875</xdr:rowOff>
    </xdr:from>
    <xdr:ext cx="65" cy="172227"/>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6829425" y="4010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209550</xdr:colOff>
      <xdr:row>9</xdr:row>
      <xdr:rowOff>85725</xdr:rowOff>
    </xdr:from>
    <xdr:ext cx="428625" cy="2762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9239250" y="1800225"/>
              <a:ext cx="428625" cy="276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acc>
                      <m:accPr>
                        <m:chr m:val="̅"/>
                        <m:ctrlPr>
                          <a:rPr lang="en-US" sz="1600" b="1" i="1">
                            <a:latin typeface="Cambria Math" panose="02040503050406030204" pitchFamily="18" charset="0"/>
                            <a:ea typeface="Cambria Math" panose="02040503050406030204" pitchFamily="18" charset="0"/>
                          </a:rPr>
                        </m:ctrlPr>
                      </m:accPr>
                      <m:e>
                        <m:r>
                          <a:rPr lang="en-US" sz="1600" b="1" i="1">
                            <a:solidFill>
                              <a:schemeClr val="tx1"/>
                            </a:solidFill>
                            <a:effectLst/>
                            <a:latin typeface="Cambria Math" panose="02040503050406030204" pitchFamily="18" charset="0"/>
                            <a:ea typeface="+mn-ea"/>
                            <a:cs typeface="+mn-cs"/>
                          </a:rPr>
                          <m:t>∈</m:t>
                        </m:r>
                      </m:e>
                    </m:acc>
                  </m:oMath>
                </m:oMathPara>
              </a14:m>
              <a:endParaRPr lang="en-US" sz="1100" b="1"/>
            </a:p>
          </xdr:txBody>
        </xdr:sp>
      </mc:Choice>
      <mc:Fallback xmlns="">
        <xdr:sp macro="" textlink="">
          <xdr:nvSpPr>
            <xdr:cNvPr id="6" name="TextBox 5"/>
            <xdr:cNvSpPr txBox="1"/>
          </xdr:nvSpPr>
          <xdr:spPr>
            <a:xfrm>
              <a:off x="9239250" y="1800225"/>
              <a:ext cx="428625" cy="276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600" b="1" i="0">
                  <a:solidFill>
                    <a:schemeClr val="tx1"/>
                  </a:solidFill>
                  <a:effectLst/>
                  <a:latin typeface="+mn-lt"/>
                  <a:ea typeface="+mn-ea"/>
                  <a:cs typeface="+mn-cs"/>
                </a:rPr>
                <a:t>∈</a:t>
              </a:r>
              <a:r>
                <a:rPr lang="en-US" sz="1600" b="1" i="0">
                  <a:solidFill>
                    <a:schemeClr val="tx1"/>
                  </a:solidFill>
                  <a:effectLst/>
                  <a:latin typeface="Cambria Math" panose="02040503050406030204" pitchFamily="18" charset="0"/>
                  <a:ea typeface="Cambria Math" panose="02040503050406030204" pitchFamily="18" charset="0"/>
                  <a:cs typeface="+mn-cs"/>
                </a:rPr>
                <a:t> ̅</a:t>
              </a:r>
              <a:endParaRPr lang="en-US" sz="1100" b="1"/>
            </a:p>
          </xdr:txBody>
        </xdr:sp>
      </mc:Fallback>
    </mc:AlternateContent>
    <xdr:clientData/>
  </xdr:oneCellAnchor>
  <xdr:oneCellAnchor>
    <xdr:from>
      <xdr:col>6</xdr:col>
      <xdr:colOff>704850</xdr:colOff>
      <xdr:row>16</xdr:row>
      <xdr:rowOff>9525</xdr:rowOff>
    </xdr:from>
    <xdr:ext cx="200025" cy="200025"/>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5153025" y="3600450"/>
              <a:ext cx="200025"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14:m>
                <m:oMath xmlns:m="http://schemas.openxmlformats.org/officeDocument/2006/math">
                  <m:acc>
                    <m:accPr>
                      <m:chr m:val="̅"/>
                      <m:ctrlPr>
                        <a:rPr lang="en-US" sz="1200" b="1" i="1">
                          <a:latin typeface="Cambria Math" panose="02040503050406030204" pitchFamily="18" charset="0"/>
                          <a:ea typeface="Cambria Math" panose="02040503050406030204" pitchFamily="18" charset="0"/>
                        </a:rPr>
                      </m:ctrlPr>
                    </m:accPr>
                    <m:e>
                      <m:r>
                        <a:rPr lang="en-US" sz="1200" b="1" i="1">
                          <a:latin typeface="Cambria Math" panose="02040503050406030204" pitchFamily="18" charset="0"/>
                          <a:ea typeface="Cambria Math" panose="02040503050406030204" pitchFamily="18" charset="0"/>
                        </a:rPr>
                        <m:t>𝒃</m:t>
                      </m:r>
                    </m:e>
                  </m:acc>
                </m:oMath>
              </a14:m>
              <a:r>
                <a:rPr lang="en-US" sz="1100" b="1"/>
                <a:t>=</a:t>
              </a:r>
            </a:p>
          </xdr:txBody>
        </xdr:sp>
      </mc:Choice>
      <mc:Fallback xmlns="">
        <xdr:sp macro="" textlink="">
          <xdr:nvSpPr>
            <xdr:cNvPr id="7" name="TextBox 6"/>
            <xdr:cNvSpPr txBox="1"/>
          </xdr:nvSpPr>
          <xdr:spPr>
            <a:xfrm>
              <a:off x="5153025" y="3600450"/>
              <a:ext cx="200025"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b="1" i="0">
                  <a:latin typeface="Cambria Math" panose="02040503050406030204" pitchFamily="18" charset="0"/>
                  <a:ea typeface="Cambria Math" panose="02040503050406030204" pitchFamily="18" charset="0"/>
                </a:rPr>
                <a:t>𝒃 ̅</a:t>
              </a:r>
              <a:r>
                <a:rPr lang="en-US" sz="1100" b="1"/>
                <a:t>=</a:t>
              </a:r>
            </a:p>
          </xdr:txBody>
        </xdr:sp>
      </mc:Fallback>
    </mc:AlternateContent>
    <xdr:clientData/>
  </xdr:oneCellAnchor>
  <xdr:oneCellAnchor>
    <xdr:from>
      <xdr:col>8</xdr:col>
      <xdr:colOff>161925</xdr:colOff>
      <xdr:row>9</xdr:row>
      <xdr:rowOff>76200</xdr:rowOff>
    </xdr:from>
    <xdr:ext cx="170881" cy="269113"/>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6010275" y="1790700"/>
              <a:ext cx="170881" cy="269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600" b="1" i="1">
                            <a:latin typeface="Cambria Math" panose="02040503050406030204" pitchFamily="18" charset="0"/>
                          </a:rPr>
                        </m:ctrlPr>
                      </m:accPr>
                      <m:e>
                        <m:r>
                          <a:rPr lang="en-US" sz="1600" b="1" i="1">
                            <a:latin typeface="Cambria Math" panose="02040503050406030204" pitchFamily="18" charset="0"/>
                          </a:rPr>
                          <m:t>𝒃</m:t>
                        </m:r>
                      </m:e>
                    </m:acc>
                  </m:oMath>
                </m:oMathPara>
              </a14:m>
              <a:endParaRPr lang="en-US" sz="1600" b="1"/>
            </a:p>
          </xdr:txBody>
        </xdr:sp>
      </mc:Choice>
      <mc:Fallback xmlns="">
        <xdr:sp macro="" textlink="">
          <xdr:nvSpPr>
            <xdr:cNvPr id="8" name="TextBox 7"/>
            <xdr:cNvSpPr txBox="1"/>
          </xdr:nvSpPr>
          <xdr:spPr>
            <a:xfrm>
              <a:off x="6010275" y="1790700"/>
              <a:ext cx="170881" cy="269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600" b="1" i="0">
                  <a:latin typeface="Cambria Math" panose="02040503050406030204" pitchFamily="18" charset="0"/>
                </a:rPr>
                <a:t>𝒃 ̂</a:t>
              </a:r>
              <a:endParaRPr lang="en-US" sz="1600" b="1"/>
            </a:p>
          </xdr:txBody>
        </xdr:sp>
      </mc:Fallback>
    </mc:AlternateContent>
    <xdr:clientData/>
  </xdr:oneCellAnchor>
  <xdr:oneCellAnchor>
    <xdr:from>
      <xdr:col>4</xdr:col>
      <xdr:colOff>1057275</xdr:colOff>
      <xdr:row>3</xdr:row>
      <xdr:rowOff>161925</xdr:rowOff>
    </xdr:from>
    <xdr:ext cx="295275" cy="27622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0000000-0008-0000-0400-000009000000}"/>
                </a:ext>
              </a:extLst>
            </xdr:cNvPr>
            <xdr:cNvSpPr txBox="1"/>
          </xdr:nvSpPr>
          <xdr:spPr>
            <a:xfrm>
              <a:off x="3600450" y="733425"/>
              <a:ext cx="295275" cy="276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14:m>
                <m:oMath xmlns:m="http://schemas.openxmlformats.org/officeDocument/2006/math">
                  <m:acc>
                    <m:accPr>
                      <m:chr m:val="̅"/>
                      <m:ctrlPr>
                        <a:rPr lang="en-US" sz="1600" b="1" i="1">
                          <a:latin typeface="Cambria Math" panose="02040503050406030204" pitchFamily="18" charset="0"/>
                          <a:ea typeface="Cambria Math" panose="02040503050406030204" pitchFamily="18" charset="0"/>
                        </a:rPr>
                      </m:ctrlPr>
                    </m:accPr>
                    <m:e>
                      <m:r>
                        <a:rPr lang="en-US" sz="1600" b="1" i="1">
                          <a:solidFill>
                            <a:schemeClr val="tx1"/>
                          </a:solidFill>
                          <a:effectLst/>
                          <a:latin typeface="Cambria Math" panose="02040503050406030204" pitchFamily="18" charset="0"/>
                          <a:ea typeface="+mn-ea"/>
                          <a:cs typeface="+mn-cs"/>
                        </a:rPr>
                        <m:t>∈</m:t>
                      </m:r>
                    </m:e>
                  </m:acc>
                </m:oMath>
              </a14:m>
              <a:r>
                <a:rPr lang="en-US" sz="1100" b="1"/>
                <a:t>=</a:t>
              </a:r>
            </a:p>
          </xdr:txBody>
        </xdr:sp>
      </mc:Choice>
      <mc:Fallback xmlns="">
        <xdr:sp macro="" textlink="">
          <xdr:nvSpPr>
            <xdr:cNvPr id="9" name="TextBox 8"/>
            <xdr:cNvSpPr txBox="1"/>
          </xdr:nvSpPr>
          <xdr:spPr>
            <a:xfrm>
              <a:off x="3600450" y="733425"/>
              <a:ext cx="295275" cy="276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600" b="1" i="0">
                  <a:solidFill>
                    <a:schemeClr val="tx1"/>
                  </a:solidFill>
                  <a:effectLst/>
                  <a:latin typeface="Cambria Math" panose="02040503050406030204" pitchFamily="18" charset="0"/>
                  <a:ea typeface="+mn-ea"/>
                  <a:cs typeface="+mn-cs"/>
                </a:rPr>
                <a:t>∈</a:t>
              </a:r>
              <a:r>
                <a:rPr lang="en-US" sz="1600" b="1" i="0">
                  <a:solidFill>
                    <a:schemeClr val="tx1"/>
                  </a:solidFill>
                  <a:effectLst/>
                  <a:latin typeface="Cambria Math" panose="02040503050406030204" pitchFamily="18" charset="0"/>
                  <a:ea typeface="Cambria Math" panose="02040503050406030204" pitchFamily="18" charset="0"/>
                  <a:cs typeface="+mn-cs"/>
                </a:rPr>
                <a:t> ̅</a:t>
              </a:r>
              <a:r>
                <a:rPr lang="en-US" sz="1100" b="1"/>
                <a:t>=</a:t>
              </a:r>
            </a:p>
          </xdr:txBody>
        </xdr:sp>
      </mc:Fallback>
    </mc:AlternateContent>
    <xdr:clientData/>
  </xdr:oneCellAnchor>
  <xdr:oneCellAnchor>
    <xdr:from>
      <xdr:col>6</xdr:col>
      <xdr:colOff>657226</xdr:colOff>
      <xdr:row>17</xdr:row>
      <xdr:rowOff>176212</xdr:rowOff>
    </xdr:from>
    <xdr:ext cx="228600" cy="187615"/>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5105401" y="3957637"/>
              <a:ext cx="228600" cy="1876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sSub>
                    <m:sSubPr>
                      <m:ctrlPr>
                        <a:rPr lang="en-US" sz="1200" i="1">
                          <a:latin typeface="Cambria Math" panose="02040503050406030204" pitchFamily="18" charset="0"/>
                        </a:rPr>
                      </m:ctrlPr>
                    </m:sSubPr>
                    <m:e>
                      <m:acc>
                        <m:accPr>
                          <m:chr m:val="̅"/>
                          <m:ctrlPr>
                            <a:rPr lang="en-US" sz="1200" i="1">
                              <a:latin typeface="Cambria Math" panose="02040503050406030204" pitchFamily="18" charset="0"/>
                            </a:rPr>
                          </m:ctrlPr>
                        </m:accPr>
                        <m:e>
                          <m:r>
                            <a:rPr lang="en-US" sz="1200" b="0" i="1">
                              <a:latin typeface="Cambria Math" panose="02040503050406030204" pitchFamily="18" charset="0"/>
                            </a:rPr>
                            <m:t>𝑉</m:t>
                          </m:r>
                        </m:e>
                      </m:acc>
                    </m:e>
                    <m:sub>
                      <m:acc>
                        <m:accPr>
                          <m:chr m:val="̅"/>
                          <m:ctrlPr>
                            <a:rPr lang="en-US" sz="1200" i="1">
                              <a:latin typeface="Cambria Math" panose="02040503050406030204" pitchFamily="18" charset="0"/>
                            </a:rPr>
                          </m:ctrlPr>
                        </m:accPr>
                        <m:e>
                          <m:r>
                            <a:rPr lang="en-US" sz="1200" b="0" i="1">
                              <a:latin typeface="Cambria Math" panose="02040503050406030204" pitchFamily="18" charset="0"/>
                            </a:rPr>
                            <m:t>𝑧</m:t>
                          </m:r>
                        </m:e>
                      </m:acc>
                    </m:sub>
                  </m:sSub>
                </m:oMath>
              </a14:m>
              <a:r>
                <a:rPr lang="en-US" sz="1100"/>
                <a:t>=</a:t>
              </a:r>
            </a:p>
          </xdr:txBody>
        </xdr:sp>
      </mc:Choice>
      <mc:Fallback xmlns="">
        <xdr:sp macro="" textlink="">
          <xdr:nvSpPr>
            <xdr:cNvPr id="2" name="TextBox 1"/>
            <xdr:cNvSpPr txBox="1"/>
          </xdr:nvSpPr>
          <xdr:spPr>
            <a:xfrm>
              <a:off x="5105401" y="3957637"/>
              <a:ext cx="228600" cy="1876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200" b="0" i="0">
                  <a:latin typeface="Cambria Math" panose="02040503050406030204" pitchFamily="18" charset="0"/>
                </a:rPr>
                <a:t>𝑉 ̅_𝑧 ̅ </a:t>
              </a:r>
              <a:r>
                <a:rPr lang="en-US" sz="1100"/>
                <a:t>=</a:t>
              </a:r>
            </a:p>
          </xdr:txBody>
        </xdr:sp>
      </mc:Fallback>
    </mc:AlternateContent>
    <xdr:clientData/>
  </xdr:oneCellAnchor>
  <xdr:oneCellAnchor>
    <xdr:from>
      <xdr:col>10</xdr:col>
      <xdr:colOff>228600</xdr:colOff>
      <xdr:row>9</xdr:row>
      <xdr:rowOff>66675</xdr:rowOff>
    </xdr:from>
    <xdr:ext cx="200025" cy="200025"/>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8420100" y="1924050"/>
              <a:ext cx="200025"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
                  </m:oMathParaPr>
                  <m:oMath xmlns:m="http://schemas.openxmlformats.org/officeDocument/2006/math">
                    <m:acc>
                      <m:accPr>
                        <m:chr m:val="̅"/>
                        <m:ctrlPr>
                          <a:rPr lang="en-US" sz="1600" b="1" i="1">
                            <a:latin typeface="Cambria Math" panose="02040503050406030204" pitchFamily="18" charset="0"/>
                            <a:ea typeface="Cambria Math" panose="02040503050406030204" pitchFamily="18" charset="0"/>
                          </a:rPr>
                        </m:ctrlPr>
                      </m:accPr>
                      <m:e>
                        <m:r>
                          <a:rPr lang="en-US" sz="1600" b="1" i="1">
                            <a:latin typeface="Cambria Math" panose="02040503050406030204" pitchFamily="18" charset="0"/>
                            <a:ea typeface="Cambria Math" panose="02040503050406030204" pitchFamily="18" charset="0"/>
                          </a:rPr>
                          <m:t>𝒃</m:t>
                        </m:r>
                      </m:e>
                    </m:acc>
                  </m:oMath>
                </m:oMathPara>
              </a14:m>
              <a:endParaRPr lang="en-US" sz="1100" b="1"/>
            </a:p>
          </xdr:txBody>
        </xdr:sp>
      </mc:Choice>
      <mc:Fallback xmlns="">
        <xdr:sp macro="" textlink="">
          <xdr:nvSpPr>
            <xdr:cNvPr id="10" name="TextBox 9"/>
            <xdr:cNvSpPr txBox="1"/>
          </xdr:nvSpPr>
          <xdr:spPr>
            <a:xfrm>
              <a:off x="8420100" y="1924050"/>
              <a:ext cx="200025"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600" b="1" i="0">
                  <a:latin typeface="Cambria Math" panose="02040503050406030204" pitchFamily="18" charset="0"/>
                  <a:ea typeface="Cambria Math" panose="02040503050406030204" pitchFamily="18" charset="0"/>
                </a:rPr>
                <a:t>𝒃 ̅</a:t>
              </a:r>
              <a:endParaRPr lang="en-US" sz="1100" b="1"/>
            </a:p>
          </xdr:txBody>
        </xdr:sp>
      </mc:Fallback>
    </mc:AlternateContent>
    <xdr:clientData/>
  </xdr:oneCellAnchor>
  <xdr:twoCellAnchor editAs="oneCell">
    <xdr:from>
      <xdr:col>8</xdr:col>
      <xdr:colOff>157844</xdr:colOff>
      <xdr:row>17</xdr:row>
      <xdr:rowOff>99334</xdr:rowOff>
    </xdr:from>
    <xdr:to>
      <xdr:col>9</xdr:col>
      <xdr:colOff>673554</xdr:colOff>
      <xdr:row>19</xdr:row>
      <xdr:rowOff>72162</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1"/>
        <a:srcRect b="11970"/>
        <a:stretch/>
      </xdr:blipFill>
      <xdr:spPr>
        <a:xfrm>
          <a:off x="6838951" y="3875316"/>
          <a:ext cx="1128032" cy="353828"/>
        </a:xfrm>
        <a:prstGeom prst="rect">
          <a:avLst/>
        </a:prstGeom>
      </xdr:spPr>
    </xdr:pic>
    <xdr:clientData/>
  </xdr:twoCellAnchor>
  <xdr:twoCellAnchor editAs="oneCell">
    <xdr:from>
      <xdr:col>8</xdr:col>
      <xdr:colOff>478971</xdr:colOff>
      <xdr:row>22</xdr:row>
      <xdr:rowOff>1362</xdr:rowOff>
    </xdr:from>
    <xdr:to>
      <xdr:col>10</xdr:col>
      <xdr:colOff>571500</xdr:colOff>
      <xdr:row>23</xdr:row>
      <xdr:rowOff>6860</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2"/>
        <a:srcRect b="72766"/>
        <a:stretch/>
      </xdr:blipFill>
      <xdr:spPr>
        <a:xfrm>
          <a:off x="7160078" y="4348844"/>
          <a:ext cx="1616529" cy="195998"/>
        </a:xfrm>
        <a:prstGeom prst="rect">
          <a:avLst/>
        </a:prstGeom>
      </xdr:spPr>
    </xdr:pic>
    <xdr:clientData/>
  </xdr:twoCellAnchor>
  <xdr:twoCellAnchor editAs="oneCell">
    <xdr:from>
      <xdr:col>8</xdr:col>
      <xdr:colOff>476250</xdr:colOff>
      <xdr:row>23</xdr:row>
      <xdr:rowOff>34018</xdr:rowOff>
    </xdr:from>
    <xdr:to>
      <xdr:col>10</xdr:col>
      <xdr:colOff>551089</xdr:colOff>
      <xdr:row>23</xdr:row>
      <xdr:rowOff>183484</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rotWithShape="1">
        <a:blip xmlns:r="http://schemas.openxmlformats.org/officeDocument/2006/relationships" r:embed="rId2"/>
        <a:srcRect t="39451" b="39551"/>
        <a:stretch/>
      </xdr:blipFill>
      <xdr:spPr>
        <a:xfrm>
          <a:off x="7157357" y="4572000"/>
          <a:ext cx="1598839" cy="149466"/>
        </a:xfrm>
        <a:prstGeom prst="rect">
          <a:avLst/>
        </a:prstGeom>
      </xdr:spPr>
    </xdr:pic>
    <xdr:clientData/>
  </xdr:twoCellAnchor>
  <xdr:twoCellAnchor editAs="oneCell">
    <xdr:from>
      <xdr:col>8</xdr:col>
      <xdr:colOff>462645</xdr:colOff>
      <xdr:row>24</xdr:row>
      <xdr:rowOff>27215</xdr:rowOff>
    </xdr:from>
    <xdr:to>
      <xdr:col>10</xdr:col>
      <xdr:colOff>488097</xdr:colOff>
      <xdr:row>24</xdr:row>
      <xdr:rowOff>163286</xdr:rowOff>
    </xdr:to>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rotWithShape="1">
        <a:blip xmlns:r="http://schemas.openxmlformats.org/officeDocument/2006/relationships" r:embed="rId2"/>
        <a:srcRect t="74448" b="5827"/>
        <a:stretch/>
      </xdr:blipFill>
      <xdr:spPr>
        <a:xfrm>
          <a:off x="7143752" y="4755697"/>
          <a:ext cx="1549452" cy="136071"/>
        </a:xfrm>
        <a:prstGeom prst="rect">
          <a:avLst/>
        </a:prstGeom>
      </xdr:spPr>
    </xdr:pic>
    <xdr:clientData/>
  </xdr:twoCellAnchor>
  <xdr:twoCellAnchor editAs="oneCell">
    <xdr:from>
      <xdr:col>13</xdr:col>
      <xdr:colOff>1</xdr:colOff>
      <xdr:row>21</xdr:row>
      <xdr:rowOff>163143</xdr:rowOff>
    </xdr:from>
    <xdr:to>
      <xdr:col>14</xdr:col>
      <xdr:colOff>1313763</xdr:colOff>
      <xdr:row>24</xdr:row>
      <xdr:rowOff>137930</xdr:rowOff>
    </xdr:to>
    <xdr:pic>
      <xdr:nvPicPr>
        <xdr:cNvPr id="14" name="Picture 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3"/>
        <a:stretch>
          <a:fillRect/>
        </a:stretch>
      </xdr:blipFill>
      <xdr:spPr>
        <a:xfrm>
          <a:off x="10167939" y="4719268"/>
          <a:ext cx="2107512" cy="554225"/>
        </a:xfrm>
        <a:prstGeom prst="rect">
          <a:avLst/>
        </a:prstGeom>
      </xdr:spPr>
    </xdr:pic>
    <xdr:clientData/>
  </xdr:twoCellAnchor>
  <xdr:twoCellAnchor editAs="oneCell">
    <xdr:from>
      <xdr:col>8</xdr:col>
      <xdr:colOff>39688</xdr:colOff>
      <xdr:row>25</xdr:row>
      <xdr:rowOff>107856</xdr:rowOff>
    </xdr:from>
    <xdr:to>
      <xdr:col>9</xdr:col>
      <xdr:colOff>261737</xdr:colOff>
      <xdr:row>27</xdr:row>
      <xdr:rowOff>118967</xdr:rowOff>
    </xdr:to>
    <xdr:pic>
      <xdr:nvPicPr>
        <xdr:cNvPr id="15" name="Picture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4"/>
        <a:stretch>
          <a:fillRect/>
        </a:stretch>
      </xdr:blipFill>
      <xdr:spPr>
        <a:xfrm>
          <a:off x="6715126" y="5433919"/>
          <a:ext cx="833236" cy="392111"/>
        </a:xfrm>
        <a:prstGeom prst="rect">
          <a:avLst/>
        </a:prstGeom>
      </xdr:spPr>
    </xdr:pic>
    <xdr:clientData/>
  </xdr:twoCellAnchor>
  <xdr:twoCellAnchor editAs="oneCell">
    <xdr:from>
      <xdr:col>8</xdr:col>
      <xdr:colOff>63500</xdr:colOff>
      <xdr:row>27</xdr:row>
      <xdr:rowOff>142876</xdr:rowOff>
    </xdr:from>
    <xdr:to>
      <xdr:col>9</xdr:col>
      <xdr:colOff>713773</xdr:colOff>
      <xdr:row>29</xdr:row>
      <xdr:rowOff>111125</xdr:rowOff>
    </xdr:to>
    <xdr:pic>
      <xdr:nvPicPr>
        <xdr:cNvPr id="16" name="Picture 15">
          <a:extLst>
            <a:ext uri="{FF2B5EF4-FFF2-40B4-BE49-F238E27FC236}">
              <a16:creationId xmlns:a16="http://schemas.microsoft.com/office/drawing/2014/main" id="{00000000-0008-0000-0400-000010000000}"/>
            </a:ext>
          </a:extLst>
        </xdr:cNvPr>
        <xdr:cNvPicPr>
          <a:picLocks noChangeAspect="1"/>
        </xdr:cNvPicPr>
      </xdr:nvPicPr>
      <xdr:blipFill rotWithShape="1">
        <a:blip xmlns:r="http://schemas.openxmlformats.org/officeDocument/2006/relationships" r:embed="rId5"/>
        <a:srcRect b="8132"/>
        <a:stretch/>
      </xdr:blipFill>
      <xdr:spPr>
        <a:xfrm>
          <a:off x="6738938" y="5849939"/>
          <a:ext cx="1261460" cy="349249"/>
        </a:xfrm>
        <a:prstGeom prst="rect">
          <a:avLst/>
        </a:prstGeom>
      </xdr:spPr>
    </xdr:pic>
    <xdr:clientData/>
  </xdr:twoCellAnchor>
  <xdr:twoCellAnchor editAs="oneCell">
    <xdr:from>
      <xdr:col>8</xdr:col>
      <xdr:colOff>79375</xdr:colOff>
      <xdr:row>29</xdr:row>
      <xdr:rowOff>111124</xdr:rowOff>
    </xdr:from>
    <xdr:to>
      <xdr:col>11</xdr:col>
      <xdr:colOff>28743</xdr:colOff>
      <xdr:row>31</xdr:row>
      <xdr:rowOff>63499</xdr:rowOff>
    </xdr:to>
    <xdr:pic>
      <xdr:nvPicPr>
        <xdr:cNvPr id="17" name="Picture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6"/>
        <a:stretch>
          <a:fillRect/>
        </a:stretch>
      </xdr:blipFill>
      <xdr:spPr>
        <a:xfrm>
          <a:off x="6754813" y="6199187"/>
          <a:ext cx="2084555" cy="333375"/>
        </a:xfrm>
        <a:prstGeom prst="rect">
          <a:avLst/>
        </a:prstGeom>
      </xdr:spPr>
    </xdr:pic>
    <xdr:clientData/>
  </xdr:twoCellAnchor>
  <xdr:twoCellAnchor editAs="oneCell">
    <xdr:from>
      <xdr:col>8</xdr:col>
      <xdr:colOff>87313</xdr:colOff>
      <xdr:row>31</xdr:row>
      <xdr:rowOff>134938</xdr:rowOff>
    </xdr:from>
    <xdr:to>
      <xdr:col>11</xdr:col>
      <xdr:colOff>285752</xdr:colOff>
      <xdr:row>33</xdr:row>
      <xdr:rowOff>7426</xdr:rowOff>
    </xdr:to>
    <xdr:pic>
      <xdr:nvPicPr>
        <xdr:cNvPr id="18" name="Picture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7"/>
        <a:stretch>
          <a:fillRect/>
        </a:stretch>
      </xdr:blipFill>
      <xdr:spPr>
        <a:xfrm>
          <a:off x="6762751" y="6604001"/>
          <a:ext cx="2333626" cy="301113"/>
        </a:xfrm>
        <a:prstGeom prst="rect">
          <a:avLst/>
        </a:prstGeom>
      </xdr:spPr>
    </xdr:pic>
    <xdr:clientData/>
  </xdr:twoCellAnchor>
  <xdr:twoCellAnchor editAs="oneCell">
    <xdr:from>
      <xdr:col>10</xdr:col>
      <xdr:colOff>261937</xdr:colOff>
      <xdr:row>32</xdr:row>
      <xdr:rowOff>181022</xdr:rowOff>
    </xdr:from>
    <xdr:to>
      <xdr:col>14</xdr:col>
      <xdr:colOff>208929</xdr:colOff>
      <xdr:row>35</xdr:row>
      <xdr:rowOff>103188</xdr:rowOff>
    </xdr:to>
    <xdr:pic>
      <xdr:nvPicPr>
        <xdr:cNvPr id="19" name="Picture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8"/>
        <a:stretch>
          <a:fillRect/>
        </a:stretch>
      </xdr:blipFill>
      <xdr:spPr>
        <a:xfrm>
          <a:off x="8461375" y="6840585"/>
          <a:ext cx="2709242" cy="6365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1%20Earth%20Quake%20Analysis%20Excel%20As%20per%20BNBC-2020,%20ASCE%207-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ideo &amp; Instruction "/>
      <sheetName val="EQ Analysis"/>
      <sheetName val="Sheet2"/>
      <sheetName val="Sheet3"/>
    </sheetNames>
    <sheetDataSet>
      <sheetData sheetId="0" refreshError="1"/>
      <sheetData sheetId="1" refreshError="1"/>
      <sheetData sheetId="2" refreshError="1"/>
      <sheetData sheetId="3">
        <row r="39">
          <cell r="B39" t="str">
            <v>BEARING_WALL_SYSTEMS_no_frame</v>
          </cell>
        </row>
        <row r="40">
          <cell r="B40" t="str">
            <v>BUILDING_FRAME_SYSTEMS_with_bracing_or_shear_wall</v>
          </cell>
        </row>
        <row r="41">
          <cell r="B41" t="str">
            <v>MOMENT_RESISTING_FRAME_SYSTEMS_no_shear_wall</v>
          </cell>
        </row>
        <row r="42">
          <cell r="B42" t="str">
            <v>DUAL_SYSTEMS_SPECIAL_MOMENT_FRAMES</v>
          </cell>
        </row>
        <row r="43">
          <cell r="B43" t="str">
            <v>DUAL_SYSTEMS_INTERMEDIATE_MOMENT_FRAMES</v>
          </cell>
        </row>
        <row r="44">
          <cell r="B44" t="str">
            <v>DUAL_SHEAR_WALL_FRAME_SYSTEM</v>
          </cell>
        </row>
        <row r="45">
          <cell r="B45" t="str">
            <v xml:space="preserve">STEEL_SYSTEMS_NOT_SPECIFICALLY_DETAILED </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youtube.com/@qlearnify-bn" TargetMode="External"/><Relationship Id="rId7" Type="http://schemas.openxmlformats.org/officeDocument/2006/relationships/hyperlink" Target="https://youtube.com/playlist?list=PLxle8F-wJI7P43K0GljphED4I5TRXu6Zx&amp;si=el-Lrxm5mB1Vmgcf" TargetMode="External"/><Relationship Id="rId2" Type="http://schemas.openxmlformats.org/officeDocument/2006/relationships/hyperlink" Target="https://www.facebook.com/qlearnify" TargetMode="External"/><Relationship Id="rId1" Type="http://schemas.openxmlformats.org/officeDocument/2006/relationships/hyperlink" Target="https://qlearnify.com/" TargetMode="External"/><Relationship Id="rId6" Type="http://schemas.openxmlformats.org/officeDocument/2006/relationships/hyperlink" Target="https://youtube.com/playlist?list=PLTscI_CLWNfB_1x6_7zylwLZWo7mKypCq&amp;si=QzFh_rJa61GU0YNW" TargetMode="External"/><Relationship Id="rId5" Type="http://schemas.openxmlformats.org/officeDocument/2006/relationships/hyperlink" Target="https://www.linkedin.com/company/qlearnify/" TargetMode="External"/><Relationship Id="rId4" Type="http://schemas.openxmlformats.org/officeDocument/2006/relationships/hyperlink" Target="https://wa.me/8801511250108"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M36"/>
  <sheetViews>
    <sheetView showGridLines="0" workbookViewId="0">
      <selection activeCell="P23" sqref="P23"/>
    </sheetView>
  </sheetViews>
  <sheetFormatPr defaultRowHeight="15" x14ac:dyDescent="0.25"/>
  <cols>
    <col min="1" max="1" width="9.140625" style="95" customWidth="1"/>
    <col min="2" max="16384" width="9.140625" style="95"/>
  </cols>
  <sheetData>
    <row r="14" spans="2:10" ht="15" customHeight="1" x14ac:dyDescent="0.25">
      <c r="B14" s="100" t="s">
        <v>342</v>
      </c>
      <c r="C14" s="100"/>
      <c r="D14" s="100"/>
      <c r="E14" s="100"/>
      <c r="F14" s="100"/>
      <c r="G14" s="100"/>
      <c r="H14" s="100"/>
      <c r="I14" s="100"/>
      <c r="J14" s="100"/>
    </row>
    <row r="15" spans="2:10" ht="15" customHeight="1" x14ac:dyDescent="0.25">
      <c r="B15" s="100"/>
      <c r="C15" s="100"/>
      <c r="D15" s="100"/>
      <c r="E15" s="100"/>
      <c r="F15" s="100"/>
      <c r="G15" s="100"/>
      <c r="H15" s="100"/>
      <c r="I15" s="100"/>
      <c r="J15" s="100"/>
    </row>
    <row r="16" spans="2:10" x14ac:dyDescent="0.25">
      <c r="B16" s="100"/>
      <c r="C16" s="100"/>
      <c r="D16" s="100"/>
      <c r="E16" s="100"/>
      <c r="F16" s="100"/>
      <c r="G16" s="100"/>
      <c r="H16" s="100"/>
      <c r="I16" s="100"/>
      <c r="J16" s="100"/>
    </row>
    <row r="17" spans="2:10" x14ac:dyDescent="0.25">
      <c r="C17" s="99" t="s">
        <v>343</v>
      </c>
      <c r="D17" s="99"/>
      <c r="E17" s="98" t="s">
        <v>344</v>
      </c>
      <c r="F17" s="98"/>
      <c r="G17" s="98"/>
      <c r="H17" s="98"/>
      <c r="I17" s="98"/>
      <c r="J17" s="98"/>
    </row>
    <row r="18" spans="2:10" x14ac:dyDescent="0.25">
      <c r="C18" s="99" t="s">
        <v>345</v>
      </c>
      <c r="D18" s="99"/>
      <c r="E18" s="98" t="s">
        <v>346</v>
      </c>
      <c r="F18" s="98"/>
      <c r="G18" s="98"/>
      <c r="H18" s="98"/>
      <c r="I18" s="98"/>
      <c r="J18" s="98"/>
    </row>
    <row r="19" spans="2:10" x14ac:dyDescent="0.25">
      <c r="C19" s="99" t="s">
        <v>347</v>
      </c>
      <c r="D19" s="99"/>
      <c r="E19" s="98" t="s">
        <v>348</v>
      </c>
      <c r="F19" s="98"/>
      <c r="G19" s="98"/>
      <c r="H19" s="98"/>
      <c r="I19" s="98"/>
      <c r="J19" s="98"/>
    </row>
    <row r="20" spans="2:10" x14ac:dyDescent="0.25">
      <c r="C20" s="99" t="s">
        <v>349</v>
      </c>
      <c r="D20" s="99"/>
      <c r="E20" s="98" t="s">
        <v>350</v>
      </c>
      <c r="F20" s="98"/>
      <c r="G20" s="98"/>
      <c r="H20" s="98"/>
      <c r="I20" s="98"/>
      <c r="J20" s="98"/>
    </row>
    <row r="21" spans="2:10" x14ac:dyDescent="0.25">
      <c r="C21" s="99" t="s">
        <v>351</v>
      </c>
      <c r="D21" s="99"/>
      <c r="E21" s="98" t="s">
        <v>352</v>
      </c>
      <c r="F21" s="98"/>
      <c r="G21" s="98"/>
      <c r="H21" s="98"/>
      <c r="I21" s="98"/>
      <c r="J21" s="98"/>
    </row>
    <row r="22" spans="2:10" x14ac:dyDescent="0.25">
      <c r="C22" s="99" t="s">
        <v>353</v>
      </c>
      <c r="D22" s="99"/>
      <c r="E22" s="98" t="s">
        <v>354</v>
      </c>
      <c r="F22" s="98"/>
      <c r="G22" s="98"/>
      <c r="H22" s="98"/>
      <c r="I22" s="98"/>
      <c r="J22" s="98"/>
    </row>
    <row r="24" spans="2:10" ht="15" customHeight="1" x14ac:dyDescent="0.25">
      <c r="B24" s="97" t="s">
        <v>355</v>
      </c>
      <c r="C24" s="97"/>
      <c r="D24" s="97"/>
      <c r="E24" s="97"/>
      <c r="F24" s="97"/>
      <c r="G24" s="97"/>
      <c r="H24" s="97"/>
      <c r="I24" s="97"/>
      <c r="J24" s="97"/>
    </row>
    <row r="25" spans="2:10" ht="15" customHeight="1" x14ac:dyDescent="0.25">
      <c r="B25" s="97"/>
      <c r="C25" s="97"/>
      <c r="D25" s="97"/>
      <c r="E25" s="97"/>
      <c r="F25" s="97"/>
      <c r="G25" s="97"/>
      <c r="H25" s="97"/>
      <c r="I25" s="97"/>
      <c r="J25" s="97"/>
    </row>
    <row r="26" spans="2:10" ht="15" customHeight="1" x14ac:dyDescent="0.25">
      <c r="B26" s="97"/>
      <c r="C26" s="97"/>
      <c r="D26" s="97"/>
      <c r="E26" s="97"/>
      <c r="F26" s="97"/>
      <c r="G26" s="97"/>
      <c r="H26" s="97"/>
      <c r="I26" s="97"/>
      <c r="J26" s="97"/>
    </row>
    <row r="27" spans="2:10" x14ac:dyDescent="0.25">
      <c r="B27" s="97"/>
      <c r="C27" s="97"/>
      <c r="D27" s="97"/>
      <c r="E27" s="97"/>
      <c r="F27" s="97"/>
      <c r="G27" s="97"/>
      <c r="H27" s="97"/>
      <c r="I27" s="97"/>
      <c r="J27" s="97"/>
    </row>
    <row r="34" spans="1:13" ht="15.75" x14ac:dyDescent="0.25">
      <c r="A34" s="96" t="s">
        <v>356</v>
      </c>
      <c r="B34" s="98" t="s">
        <v>357</v>
      </c>
      <c r="C34" s="98"/>
      <c r="D34" s="98"/>
      <c r="E34" s="98"/>
      <c r="F34" s="98"/>
      <c r="G34" s="98"/>
      <c r="H34" s="98"/>
      <c r="I34" s="98"/>
      <c r="J34" s="98"/>
      <c r="K34" s="98"/>
      <c r="L34" s="98"/>
      <c r="M34" s="98"/>
    </row>
    <row r="35" spans="1:13" ht="15.75" x14ac:dyDescent="0.25">
      <c r="A35" s="96"/>
    </row>
    <row r="36" spans="1:13" ht="15.75" x14ac:dyDescent="0.25">
      <c r="A36" s="96" t="s">
        <v>358</v>
      </c>
      <c r="B36" s="98" t="s">
        <v>359</v>
      </c>
      <c r="C36" s="98"/>
      <c r="D36" s="98"/>
      <c r="E36" s="98"/>
      <c r="F36" s="98"/>
      <c r="G36" s="98"/>
      <c r="H36" s="98"/>
      <c r="I36" s="98"/>
      <c r="J36" s="98"/>
      <c r="K36" s="98"/>
      <c r="L36" s="98"/>
      <c r="M36" s="98"/>
    </row>
  </sheetData>
  <sheetProtection algorithmName="SHA-512" hashValue="rfeIbBV7NLFdyIXPZC4s9kbWqVDMnr+LcrbThaX/ybpiDWZQoiUo+UEpF5IU1mFIatIU265ZUTsFRcOpmV9p1g==" saltValue="YBsPkQa+NHD1rGZ9QybrdA==" spinCount="100000" sheet="1" objects="1" scenarios="1"/>
  <mergeCells count="16">
    <mergeCell ref="C19:D19"/>
    <mergeCell ref="E19:J19"/>
    <mergeCell ref="B14:J16"/>
    <mergeCell ref="C17:D17"/>
    <mergeCell ref="E17:J17"/>
    <mergeCell ref="C18:D18"/>
    <mergeCell ref="E18:J18"/>
    <mergeCell ref="B24:J27"/>
    <mergeCell ref="B34:M34"/>
    <mergeCell ref="B36:M36"/>
    <mergeCell ref="C20:D20"/>
    <mergeCell ref="E20:J20"/>
    <mergeCell ref="C21:D21"/>
    <mergeCell ref="E21:J21"/>
    <mergeCell ref="C22:D22"/>
    <mergeCell ref="E22:J22"/>
  </mergeCells>
  <hyperlinks>
    <hyperlink ref="E17" r:id="rId1"/>
    <hyperlink ref="E18" r:id="rId2"/>
    <hyperlink ref="E19" r:id="rId3"/>
    <hyperlink ref="E21" r:id="rId4"/>
    <hyperlink ref="E22" r:id="rId5"/>
    <hyperlink ref="B36" r:id="rId6"/>
    <hyperlink ref="B34" r:id="rId7"/>
  </hyperlinks>
  <pageMargins left="0.7" right="0.7" top="0.75" bottom="0.75" header="0.3" footer="0.3"/>
  <pageSetup orientation="portrait" horizontalDpi="1200" verticalDpi="1200" r:id="rId8"/>
  <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Y238"/>
  <sheetViews>
    <sheetView workbookViewId="0">
      <selection activeCell="C13" sqref="C13"/>
    </sheetView>
  </sheetViews>
  <sheetFormatPr defaultRowHeight="15" x14ac:dyDescent="0.25"/>
  <cols>
    <col min="1" max="1" width="6.140625" style="53" customWidth="1"/>
    <col min="2" max="2" width="24.28515625" style="53" customWidth="1"/>
    <col min="3" max="3" width="18.42578125" style="53" customWidth="1"/>
    <col min="4" max="4" width="9.28515625" style="53" customWidth="1"/>
    <col min="5" max="6" width="10.5703125" style="53" customWidth="1"/>
    <col min="7" max="10" width="9.140625" style="53"/>
    <col min="11" max="11" width="11.5703125" style="53" customWidth="1"/>
    <col min="12" max="12" width="11.42578125" style="53" hidden="1" customWidth="1"/>
    <col min="13" max="13" width="5.28515625" style="53" hidden="1" customWidth="1"/>
    <col min="14" max="14" width="7.28515625" style="53" hidden="1" customWidth="1"/>
    <col min="15" max="15" width="0.140625" style="53" hidden="1" customWidth="1"/>
    <col min="16" max="16" width="11.42578125" style="53" hidden="1" customWidth="1"/>
    <col min="17" max="17" width="0.140625" style="53" hidden="1" customWidth="1"/>
    <col min="18" max="18" width="10.7109375" style="53" hidden="1" customWidth="1"/>
    <col min="19" max="19" width="10.85546875" style="53" hidden="1" customWidth="1"/>
    <col min="20" max="20" width="9.28515625" style="53" hidden="1" customWidth="1"/>
    <col min="21" max="21" width="9.140625" style="53" hidden="1" customWidth="1"/>
    <col min="22" max="22" width="12.140625" style="53" hidden="1" customWidth="1"/>
    <col min="23" max="23" width="8.5703125" style="53" hidden="1" customWidth="1"/>
    <col min="24" max="24" width="13.5703125" style="53" hidden="1" customWidth="1"/>
    <col min="25" max="25" width="13.7109375" style="53" hidden="1" customWidth="1"/>
    <col min="26" max="26" width="9" style="53" customWidth="1"/>
    <col min="27" max="16384" width="9.140625" style="53"/>
  </cols>
  <sheetData>
    <row r="3" spans="2:20" ht="15.75" thickBot="1" x14ac:dyDescent="0.3"/>
    <row r="4" spans="2:20" ht="16.5" thickBot="1" x14ac:dyDescent="0.3">
      <c r="B4" s="101" t="s">
        <v>136</v>
      </c>
      <c r="C4" s="102"/>
      <c r="D4" s="102"/>
      <c r="E4" s="102"/>
      <c r="F4" s="103"/>
    </row>
    <row r="5" spans="2:20" x14ac:dyDescent="0.25">
      <c r="N5" s="53" t="s">
        <v>151</v>
      </c>
    </row>
    <row r="6" spans="2:20" x14ac:dyDescent="0.25">
      <c r="B6" s="53" t="s">
        <v>137</v>
      </c>
      <c r="C6" s="50" t="s">
        <v>32</v>
      </c>
      <c r="D6" s="53" t="s">
        <v>141</v>
      </c>
      <c r="N6" s="53" t="s">
        <v>161</v>
      </c>
      <c r="O6" s="54">
        <f>IF($C$14="Gable",DEGREES(ATAN(($C$9-$C$10)/($C$11/2))),DEGREES(ATAN(($C$9-$C$10)/($C$11))))</f>
        <v>0</v>
      </c>
      <c r="R6" s="55" t="s">
        <v>331</v>
      </c>
      <c r="S6" s="53" t="s">
        <v>332</v>
      </c>
    </row>
    <row r="7" spans="2:20" x14ac:dyDescent="0.25">
      <c r="B7" s="53" t="s">
        <v>138</v>
      </c>
      <c r="C7" s="50" t="s">
        <v>78</v>
      </c>
      <c r="D7" s="53" t="s">
        <v>140</v>
      </c>
      <c r="N7" s="53" t="s">
        <v>163</v>
      </c>
      <c r="O7" s="54">
        <f>(IF($C$23&lt;=10,$C$10,$C$10+($C$9-$C$10)/2))/3.28</f>
        <v>33.536585365853661</v>
      </c>
      <c r="P7" s="53" t="s">
        <v>123</v>
      </c>
      <c r="R7" s="56">
        <f>S11</f>
        <v>89</v>
      </c>
      <c r="S7" s="56">
        <f>R8</f>
        <v>76</v>
      </c>
    </row>
    <row r="8" spans="2:20" x14ac:dyDescent="0.25">
      <c r="B8" s="53" t="s">
        <v>139</v>
      </c>
      <c r="C8" s="50" t="s">
        <v>112</v>
      </c>
      <c r="D8" s="53" t="s">
        <v>150</v>
      </c>
      <c r="N8" s="53" t="s">
        <v>165</v>
      </c>
      <c r="O8" s="55">
        <f>IF(C11&lt;C12,C11,C12)</f>
        <v>76</v>
      </c>
      <c r="P8" s="53" t="s">
        <v>164</v>
      </c>
      <c r="R8" s="57">
        <f>S10</f>
        <v>76</v>
      </c>
      <c r="S8" s="57">
        <f>R7</f>
        <v>89</v>
      </c>
    </row>
    <row r="9" spans="2:20" x14ac:dyDescent="0.25">
      <c r="B9" s="53" t="s">
        <v>142</v>
      </c>
      <c r="C9" s="50">
        <v>110</v>
      </c>
      <c r="D9" s="53" t="s">
        <v>143</v>
      </c>
      <c r="O9" s="55"/>
    </row>
    <row r="10" spans="2:20" x14ac:dyDescent="0.25">
      <c r="B10" s="53" t="s">
        <v>144</v>
      </c>
      <c r="C10" s="50">
        <v>110</v>
      </c>
      <c r="D10" s="53" t="s">
        <v>145</v>
      </c>
      <c r="N10" s="53" t="s">
        <v>166</v>
      </c>
      <c r="O10" s="54">
        <f>C9/3.28</f>
        <v>33.536585365853661</v>
      </c>
      <c r="P10" s="53" t="s">
        <v>123</v>
      </c>
      <c r="Q10" s="53" t="s">
        <v>303</v>
      </c>
      <c r="R10" s="53" t="s">
        <v>169</v>
      </c>
      <c r="S10" s="53">
        <f>IF($C$13="Normal",$C$11,$C$12)</f>
        <v>76</v>
      </c>
      <c r="T10" s="53" t="s">
        <v>308</v>
      </c>
    </row>
    <row r="11" spans="2:20" x14ac:dyDescent="0.25">
      <c r="B11" s="53" t="s">
        <v>306</v>
      </c>
      <c r="C11" s="50">
        <v>89</v>
      </c>
      <c r="D11" s="53" t="s">
        <v>325</v>
      </c>
      <c r="N11" s="53" t="s">
        <v>167</v>
      </c>
      <c r="O11" s="54">
        <f t="shared" ref="O11" si="0">C10/3.28</f>
        <v>33.536585365853661</v>
      </c>
      <c r="P11" s="53" t="s">
        <v>123</v>
      </c>
      <c r="Q11" s="53" t="s">
        <v>304</v>
      </c>
      <c r="R11" s="53" t="s">
        <v>168</v>
      </c>
      <c r="S11" s="53">
        <f>IF($C$13="Normal",$C$12,$C$11)</f>
        <v>89</v>
      </c>
      <c r="T11" s="53" t="s">
        <v>308</v>
      </c>
    </row>
    <row r="12" spans="2:20" x14ac:dyDescent="0.25">
      <c r="B12" s="53" t="s">
        <v>307</v>
      </c>
      <c r="C12" s="50">
        <v>76</v>
      </c>
      <c r="D12" s="53" t="s">
        <v>326</v>
      </c>
      <c r="N12" s="53" t="s">
        <v>168</v>
      </c>
      <c r="O12" s="54">
        <f>S11/3.28</f>
        <v>27.134146341463417</v>
      </c>
      <c r="P12" s="53" t="s">
        <v>123</v>
      </c>
    </row>
    <row r="13" spans="2:20" x14ac:dyDescent="0.25">
      <c r="B13" s="53" t="s">
        <v>302</v>
      </c>
      <c r="C13" s="50" t="s">
        <v>304</v>
      </c>
      <c r="D13" s="53" t="s">
        <v>305</v>
      </c>
      <c r="N13" s="53" t="s">
        <v>169</v>
      </c>
      <c r="O13" s="54">
        <f>S10/3.28</f>
        <v>23.170731707317074</v>
      </c>
      <c r="P13" s="53" t="s">
        <v>123</v>
      </c>
    </row>
    <row r="14" spans="2:20" x14ac:dyDescent="0.25">
      <c r="B14" s="53" t="s">
        <v>149</v>
      </c>
      <c r="C14" s="50" t="s">
        <v>146</v>
      </c>
      <c r="N14" s="53" t="s">
        <v>176</v>
      </c>
      <c r="O14" s="54">
        <f>C24/3.28</f>
        <v>33.536585365853661</v>
      </c>
      <c r="P14" s="53" t="s">
        <v>123</v>
      </c>
    </row>
    <row r="15" spans="2:20" x14ac:dyDescent="0.25">
      <c r="B15" s="53" t="s">
        <v>222</v>
      </c>
      <c r="C15" s="50" t="s">
        <v>230</v>
      </c>
      <c r="N15" s="53" t="s">
        <v>172</v>
      </c>
      <c r="O15" s="55"/>
    </row>
    <row r="16" spans="2:20" x14ac:dyDescent="0.25">
      <c r="B16" s="53" t="s">
        <v>339</v>
      </c>
      <c r="C16" s="50">
        <v>0.05</v>
      </c>
      <c r="D16" s="53" t="s">
        <v>159</v>
      </c>
      <c r="N16" s="53" t="s">
        <v>173</v>
      </c>
      <c r="O16" s="55" t="str">
        <f>IF(C24&lt;=60,"YES","NO")</f>
        <v>NO</v>
      </c>
    </row>
    <row r="17" spans="2:22" x14ac:dyDescent="0.25">
      <c r="B17" s="53" t="s">
        <v>271</v>
      </c>
      <c r="C17" s="50" t="s">
        <v>272</v>
      </c>
      <c r="N17" s="53" t="s">
        <v>174</v>
      </c>
      <c r="O17" s="55" t="str">
        <f>IF($O$7&lt;=($O$8/3.28),"Yes","No")</f>
        <v>No</v>
      </c>
    </row>
    <row r="18" spans="2:22" x14ac:dyDescent="0.25">
      <c r="B18" s="53" t="s">
        <v>181</v>
      </c>
      <c r="C18" s="51" t="s">
        <v>125</v>
      </c>
      <c r="D18" s="53" t="s">
        <v>237</v>
      </c>
      <c r="N18" s="53" t="s">
        <v>154</v>
      </c>
      <c r="O18" s="55">
        <f>'Gust Factor Cal.'!H16</f>
        <v>65.7</v>
      </c>
      <c r="P18" s="53" t="s">
        <v>155</v>
      </c>
    </row>
    <row r="19" spans="2:22" x14ac:dyDescent="0.25">
      <c r="B19" s="53" t="s">
        <v>236</v>
      </c>
      <c r="C19" s="51">
        <v>1</v>
      </c>
      <c r="O19" s="55"/>
    </row>
    <row r="20" spans="2:22" x14ac:dyDescent="0.25">
      <c r="N20" s="53" t="s">
        <v>121</v>
      </c>
      <c r="O20" s="55" t="str">
        <f>C18</f>
        <v>CMRF</v>
      </c>
    </row>
    <row r="21" spans="2:22" x14ac:dyDescent="0.25">
      <c r="B21" s="58" t="s">
        <v>160</v>
      </c>
      <c r="N21" s="53" t="s">
        <v>182</v>
      </c>
      <c r="O21" s="55">
        <f>VLOOKUP(O20,'BNBC 20 Data'!N7:P10,2,FALSE)</f>
        <v>4.6600000000000003E-2</v>
      </c>
    </row>
    <row r="22" spans="2:22" x14ac:dyDescent="0.25">
      <c r="N22" s="53" t="s">
        <v>183</v>
      </c>
      <c r="O22" s="55">
        <f>VLOOKUP(O20,'BNBC 20 Data'!N7:P10,3,FALSE)</f>
        <v>0.9</v>
      </c>
    </row>
    <row r="23" spans="2:22" x14ac:dyDescent="0.25">
      <c r="B23" s="53" t="s">
        <v>340</v>
      </c>
      <c r="C23" s="54">
        <f>O6</f>
        <v>0</v>
      </c>
      <c r="D23" s="53" t="s">
        <v>162</v>
      </c>
      <c r="N23" s="53" t="s">
        <v>184</v>
      </c>
      <c r="O23" s="54">
        <f>O21*(O14^O22)</f>
        <v>1.0998991691636337</v>
      </c>
      <c r="P23" s="53" t="s">
        <v>187</v>
      </c>
    </row>
    <row r="24" spans="2:22" x14ac:dyDescent="0.25">
      <c r="B24" s="53" t="s">
        <v>163</v>
      </c>
      <c r="C24" s="55">
        <f>O7*3.28</f>
        <v>110</v>
      </c>
      <c r="D24" s="53" t="str">
        <f>IF($C$23&lt;=10,"ft. (h = he, for angle &lt;=10 deg.)","ft. (h = he+(hr+he)/2, for angle &gt;10 deg.)")</f>
        <v>ft. (h = he, for angle &lt;=10 deg.)</v>
      </c>
      <c r="N24" s="53" t="s">
        <v>185</v>
      </c>
      <c r="O24" s="54">
        <f>1/O23</f>
        <v>0.90917424799984414</v>
      </c>
      <c r="P24" s="53" t="s">
        <v>186</v>
      </c>
    </row>
    <row r="26" spans="2:22" x14ac:dyDescent="0.25">
      <c r="B26" s="58" t="s">
        <v>170</v>
      </c>
      <c r="N26" s="59" t="s">
        <v>197</v>
      </c>
      <c r="O26" s="55" t="str">
        <f>IF($O$24&lt;1,"Yes","No")</f>
        <v>Yes</v>
      </c>
    </row>
    <row r="27" spans="2:22" x14ac:dyDescent="0.25">
      <c r="B27" s="60" t="s">
        <v>171</v>
      </c>
      <c r="C27" s="55" t="str">
        <f>IF($O$16="Yes","Yes, O.K.","No, Violation!")</f>
        <v>No, Violation!</v>
      </c>
    </row>
    <row r="28" spans="2:22" x14ac:dyDescent="0.25">
      <c r="B28" s="60" t="s">
        <v>175</v>
      </c>
      <c r="C28" s="55" t="str">
        <f>IF($O$17="Yes","Yes, O.K.","No, Violation!")</f>
        <v>No, Violation!</v>
      </c>
    </row>
    <row r="29" spans="2:22" x14ac:dyDescent="0.25">
      <c r="N29" s="53" t="s">
        <v>218</v>
      </c>
      <c r="R29" s="53" t="s">
        <v>219</v>
      </c>
      <c r="S29" s="53">
        <v>2</v>
      </c>
      <c r="T29" s="53" t="s">
        <v>112</v>
      </c>
      <c r="U29" s="53" t="str">
        <f>IF(O16="YES",R29,R30)</f>
        <v>A_Case2</v>
      </c>
      <c r="V29" s="61" t="str">
        <f>IF(C8="A",U29,C8)</f>
        <v>A_Case2</v>
      </c>
    </row>
    <row r="30" spans="2:22" x14ac:dyDescent="0.25">
      <c r="B30" s="58" t="s">
        <v>196</v>
      </c>
      <c r="R30" s="53" t="s">
        <v>220</v>
      </c>
      <c r="S30" s="53">
        <v>3</v>
      </c>
      <c r="T30" s="53" t="s">
        <v>87</v>
      </c>
      <c r="U30" s="53" t="s">
        <v>87</v>
      </c>
    </row>
    <row r="31" spans="2:22" x14ac:dyDescent="0.25">
      <c r="B31" s="58"/>
      <c r="N31" s="53" t="s">
        <v>231</v>
      </c>
      <c r="O31" s="53" t="str">
        <f>VLOOKUP(C8,T29:U31,2,FALSE)</f>
        <v>A_Case2</v>
      </c>
      <c r="P31" s="53">
        <f>VLOOKUP(O31,R29:S32,2,FALSE)</f>
        <v>3</v>
      </c>
      <c r="R31" s="55" t="s">
        <v>87</v>
      </c>
      <c r="S31" s="53">
        <v>4</v>
      </c>
      <c r="T31" s="53" t="s">
        <v>113</v>
      </c>
      <c r="U31" s="53" t="s">
        <v>113</v>
      </c>
    </row>
    <row r="32" spans="2:22" x14ac:dyDescent="0.25">
      <c r="B32" s="60" t="s">
        <v>184</v>
      </c>
      <c r="C32" s="54">
        <f>O23</f>
        <v>1.0998991691636337</v>
      </c>
      <c r="D32" s="62" t="s">
        <v>198</v>
      </c>
      <c r="R32" s="55" t="s">
        <v>113</v>
      </c>
      <c r="S32" s="53">
        <v>5</v>
      </c>
    </row>
    <row r="33" spans="2:15" x14ac:dyDescent="0.25">
      <c r="B33" s="60" t="s">
        <v>199</v>
      </c>
      <c r="C33" s="54">
        <f>O24</f>
        <v>0.90917424799984414</v>
      </c>
      <c r="D33" s="62" t="s">
        <v>200</v>
      </c>
    </row>
    <row r="34" spans="2:15" x14ac:dyDescent="0.25">
      <c r="N34" s="53" t="s">
        <v>232</v>
      </c>
    </row>
    <row r="35" spans="2:15" x14ac:dyDescent="0.25">
      <c r="B35" s="60" t="s">
        <v>197</v>
      </c>
      <c r="C35" s="55" t="str">
        <f>IF(O26="No","No, Rigid","Yes")</f>
        <v>Yes</v>
      </c>
      <c r="D35" s="53" t="str">
        <f>IF($O$24&gt;=1,"f &gt;=1 Hz.","f &lt; 1 Hz.")</f>
        <v>f &lt; 1 Hz.</v>
      </c>
      <c r="N35" s="53" t="s">
        <v>233</v>
      </c>
      <c r="O35" s="63">
        <f>VLOOKUP(C15,'BNBC 20 Data'!F27:G29,2,FALSE)</f>
        <v>0.18</v>
      </c>
    </row>
    <row r="36" spans="2:15" x14ac:dyDescent="0.25">
      <c r="N36" s="62" t="s">
        <v>234</v>
      </c>
      <c r="O36" s="53">
        <f>O35</f>
        <v>0.18</v>
      </c>
    </row>
    <row r="37" spans="2:15" x14ac:dyDescent="0.25">
      <c r="B37" s="58" t="s">
        <v>286</v>
      </c>
      <c r="N37" s="62" t="s">
        <v>235</v>
      </c>
      <c r="O37" s="53">
        <f>-O36</f>
        <v>-0.18</v>
      </c>
    </row>
    <row r="39" spans="2:15" x14ac:dyDescent="0.25">
      <c r="B39" s="60" t="s">
        <v>287</v>
      </c>
      <c r="C39" s="55">
        <f>'Kh and Kz Cal.'!L8</f>
        <v>0.99</v>
      </c>
      <c r="D39" s="53" t="s">
        <v>289</v>
      </c>
    </row>
    <row r="40" spans="2:15" x14ac:dyDescent="0.25">
      <c r="N40" s="53" t="s">
        <v>236</v>
      </c>
      <c r="O40" s="53">
        <f>C19</f>
        <v>1</v>
      </c>
    </row>
    <row r="41" spans="2:15" x14ac:dyDescent="0.25">
      <c r="B41" s="58" t="s">
        <v>290</v>
      </c>
    </row>
    <row r="43" spans="2:15" x14ac:dyDescent="0.25">
      <c r="B43" s="60" t="s">
        <v>282</v>
      </c>
      <c r="C43" s="55">
        <f>O51</f>
        <v>0.85</v>
      </c>
      <c r="D43" s="53" t="s">
        <v>289</v>
      </c>
    </row>
    <row r="44" spans="2:15" x14ac:dyDescent="0.25">
      <c r="N44" s="53" t="s">
        <v>247</v>
      </c>
    </row>
    <row r="45" spans="2:15" x14ac:dyDescent="0.25">
      <c r="B45" s="58" t="s">
        <v>291</v>
      </c>
      <c r="N45" s="53" t="s">
        <v>309</v>
      </c>
      <c r="O45" s="54">
        <f>O7/L</f>
        <v>1.4473684210526316</v>
      </c>
    </row>
    <row r="46" spans="2:15" x14ac:dyDescent="0.25">
      <c r="N46" s="53" t="s">
        <v>256</v>
      </c>
      <c r="O46" s="64">
        <f>L/B</f>
        <v>0.8539325842696629</v>
      </c>
    </row>
    <row r="47" spans="2:15" x14ac:dyDescent="0.25">
      <c r="B47" s="60" t="s">
        <v>120</v>
      </c>
      <c r="C47" s="65" t="str">
        <f>IF(O26="Yes","N.A.",MIN(0.85,G))</f>
        <v>N.A.</v>
      </c>
      <c r="D47" s="53" t="s">
        <v>293</v>
      </c>
      <c r="N47" s="53" t="s">
        <v>253</v>
      </c>
      <c r="O47" s="61">
        <v>0.8</v>
      </c>
    </row>
    <row r="48" spans="2:15" x14ac:dyDescent="0.25">
      <c r="B48" s="60" t="s">
        <v>292</v>
      </c>
      <c r="C48" s="65">
        <f>IF(O26="Yes",'Gust Factor Cal.'!H38,"N.A.")</f>
        <v>0.85942026474343747</v>
      </c>
      <c r="D48" s="53" t="s">
        <v>294</v>
      </c>
      <c r="N48" s="53" t="s">
        <v>254</v>
      </c>
      <c r="O48" s="66">
        <f>IF(O46&lt;=1,-0.5,IF(O46&gt;=4,-0.2,IF(O46&gt;2,(0.3-0.05*(O46-2)),-(0.5-0.2*(O46-1)))))</f>
        <v>-0.5</v>
      </c>
    </row>
    <row r="49" spans="2:19" x14ac:dyDescent="0.25">
      <c r="C49" s="61">
        <f>IF(C48="N.A.",C47,C48)</f>
        <v>0.85942026474343747</v>
      </c>
      <c r="N49" s="53" t="s">
        <v>255</v>
      </c>
      <c r="O49" s="55">
        <v>-0.7</v>
      </c>
    </row>
    <row r="50" spans="2:19" x14ac:dyDescent="0.25">
      <c r="B50" s="58" t="s">
        <v>295</v>
      </c>
      <c r="N50" s="53" t="s">
        <v>281</v>
      </c>
      <c r="O50" s="54">
        <f>'Software Input'!E9</f>
        <v>1</v>
      </c>
    </row>
    <row r="51" spans="2:19" x14ac:dyDescent="0.25">
      <c r="N51" s="53" t="s">
        <v>282</v>
      </c>
      <c r="O51" s="55">
        <f>VLOOKUP(C17,'BNBC 20 Data'!J7:K15,2,FALSE)</f>
        <v>0.85</v>
      </c>
    </row>
    <row r="52" spans="2:19" x14ac:dyDescent="0.25">
      <c r="B52" s="60" t="s">
        <v>296</v>
      </c>
      <c r="C52" s="54">
        <f>O50</f>
        <v>1</v>
      </c>
      <c r="D52" s="53" t="s">
        <v>297</v>
      </c>
    </row>
    <row r="53" spans="2:19" x14ac:dyDescent="0.25">
      <c r="N53" s="53" t="s">
        <v>341</v>
      </c>
      <c r="O53" s="66">
        <f>IF(O26="NO",MIN(0.85,G),'Gust Factor Cal.'!H38)</f>
        <v>0.85942026474343747</v>
      </c>
    </row>
    <row r="54" spans="2:19" x14ac:dyDescent="0.25">
      <c r="B54" s="58" t="s">
        <v>298</v>
      </c>
    </row>
    <row r="56" spans="2:19" x14ac:dyDescent="0.25">
      <c r="B56" s="60" t="s">
        <v>299</v>
      </c>
      <c r="C56" s="55">
        <f>O47</f>
        <v>0.8</v>
      </c>
      <c r="D56" s="104" t="s">
        <v>301</v>
      </c>
      <c r="E56" s="104"/>
      <c r="N56" s="53" t="s">
        <v>286</v>
      </c>
    </row>
    <row r="57" spans="2:19" x14ac:dyDescent="0.25">
      <c r="B57" s="60" t="s">
        <v>300</v>
      </c>
      <c r="C57" s="66">
        <f>O48</f>
        <v>-0.5</v>
      </c>
      <c r="D57" s="104"/>
      <c r="E57" s="104"/>
    </row>
    <row r="58" spans="2:19" x14ac:dyDescent="0.25">
      <c r="B58" s="60" t="s">
        <v>255</v>
      </c>
      <c r="C58" s="55">
        <f>O49</f>
        <v>-0.7</v>
      </c>
      <c r="D58" s="104"/>
      <c r="E58" s="104"/>
      <c r="N58" s="53" t="s">
        <v>313</v>
      </c>
      <c r="O58" s="55">
        <f>VLOOKUP(C8,'Gust Factor Cal.'!E11:G13,2)</f>
        <v>7</v>
      </c>
    </row>
    <row r="59" spans="2:19" x14ac:dyDescent="0.25">
      <c r="N59" s="53" t="s">
        <v>314</v>
      </c>
      <c r="O59" s="55">
        <f>VLOOKUP(C8,'Gust Factor Cal.'!E11:G13,3)</f>
        <v>365.76</v>
      </c>
      <c r="R59" s="53" t="s">
        <v>315</v>
      </c>
      <c r="S59" s="53" t="e">
        <f>IF(O60="","",if)</f>
        <v>#NAME?</v>
      </c>
    </row>
    <row r="60" spans="2:19" x14ac:dyDescent="0.25">
      <c r="B60" s="67"/>
      <c r="N60" s="53" t="s">
        <v>320</v>
      </c>
      <c r="O60" s="53">
        <f>IF($V$29="A_Case1",MAX(9.1,h),h)</f>
        <v>33.536585365853661</v>
      </c>
    </row>
    <row r="61" spans="2:19" x14ac:dyDescent="0.25">
      <c r="N61" s="53" t="s">
        <v>315</v>
      </c>
      <c r="O61" s="68">
        <f>IF($O$60&lt;4.57,2.01*(4.57/Zg)^(2/α),2.01*($O$60/Zg)^(2/α))</f>
        <v>1.0155862436661052</v>
      </c>
    </row>
    <row r="62" spans="2:19" ht="15.75" thickBot="1" x14ac:dyDescent="0.3">
      <c r="B62" s="60"/>
      <c r="C62" s="68"/>
      <c r="D62" s="69"/>
      <c r="E62" s="69"/>
      <c r="F62" s="69"/>
      <c r="N62" s="53" t="s">
        <v>321</v>
      </c>
      <c r="O62" s="53">
        <f>0.000613*$O$61*Kzt.*Kd.*V^2*I</f>
        <v>2.2841622460177682</v>
      </c>
    </row>
    <row r="63" spans="2:19" ht="42" customHeight="1" thickBot="1" x14ac:dyDescent="0.3">
      <c r="B63" s="107" t="s">
        <v>310</v>
      </c>
      <c r="C63" s="109" t="s">
        <v>311</v>
      </c>
      <c r="D63" s="107" t="s">
        <v>312</v>
      </c>
      <c r="E63" s="70" t="s">
        <v>249</v>
      </c>
      <c r="F63" s="105" t="s">
        <v>322</v>
      </c>
      <c r="G63" s="106"/>
      <c r="H63" s="105" t="s">
        <v>323</v>
      </c>
      <c r="I63" s="106"/>
      <c r="J63" s="105" t="s">
        <v>324</v>
      </c>
      <c r="K63" s="106"/>
      <c r="L63" s="53" t="s">
        <v>316</v>
      </c>
    </row>
    <row r="64" spans="2:19" ht="15.75" thickBot="1" x14ac:dyDescent="0.3">
      <c r="B64" s="108"/>
      <c r="C64" s="110"/>
      <c r="D64" s="108"/>
      <c r="E64" s="71" t="s">
        <v>317</v>
      </c>
      <c r="F64" s="72" t="s">
        <v>318</v>
      </c>
      <c r="G64" s="72" t="s">
        <v>319</v>
      </c>
      <c r="H64" s="73" t="s">
        <v>318</v>
      </c>
      <c r="I64" s="73" t="s">
        <v>319</v>
      </c>
      <c r="J64" s="73" t="s">
        <v>318</v>
      </c>
      <c r="K64" s="72" t="s">
        <v>319</v>
      </c>
    </row>
    <row r="65" spans="1:12" x14ac:dyDescent="0.25">
      <c r="A65" s="55">
        <v>1</v>
      </c>
      <c r="B65" s="52">
        <v>10</v>
      </c>
      <c r="C65" s="74">
        <f>IF(B65="","",B65/3.28)</f>
        <v>3.0487804878048781</v>
      </c>
      <c r="D65" s="75">
        <f t="shared" ref="D65:D84" si="1">IF(C65="","",2.01*(IF($L65&lt;4.57,4.57,$L65)/Zg)^(2/α))</f>
        <v>0.57464782760281308</v>
      </c>
      <c r="E65" s="76">
        <f t="shared" ref="E65:E84" si="2">IF(D65="","",(0.000613*D65*Kzt.*Kd.*V*V*I))</f>
        <v>1.2924445173934564</v>
      </c>
      <c r="F65" s="77">
        <f t="shared" ref="F65:F84" si="3">IF(B65="","",((E65*G.*Cp.w)-(qi*GCpi_P)))</f>
        <v>0.47745320316039275</v>
      </c>
      <c r="G65" s="78">
        <f t="shared" ref="G65:G84" si="4">IF(B65="","",((E65*G.*Cp.w)-(qi*GCpi_N)))</f>
        <v>1.2997516117267893</v>
      </c>
      <c r="H65" s="112">
        <f>((qi*G.*Cp.L)-(qi*GCpi_P))</f>
        <v>-1.3926768653779757</v>
      </c>
      <c r="I65" s="111">
        <f>((qi*G.*Cp.L)-(qi*GCpi_N))</f>
        <v>-0.57037845681157928</v>
      </c>
      <c r="J65" s="112">
        <f>((qi*G.*Cp.S)-(qi*GCpi_P))</f>
        <v>-1.7852879298158868</v>
      </c>
      <c r="K65" s="111">
        <f>((qi*G.*Cp.S)-(qi*GCpi_N))</f>
        <v>-0.96298952124949022</v>
      </c>
      <c r="L65" s="55">
        <f>IF($V$29="A_Case1",MAX(9.1,C65),C65)</f>
        <v>3.0487804878048781</v>
      </c>
    </row>
    <row r="66" spans="1:12" x14ac:dyDescent="0.25">
      <c r="A66" s="55">
        <v>2</v>
      </c>
      <c r="B66" s="52">
        <v>20</v>
      </c>
      <c r="C66" s="74">
        <f t="shared" ref="C66:C84" si="5">IF(B66="","",B66/3.28)</f>
        <v>6.0975609756097562</v>
      </c>
      <c r="D66" s="75">
        <f t="shared" si="1"/>
        <v>0.62400003297294904</v>
      </c>
      <c r="E66" s="76">
        <f t="shared" si="2"/>
        <v>1.4034429136076945</v>
      </c>
      <c r="F66" s="77">
        <f t="shared" si="3"/>
        <v>0.55376862000882254</v>
      </c>
      <c r="G66" s="78">
        <f t="shared" si="4"/>
        <v>1.376067028575219</v>
      </c>
      <c r="H66" s="112"/>
      <c r="I66" s="111"/>
      <c r="J66" s="112"/>
      <c r="K66" s="111"/>
      <c r="L66" s="55">
        <f t="shared" ref="L66:L129" si="6">IF($V$29="A_Case1",MAX(9.1,C66),C66)</f>
        <v>6.0975609756097562</v>
      </c>
    </row>
    <row r="67" spans="1:12" x14ac:dyDescent="0.25">
      <c r="A67" s="55">
        <v>3</v>
      </c>
      <c r="B67" s="52">
        <v>30</v>
      </c>
      <c r="C67" s="74">
        <f t="shared" si="5"/>
        <v>9.1463414634146343</v>
      </c>
      <c r="D67" s="75">
        <f t="shared" si="1"/>
        <v>0.70064237650680283</v>
      </c>
      <c r="E67" s="76">
        <f t="shared" si="2"/>
        <v>1.5758197537216383</v>
      </c>
      <c r="F67" s="77">
        <f t="shared" si="3"/>
        <v>0.6722839396619128</v>
      </c>
      <c r="G67" s="78">
        <f t="shared" si="4"/>
        <v>1.4945823482283092</v>
      </c>
      <c r="H67" s="112"/>
      <c r="I67" s="111"/>
      <c r="J67" s="112"/>
      <c r="K67" s="111"/>
      <c r="L67" s="55">
        <f t="shared" si="6"/>
        <v>9.1463414634146343</v>
      </c>
    </row>
    <row r="68" spans="1:12" x14ac:dyDescent="0.25">
      <c r="A68" s="55">
        <v>4</v>
      </c>
      <c r="B68" s="52">
        <v>40</v>
      </c>
      <c r="C68" s="74">
        <f t="shared" si="5"/>
        <v>12.195121951219512</v>
      </c>
      <c r="D68" s="75">
        <f t="shared" si="1"/>
        <v>0.76066456041806774</v>
      </c>
      <c r="E68" s="76">
        <f t="shared" si="2"/>
        <v>1.7108160745842913</v>
      </c>
      <c r="F68" s="77">
        <f t="shared" si="3"/>
        <v>0.76509879871404995</v>
      </c>
      <c r="G68" s="78">
        <f t="shared" si="4"/>
        <v>1.5873972072804463</v>
      </c>
      <c r="H68" s="112"/>
      <c r="I68" s="111"/>
      <c r="J68" s="112"/>
      <c r="K68" s="111"/>
      <c r="L68" s="55">
        <f t="shared" si="6"/>
        <v>12.195121951219512</v>
      </c>
    </row>
    <row r="69" spans="1:12" x14ac:dyDescent="0.25">
      <c r="A69" s="55">
        <v>5</v>
      </c>
      <c r="B69" s="52">
        <v>50</v>
      </c>
      <c r="C69" s="74">
        <f t="shared" si="5"/>
        <v>15.24390243902439</v>
      </c>
      <c r="D69" s="75">
        <f t="shared" si="1"/>
        <v>0.81074029374881162</v>
      </c>
      <c r="E69" s="76">
        <f t="shared" si="2"/>
        <v>1.8234417626822725</v>
      </c>
      <c r="F69" s="77">
        <f t="shared" si="3"/>
        <v>0.84253303765971299</v>
      </c>
      <c r="G69" s="78">
        <f t="shared" si="4"/>
        <v>1.6648314462261093</v>
      </c>
      <c r="H69" s="112"/>
      <c r="I69" s="111"/>
      <c r="J69" s="112"/>
      <c r="K69" s="111"/>
      <c r="L69" s="55">
        <f t="shared" si="6"/>
        <v>15.24390243902439</v>
      </c>
    </row>
    <row r="70" spans="1:12" x14ac:dyDescent="0.25">
      <c r="A70" s="55">
        <v>6</v>
      </c>
      <c r="B70" s="52">
        <v>60</v>
      </c>
      <c r="C70" s="74">
        <f t="shared" si="5"/>
        <v>18.292682926829269</v>
      </c>
      <c r="D70" s="75">
        <f t="shared" si="1"/>
        <v>0.85409262367606564</v>
      </c>
      <c r="E70" s="76">
        <f t="shared" si="2"/>
        <v>1.9209457963518106</v>
      </c>
      <c r="F70" s="77">
        <f t="shared" si="3"/>
        <v>0.9095705916035749</v>
      </c>
      <c r="G70" s="78">
        <f t="shared" si="4"/>
        <v>1.7318690001699713</v>
      </c>
      <c r="L70" s="55">
        <f t="shared" si="6"/>
        <v>18.292682926829269</v>
      </c>
    </row>
    <row r="71" spans="1:12" x14ac:dyDescent="0.25">
      <c r="A71" s="55">
        <v>7</v>
      </c>
      <c r="B71" s="52">
        <v>70</v>
      </c>
      <c r="C71" s="74">
        <f t="shared" si="5"/>
        <v>21.341463414634148</v>
      </c>
      <c r="D71" s="75">
        <f t="shared" si="1"/>
        <v>0.89255014586954051</v>
      </c>
      <c r="E71" s="76">
        <f t="shared" si="2"/>
        <v>2.0074408831231967</v>
      </c>
      <c r="F71" s="77">
        <f t="shared" si="3"/>
        <v>0.96903909590123194</v>
      </c>
      <c r="G71" s="78">
        <f t="shared" si="4"/>
        <v>1.7913375044676285</v>
      </c>
      <c r="L71" s="55">
        <f t="shared" si="6"/>
        <v>21.341463414634148</v>
      </c>
    </row>
    <row r="72" spans="1:12" x14ac:dyDescent="0.25">
      <c r="A72" s="55">
        <v>8</v>
      </c>
      <c r="B72" s="52">
        <v>80</v>
      </c>
      <c r="C72" s="74">
        <f t="shared" si="5"/>
        <v>24.390243902439025</v>
      </c>
      <c r="D72" s="75">
        <f t="shared" si="1"/>
        <v>0.9272604854190698</v>
      </c>
      <c r="E72" s="76">
        <f t="shared" si="2"/>
        <v>2.0855081547507535</v>
      </c>
      <c r="F72" s="77">
        <f t="shared" si="3"/>
        <v>1.0227131721011942</v>
      </c>
      <c r="G72" s="78">
        <f t="shared" si="4"/>
        <v>1.8450115806675904</v>
      </c>
      <c r="L72" s="55">
        <f t="shared" si="6"/>
        <v>24.390243902439025</v>
      </c>
    </row>
    <row r="73" spans="1:12" x14ac:dyDescent="0.25">
      <c r="A73" s="55">
        <v>9</v>
      </c>
      <c r="B73" s="52">
        <v>90</v>
      </c>
      <c r="C73" s="74">
        <f t="shared" si="5"/>
        <v>27.439024390243905</v>
      </c>
      <c r="D73" s="75">
        <f t="shared" si="1"/>
        <v>0.95899591985321397</v>
      </c>
      <c r="E73" s="76">
        <f t="shared" si="2"/>
        <v>2.1568845461183352</v>
      </c>
      <c r="F73" s="77">
        <f t="shared" si="3"/>
        <v>1.0717870258336406</v>
      </c>
      <c r="G73" s="78">
        <f t="shared" si="4"/>
        <v>1.8940854344000373</v>
      </c>
      <c r="L73" s="55">
        <f t="shared" si="6"/>
        <v>27.439024390243905</v>
      </c>
    </row>
    <row r="74" spans="1:12" x14ac:dyDescent="0.25">
      <c r="A74" s="55">
        <v>10</v>
      </c>
      <c r="B74" s="52">
        <v>100</v>
      </c>
      <c r="C74" s="74">
        <f t="shared" si="5"/>
        <v>30.487804878048781</v>
      </c>
      <c r="D74" s="75">
        <f t="shared" si="1"/>
        <v>0.98830348809354851</v>
      </c>
      <c r="E74" s="76">
        <f t="shared" si="2"/>
        <v>2.2228004063563667</v>
      </c>
      <c r="F74" s="77">
        <f t="shared" si="3"/>
        <v>1.1171065666788893</v>
      </c>
      <c r="G74" s="78">
        <f t="shared" si="4"/>
        <v>1.9394049752452855</v>
      </c>
      <c r="L74" s="55">
        <f t="shared" si="6"/>
        <v>30.487804878048781</v>
      </c>
    </row>
    <row r="75" spans="1:12" x14ac:dyDescent="0.25">
      <c r="A75" s="55">
        <v>11</v>
      </c>
      <c r="B75" s="52"/>
      <c r="C75" s="74" t="str">
        <f t="shared" si="5"/>
        <v/>
      </c>
      <c r="D75" s="75" t="str">
        <f t="shared" si="1"/>
        <v/>
      </c>
      <c r="E75" s="76" t="str">
        <f t="shared" si="2"/>
        <v/>
      </c>
      <c r="F75" s="77" t="str">
        <f t="shared" si="3"/>
        <v/>
      </c>
      <c r="G75" s="78" t="str">
        <f t="shared" si="4"/>
        <v/>
      </c>
      <c r="L75" s="55" t="str">
        <f t="shared" si="6"/>
        <v/>
      </c>
    </row>
    <row r="76" spans="1:12" x14ac:dyDescent="0.25">
      <c r="A76" s="55">
        <v>12</v>
      </c>
      <c r="B76" s="52">
        <v>555</v>
      </c>
      <c r="C76" s="74">
        <f t="shared" si="5"/>
        <v>169.20731707317074</v>
      </c>
      <c r="D76" s="75">
        <f t="shared" si="1"/>
        <v>1.6126698485410078</v>
      </c>
      <c r="E76" s="76">
        <f t="shared" si="2"/>
        <v>3.627067229693218</v>
      </c>
      <c r="F76" s="77">
        <f t="shared" si="3"/>
        <v>2.0825908587449553</v>
      </c>
      <c r="G76" s="78">
        <f t="shared" si="4"/>
        <v>2.904889267311352</v>
      </c>
      <c r="L76" s="55">
        <f t="shared" si="6"/>
        <v>169.20731707317074</v>
      </c>
    </row>
    <row r="77" spans="1:12" x14ac:dyDescent="0.25">
      <c r="A77" s="55">
        <v>13</v>
      </c>
      <c r="B77" s="52"/>
      <c r="C77" s="74" t="str">
        <f t="shared" si="5"/>
        <v/>
      </c>
      <c r="D77" s="75" t="str">
        <f t="shared" si="1"/>
        <v/>
      </c>
      <c r="E77" s="76" t="str">
        <f t="shared" si="2"/>
        <v/>
      </c>
      <c r="F77" s="77" t="str">
        <f t="shared" si="3"/>
        <v/>
      </c>
      <c r="G77" s="78" t="str">
        <f t="shared" si="4"/>
        <v/>
      </c>
      <c r="L77" s="55" t="str">
        <f t="shared" si="6"/>
        <v/>
      </c>
    </row>
    <row r="78" spans="1:12" x14ac:dyDescent="0.25">
      <c r="A78" s="55">
        <v>14</v>
      </c>
      <c r="B78" s="52"/>
      <c r="C78" s="74" t="str">
        <f t="shared" si="5"/>
        <v/>
      </c>
      <c r="D78" s="75" t="str">
        <f t="shared" si="1"/>
        <v/>
      </c>
      <c r="E78" s="76" t="str">
        <f t="shared" si="2"/>
        <v/>
      </c>
      <c r="F78" s="77" t="str">
        <f t="shared" si="3"/>
        <v/>
      </c>
      <c r="G78" s="78" t="str">
        <f t="shared" si="4"/>
        <v/>
      </c>
      <c r="L78" s="55" t="str">
        <f t="shared" si="6"/>
        <v/>
      </c>
    </row>
    <row r="79" spans="1:12" x14ac:dyDescent="0.25">
      <c r="A79" s="55">
        <v>15</v>
      </c>
      <c r="B79" s="52"/>
      <c r="C79" s="74" t="str">
        <f t="shared" si="5"/>
        <v/>
      </c>
      <c r="D79" s="75" t="str">
        <f t="shared" si="1"/>
        <v/>
      </c>
      <c r="E79" s="76" t="str">
        <f t="shared" si="2"/>
        <v/>
      </c>
      <c r="F79" s="77" t="str">
        <f t="shared" si="3"/>
        <v/>
      </c>
      <c r="G79" s="78" t="str">
        <f t="shared" si="4"/>
        <v/>
      </c>
      <c r="L79" s="55" t="str">
        <f t="shared" si="6"/>
        <v/>
      </c>
    </row>
    <row r="80" spans="1:12" x14ac:dyDescent="0.25">
      <c r="A80" s="55">
        <v>16</v>
      </c>
      <c r="B80" s="52"/>
      <c r="C80" s="74" t="str">
        <f t="shared" si="5"/>
        <v/>
      </c>
      <c r="D80" s="75" t="str">
        <f t="shared" si="1"/>
        <v/>
      </c>
      <c r="E80" s="76" t="str">
        <f t="shared" si="2"/>
        <v/>
      </c>
      <c r="F80" s="77" t="str">
        <f t="shared" si="3"/>
        <v/>
      </c>
      <c r="G80" s="78" t="str">
        <f t="shared" si="4"/>
        <v/>
      </c>
      <c r="L80" s="55" t="str">
        <f t="shared" si="6"/>
        <v/>
      </c>
    </row>
    <row r="81" spans="1:12" x14ac:dyDescent="0.25">
      <c r="A81" s="55">
        <v>17</v>
      </c>
      <c r="B81" s="52"/>
      <c r="C81" s="74" t="str">
        <f t="shared" si="5"/>
        <v/>
      </c>
      <c r="D81" s="75" t="str">
        <f t="shared" si="1"/>
        <v/>
      </c>
      <c r="E81" s="76" t="str">
        <f t="shared" si="2"/>
        <v/>
      </c>
      <c r="F81" s="77" t="str">
        <f t="shared" si="3"/>
        <v/>
      </c>
      <c r="G81" s="78" t="str">
        <f t="shared" si="4"/>
        <v/>
      </c>
      <c r="L81" s="55" t="str">
        <f t="shared" si="6"/>
        <v/>
      </c>
    </row>
    <row r="82" spans="1:12" x14ac:dyDescent="0.25">
      <c r="A82" s="55">
        <v>18</v>
      </c>
      <c r="B82" s="52"/>
      <c r="C82" s="74" t="str">
        <f t="shared" si="5"/>
        <v/>
      </c>
      <c r="D82" s="75" t="str">
        <f t="shared" si="1"/>
        <v/>
      </c>
      <c r="E82" s="76" t="str">
        <f t="shared" si="2"/>
        <v/>
      </c>
      <c r="F82" s="77" t="str">
        <f t="shared" si="3"/>
        <v/>
      </c>
      <c r="G82" s="78" t="str">
        <f t="shared" si="4"/>
        <v/>
      </c>
      <c r="L82" s="55" t="str">
        <f t="shared" si="6"/>
        <v/>
      </c>
    </row>
    <row r="83" spans="1:12" x14ac:dyDescent="0.25">
      <c r="A83" s="55">
        <v>19</v>
      </c>
      <c r="B83" s="52"/>
      <c r="C83" s="74" t="str">
        <f t="shared" si="5"/>
        <v/>
      </c>
      <c r="D83" s="75" t="str">
        <f t="shared" si="1"/>
        <v/>
      </c>
      <c r="E83" s="76" t="str">
        <f t="shared" si="2"/>
        <v/>
      </c>
      <c r="F83" s="77" t="str">
        <f t="shared" si="3"/>
        <v/>
      </c>
      <c r="G83" s="78" t="str">
        <f t="shared" si="4"/>
        <v/>
      </c>
      <c r="L83" s="55" t="str">
        <f t="shared" si="6"/>
        <v/>
      </c>
    </row>
    <row r="84" spans="1:12" x14ac:dyDescent="0.25">
      <c r="A84" s="55">
        <v>20</v>
      </c>
      <c r="B84" s="52"/>
      <c r="C84" s="74" t="str">
        <f t="shared" si="5"/>
        <v/>
      </c>
      <c r="D84" s="75" t="str">
        <f t="shared" si="1"/>
        <v/>
      </c>
      <c r="E84" s="76" t="str">
        <f t="shared" si="2"/>
        <v/>
      </c>
      <c r="F84" s="77" t="str">
        <f t="shared" si="3"/>
        <v/>
      </c>
      <c r="G84" s="78" t="str">
        <f t="shared" si="4"/>
        <v/>
      </c>
      <c r="L84" s="55" t="str">
        <f t="shared" si="6"/>
        <v/>
      </c>
    </row>
    <row r="85" spans="1:12" x14ac:dyDescent="0.25">
      <c r="L85" s="55">
        <f t="shared" si="6"/>
        <v>0</v>
      </c>
    </row>
    <row r="86" spans="1:12" x14ac:dyDescent="0.25">
      <c r="L86" s="55">
        <f t="shared" si="6"/>
        <v>0</v>
      </c>
    </row>
    <row r="87" spans="1:12" x14ac:dyDescent="0.25">
      <c r="L87" s="55">
        <f t="shared" si="6"/>
        <v>0</v>
      </c>
    </row>
    <row r="88" spans="1:12" x14ac:dyDescent="0.25">
      <c r="L88" s="55">
        <f t="shared" si="6"/>
        <v>0</v>
      </c>
    </row>
    <row r="89" spans="1:12" x14ac:dyDescent="0.25">
      <c r="L89" s="55">
        <f t="shared" si="6"/>
        <v>0</v>
      </c>
    </row>
    <row r="90" spans="1:12" x14ac:dyDescent="0.25">
      <c r="L90" s="55">
        <f t="shared" si="6"/>
        <v>0</v>
      </c>
    </row>
    <row r="91" spans="1:12" x14ac:dyDescent="0.25">
      <c r="L91" s="55">
        <f t="shared" si="6"/>
        <v>0</v>
      </c>
    </row>
    <row r="92" spans="1:12" x14ac:dyDescent="0.25">
      <c r="L92" s="55">
        <f t="shared" si="6"/>
        <v>0</v>
      </c>
    </row>
    <row r="93" spans="1:12" x14ac:dyDescent="0.25">
      <c r="L93" s="55">
        <f t="shared" si="6"/>
        <v>0</v>
      </c>
    </row>
    <row r="94" spans="1:12" x14ac:dyDescent="0.25">
      <c r="L94" s="55">
        <f t="shared" si="6"/>
        <v>0</v>
      </c>
    </row>
    <row r="95" spans="1:12" x14ac:dyDescent="0.25">
      <c r="L95" s="55">
        <f t="shared" si="6"/>
        <v>0</v>
      </c>
    </row>
    <row r="96" spans="1:12" x14ac:dyDescent="0.25">
      <c r="L96" s="55">
        <f t="shared" si="6"/>
        <v>0</v>
      </c>
    </row>
    <row r="97" spans="12:12" x14ac:dyDescent="0.25">
      <c r="L97" s="55">
        <f t="shared" si="6"/>
        <v>0</v>
      </c>
    </row>
    <row r="98" spans="12:12" x14ac:dyDescent="0.25">
      <c r="L98" s="55">
        <f t="shared" si="6"/>
        <v>0</v>
      </c>
    </row>
    <row r="99" spans="12:12" x14ac:dyDescent="0.25">
      <c r="L99" s="55">
        <f t="shared" si="6"/>
        <v>0</v>
      </c>
    </row>
    <row r="100" spans="12:12" x14ac:dyDescent="0.25">
      <c r="L100" s="55">
        <f t="shared" si="6"/>
        <v>0</v>
      </c>
    </row>
    <row r="101" spans="12:12" x14ac:dyDescent="0.25">
      <c r="L101" s="55">
        <f t="shared" si="6"/>
        <v>0</v>
      </c>
    </row>
    <row r="102" spans="12:12" x14ac:dyDescent="0.25">
      <c r="L102" s="55">
        <f t="shared" si="6"/>
        <v>0</v>
      </c>
    </row>
    <row r="103" spans="12:12" x14ac:dyDescent="0.25">
      <c r="L103" s="55">
        <f t="shared" si="6"/>
        <v>0</v>
      </c>
    </row>
    <row r="104" spans="12:12" x14ac:dyDescent="0.25">
      <c r="L104" s="55">
        <f t="shared" si="6"/>
        <v>0</v>
      </c>
    </row>
    <row r="105" spans="12:12" x14ac:dyDescent="0.25">
      <c r="L105" s="55">
        <f t="shared" si="6"/>
        <v>0</v>
      </c>
    </row>
    <row r="106" spans="12:12" x14ac:dyDescent="0.25">
      <c r="L106" s="55">
        <f t="shared" si="6"/>
        <v>0</v>
      </c>
    </row>
    <row r="107" spans="12:12" x14ac:dyDescent="0.25">
      <c r="L107" s="55">
        <f t="shared" si="6"/>
        <v>0</v>
      </c>
    </row>
    <row r="108" spans="12:12" x14ac:dyDescent="0.25">
      <c r="L108" s="55">
        <f t="shared" si="6"/>
        <v>0</v>
      </c>
    </row>
    <row r="109" spans="12:12" x14ac:dyDescent="0.25">
      <c r="L109" s="55">
        <f t="shared" si="6"/>
        <v>0</v>
      </c>
    </row>
    <row r="110" spans="12:12" x14ac:dyDescent="0.25">
      <c r="L110" s="55">
        <f t="shared" si="6"/>
        <v>0</v>
      </c>
    </row>
    <row r="111" spans="12:12" x14ac:dyDescent="0.25">
      <c r="L111" s="55">
        <f t="shared" si="6"/>
        <v>0</v>
      </c>
    </row>
    <row r="112" spans="12:12" x14ac:dyDescent="0.25">
      <c r="L112" s="55">
        <f t="shared" si="6"/>
        <v>0</v>
      </c>
    </row>
    <row r="113" spans="12:12" x14ac:dyDescent="0.25">
      <c r="L113" s="55">
        <f t="shared" si="6"/>
        <v>0</v>
      </c>
    </row>
    <row r="114" spans="12:12" x14ac:dyDescent="0.25">
      <c r="L114" s="55">
        <f t="shared" si="6"/>
        <v>0</v>
      </c>
    </row>
    <row r="115" spans="12:12" x14ac:dyDescent="0.25">
      <c r="L115" s="55">
        <f t="shared" si="6"/>
        <v>0</v>
      </c>
    </row>
    <row r="116" spans="12:12" x14ac:dyDescent="0.25">
      <c r="L116" s="55">
        <f t="shared" si="6"/>
        <v>0</v>
      </c>
    </row>
    <row r="117" spans="12:12" x14ac:dyDescent="0.25">
      <c r="L117" s="55">
        <f t="shared" si="6"/>
        <v>0</v>
      </c>
    </row>
    <row r="118" spans="12:12" x14ac:dyDescent="0.25">
      <c r="L118" s="55">
        <f t="shared" si="6"/>
        <v>0</v>
      </c>
    </row>
    <row r="119" spans="12:12" x14ac:dyDescent="0.25">
      <c r="L119" s="55">
        <f t="shared" si="6"/>
        <v>0</v>
      </c>
    </row>
    <row r="120" spans="12:12" x14ac:dyDescent="0.25">
      <c r="L120" s="55">
        <f t="shared" si="6"/>
        <v>0</v>
      </c>
    </row>
    <row r="121" spans="12:12" x14ac:dyDescent="0.25">
      <c r="L121" s="55">
        <f t="shared" si="6"/>
        <v>0</v>
      </c>
    </row>
    <row r="122" spans="12:12" x14ac:dyDescent="0.25">
      <c r="L122" s="55">
        <f t="shared" si="6"/>
        <v>0</v>
      </c>
    </row>
    <row r="123" spans="12:12" x14ac:dyDescent="0.25">
      <c r="L123" s="55">
        <f t="shared" si="6"/>
        <v>0</v>
      </c>
    </row>
    <row r="124" spans="12:12" x14ac:dyDescent="0.25">
      <c r="L124" s="55">
        <f t="shared" si="6"/>
        <v>0</v>
      </c>
    </row>
    <row r="125" spans="12:12" x14ac:dyDescent="0.25">
      <c r="L125" s="55">
        <f t="shared" si="6"/>
        <v>0</v>
      </c>
    </row>
    <row r="126" spans="12:12" x14ac:dyDescent="0.25">
      <c r="L126" s="55">
        <f t="shared" si="6"/>
        <v>0</v>
      </c>
    </row>
    <row r="127" spans="12:12" x14ac:dyDescent="0.25">
      <c r="L127" s="55">
        <f t="shared" si="6"/>
        <v>0</v>
      </c>
    </row>
    <row r="128" spans="12:12" x14ac:dyDescent="0.25">
      <c r="L128" s="55">
        <f t="shared" si="6"/>
        <v>0</v>
      </c>
    </row>
    <row r="129" spans="12:12" x14ac:dyDescent="0.25">
      <c r="L129" s="55">
        <f t="shared" si="6"/>
        <v>0</v>
      </c>
    </row>
    <row r="130" spans="12:12" x14ac:dyDescent="0.25">
      <c r="L130" s="55">
        <f t="shared" ref="L130:L193" si="7">IF($V$29="A_Case1",MAX(9.1,C130),C130)</f>
        <v>0</v>
      </c>
    </row>
    <row r="131" spans="12:12" x14ac:dyDescent="0.25">
      <c r="L131" s="55">
        <f t="shared" si="7"/>
        <v>0</v>
      </c>
    </row>
    <row r="132" spans="12:12" x14ac:dyDescent="0.25">
      <c r="L132" s="55">
        <f t="shared" si="7"/>
        <v>0</v>
      </c>
    </row>
    <row r="133" spans="12:12" x14ac:dyDescent="0.25">
      <c r="L133" s="55">
        <f t="shared" si="7"/>
        <v>0</v>
      </c>
    </row>
    <row r="134" spans="12:12" x14ac:dyDescent="0.25">
      <c r="L134" s="55">
        <f t="shared" si="7"/>
        <v>0</v>
      </c>
    </row>
    <row r="135" spans="12:12" x14ac:dyDescent="0.25">
      <c r="L135" s="55">
        <f t="shared" si="7"/>
        <v>0</v>
      </c>
    </row>
    <row r="136" spans="12:12" x14ac:dyDescent="0.25">
      <c r="L136" s="55">
        <f t="shared" si="7"/>
        <v>0</v>
      </c>
    </row>
    <row r="137" spans="12:12" x14ac:dyDescent="0.25">
      <c r="L137" s="55">
        <f t="shared" si="7"/>
        <v>0</v>
      </c>
    </row>
    <row r="138" spans="12:12" x14ac:dyDescent="0.25">
      <c r="L138" s="55">
        <f t="shared" si="7"/>
        <v>0</v>
      </c>
    </row>
    <row r="139" spans="12:12" x14ac:dyDescent="0.25">
      <c r="L139" s="55">
        <f t="shared" si="7"/>
        <v>0</v>
      </c>
    </row>
    <row r="140" spans="12:12" x14ac:dyDescent="0.25">
      <c r="L140" s="55">
        <f t="shared" si="7"/>
        <v>0</v>
      </c>
    </row>
    <row r="141" spans="12:12" x14ac:dyDescent="0.25">
      <c r="L141" s="55">
        <f t="shared" si="7"/>
        <v>0</v>
      </c>
    </row>
    <row r="142" spans="12:12" x14ac:dyDescent="0.25">
      <c r="L142" s="55">
        <f t="shared" si="7"/>
        <v>0</v>
      </c>
    </row>
    <row r="143" spans="12:12" x14ac:dyDescent="0.25">
      <c r="L143" s="55">
        <f t="shared" si="7"/>
        <v>0</v>
      </c>
    </row>
    <row r="144" spans="12:12" x14ac:dyDescent="0.25">
      <c r="L144" s="55">
        <f t="shared" si="7"/>
        <v>0</v>
      </c>
    </row>
    <row r="145" spans="12:12" x14ac:dyDescent="0.25">
      <c r="L145" s="55">
        <f t="shared" si="7"/>
        <v>0</v>
      </c>
    </row>
    <row r="146" spans="12:12" x14ac:dyDescent="0.25">
      <c r="L146" s="55">
        <f t="shared" si="7"/>
        <v>0</v>
      </c>
    </row>
    <row r="147" spans="12:12" x14ac:dyDescent="0.25">
      <c r="L147" s="55">
        <f t="shared" si="7"/>
        <v>0</v>
      </c>
    </row>
    <row r="148" spans="12:12" x14ac:dyDescent="0.25">
      <c r="L148" s="55">
        <f t="shared" si="7"/>
        <v>0</v>
      </c>
    </row>
    <row r="149" spans="12:12" x14ac:dyDescent="0.25">
      <c r="L149" s="55">
        <f t="shared" si="7"/>
        <v>0</v>
      </c>
    </row>
    <row r="150" spans="12:12" x14ac:dyDescent="0.25">
      <c r="L150" s="55">
        <f t="shared" si="7"/>
        <v>0</v>
      </c>
    </row>
    <row r="151" spans="12:12" x14ac:dyDescent="0.25">
      <c r="L151" s="55">
        <f t="shared" si="7"/>
        <v>0</v>
      </c>
    </row>
    <row r="152" spans="12:12" x14ac:dyDescent="0.25">
      <c r="L152" s="55">
        <f t="shared" si="7"/>
        <v>0</v>
      </c>
    </row>
    <row r="153" spans="12:12" x14ac:dyDescent="0.25">
      <c r="L153" s="55">
        <f t="shared" si="7"/>
        <v>0</v>
      </c>
    </row>
    <row r="154" spans="12:12" x14ac:dyDescent="0.25">
      <c r="L154" s="55">
        <f t="shared" si="7"/>
        <v>0</v>
      </c>
    </row>
    <row r="155" spans="12:12" x14ac:dyDescent="0.25">
      <c r="L155" s="55">
        <f t="shared" si="7"/>
        <v>0</v>
      </c>
    </row>
    <row r="156" spans="12:12" x14ac:dyDescent="0.25">
      <c r="L156" s="55">
        <f t="shared" si="7"/>
        <v>0</v>
      </c>
    </row>
    <row r="157" spans="12:12" x14ac:dyDescent="0.25">
      <c r="L157" s="55">
        <f t="shared" si="7"/>
        <v>0</v>
      </c>
    </row>
    <row r="158" spans="12:12" x14ac:dyDescent="0.25">
      <c r="L158" s="55">
        <f t="shared" si="7"/>
        <v>0</v>
      </c>
    </row>
    <row r="159" spans="12:12" x14ac:dyDescent="0.25">
      <c r="L159" s="55">
        <f t="shared" si="7"/>
        <v>0</v>
      </c>
    </row>
    <row r="160" spans="12:12" x14ac:dyDescent="0.25">
      <c r="L160" s="55">
        <f t="shared" si="7"/>
        <v>0</v>
      </c>
    </row>
    <row r="161" spans="12:12" x14ac:dyDescent="0.25">
      <c r="L161" s="55">
        <f t="shared" si="7"/>
        <v>0</v>
      </c>
    </row>
    <row r="162" spans="12:12" x14ac:dyDescent="0.25">
      <c r="L162" s="55">
        <f t="shared" si="7"/>
        <v>0</v>
      </c>
    </row>
    <row r="163" spans="12:12" x14ac:dyDescent="0.25">
      <c r="L163" s="55">
        <f t="shared" si="7"/>
        <v>0</v>
      </c>
    </row>
    <row r="164" spans="12:12" x14ac:dyDescent="0.25">
      <c r="L164" s="55">
        <f t="shared" si="7"/>
        <v>0</v>
      </c>
    </row>
    <row r="165" spans="12:12" x14ac:dyDescent="0.25">
      <c r="L165" s="55">
        <f t="shared" si="7"/>
        <v>0</v>
      </c>
    </row>
    <row r="166" spans="12:12" x14ac:dyDescent="0.25">
      <c r="L166" s="55">
        <f t="shared" si="7"/>
        <v>0</v>
      </c>
    </row>
    <row r="167" spans="12:12" x14ac:dyDescent="0.25">
      <c r="L167" s="55">
        <f t="shared" si="7"/>
        <v>0</v>
      </c>
    </row>
    <row r="168" spans="12:12" x14ac:dyDescent="0.25">
      <c r="L168" s="55">
        <f t="shared" si="7"/>
        <v>0</v>
      </c>
    </row>
    <row r="169" spans="12:12" x14ac:dyDescent="0.25">
      <c r="L169" s="55">
        <f t="shared" si="7"/>
        <v>0</v>
      </c>
    </row>
    <row r="170" spans="12:12" x14ac:dyDescent="0.25">
      <c r="L170" s="55">
        <f t="shared" si="7"/>
        <v>0</v>
      </c>
    </row>
    <row r="171" spans="12:12" x14ac:dyDescent="0.25">
      <c r="L171" s="55">
        <f t="shared" si="7"/>
        <v>0</v>
      </c>
    </row>
    <row r="172" spans="12:12" x14ac:dyDescent="0.25">
      <c r="L172" s="55">
        <f t="shared" si="7"/>
        <v>0</v>
      </c>
    </row>
    <row r="173" spans="12:12" x14ac:dyDescent="0.25">
      <c r="L173" s="55">
        <f t="shared" si="7"/>
        <v>0</v>
      </c>
    </row>
    <row r="174" spans="12:12" x14ac:dyDescent="0.25">
      <c r="L174" s="55">
        <f t="shared" si="7"/>
        <v>0</v>
      </c>
    </row>
    <row r="175" spans="12:12" x14ac:dyDescent="0.25">
      <c r="L175" s="55">
        <f t="shared" si="7"/>
        <v>0</v>
      </c>
    </row>
    <row r="176" spans="12:12" x14ac:dyDescent="0.25">
      <c r="L176" s="55">
        <f t="shared" si="7"/>
        <v>0</v>
      </c>
    </row>
    <row r="177" spans="12:12" x14ac:dyDescent="0.25">
      <c r="L177" s="55">
        <f t="shared" si="7"/>
        <v>0</v>
      </c>
    </row>
    <row r="178" spans="12:12" x14ac:dyDescent="0.25">
      <c r="L178" s="55">
        <f t="shared" si="7"/>
        <v>0</v>
      </c>
    </row>
    <row r="179" spans="12:12" x14ac:dyDescent="0.25">
      <c r="L179" s="55">
        <f t="shared" si="7"/>
        <v>0</v>
      </c>
    </row>
    <row r="180" spans="12:12" x14ac:dyDescent="0.25">
      <c r="L180" s="55">
        <f t="shared" si="7"/>
        <v>0</v>
      </c>
    </row>
    <row r="181" spans="12:12" x14ac:dyDescent="0.25">
      <c r="L181" s="55">
        <f t="shared" si="7"/>
        <v>0</v>
      </c>
    </row>
    <row r="182" spans="12:12" x14ac:dyDescent="0.25">
      <c r="L182" s="55">
        <f t="shared" si="7"/>
        <v>0</v>
      </c>
    </row>
    <row r="183" spans="12:12" x14ac:dyDescent="0.25">
      <c r="L183" s="55">
        <f t="shared" si="7"/>
        <v>0</v>
      </c>
    </row>
    <row r="184" spans="12:12" x14ac:dyDescent="0.25">
      <c r="L184" s="55">
        <f t="shared" si="7"/>
        <v>0</v>
      </c>
    </row>
    <row r="185" spans="12:12" x14ac:dyDescent="0.25">
      <c r="L185" s="55">
        <f t="shared" si="7"/>
        <v>0</v>
      </c>
    </row>
    <row r="186" spans="12:12" x14ac:dyDescent="0.25">
      <c r="L186" s="55">
        <f t="shared" si="7"/>
        <v>0</v>
      </c>
    </row>
    <row r="187" spans="12:12" x14ac:dyDescent="0.25">
      <c r="L187" s="55">
        <f t="shared" si="7"/>
        <v>0</v>
      </c>
    </row>
    <row r="188" spans="12:12" x14ac:dyDescent="0.25">
      <c r="L188" s="55">
        <f t="shared" si="7"/>
        <v>0</v>
      </c>
    </row>
    <row r="189" spans="12:12" x14ac:dyDescent="0.25">
      <c r="L189" s="55">
        <f t="shared" si="7"/>
        <v>0</v>
      </c>
    </row>
    <row r="190" spans="12:12" x14ac:dyDescent="0.25">
      <c r="L190" s="55">
        <f t="shared" si="7"/>
        <v>0</v>
      </c>
    </row>
    <row r="191" spans="12:12" x14ac:dyDescent="0.25">
      <c r="L191" s="55">
        <f t="shared" si="7"/>
        <v>0</v>
      </c>
    </row>
    <row r="192" spans="12:12" x14ac:dyDescent="0.25">
      <c r="L192" s="55">
        <f t="shared" si="7"/>
        <v>0</v>
      </c>
    </row>
    <row r="193" spans="12:12" x14ac:dyDescent="0.25">
      <c r="L193" s="55">
        <f t="shared" si="7"/>
        <v>0</v>
      </c>
    </row>
    <row r="194" spans="12:12" x14ac:dyDescent="0.25">
      <c r="L194" s="55">
        <f t="shared" ref="L194:L237" si="8">IF($V$29="A_Case1",MAX(9.1,C194),C194)</f>
        <v>0</v>
      </c>
    </row>
    <row r="195" spans="12:12" x14ac:dyDescent="0.25">
      <c r="L195" s="55">
        <f t="shared" si="8"/>
        <v>0</v>
      </c>
    </row>
    <row r="196" spans="12:12" x14ac:dyDescent="0.25">
      <c r="L196" s="55">
        <f t="shared" si="8"/>
        <v>0</v>
      </c>
    </row>
    <row r="197" spans="12:12" x14ac:dyDescent="0.25">
      <c r="L197" s="55">
        <f t="shared" si="8"/>
        <v>0</v>
      </c>
    </row>
    <row r="198" spans="12:12" x14ac:dyDescent="0.25">
      <c r="L198" s="55">
        <f t="shared" si="8"/>
        <v>0</v>
      </c>
    </row>
    <row r="199" spans="12:12" x14ac:dyDescent="0.25">
      <c r="L199" s="55">
        <f t="shared" si="8"/>
        <v>0</v>
      </c>
    </row>
    <row r="200" spans="12:12" x14ac:dyDescent="0.25">
      <c r="L200" s="55">
        <f t="shared" si="8"/>
        <v>0</v>
      </c>
    </row>
    <row r="201" spans="12:12" x14ac:dyDescent="0.25">
      <c r="L201" s="55">
        <f t="shared" si="8"/>
        <v>0</v>
      </c>
    </row>
    <row r="202" spans="12:12" x14ac:dyDescent="0.25">
      <c r="L202" s="55">
        <f t="shared" si="8"/>
        <v>0</v>
      </c>
    </row>
    <row r="203" spans="12:12" x14ac:dyDescent="0.25">
      <c r="L203" s="55">
        <f t="shared" si="8"/>
        <v>0</v>
      </c>
    </row>
    <row r="204" spans="12:12" x14ac:dyDescent="0.25">
      <c r="L204" s="55">
        <f t="shared" si="8"/>
        <v>0</v>
      </c>
    </row>
    <row r="205" spans="12:12" x14ac:dyDescent="0.25">
      <c r="L205" s="55">
        <f t="shared" si="8"/>
        <v>0</v>
      </c>
    </row>
    <row r="206" spans="12:12" x14ac:dyDescent="0.25">
      <c r="L206" s="55">
        <f t="shared" si="8"/>
        <v>0</v>
      </c>
    </row>
    <row r="207" spans="12:12" x14ac:dyDescent="0.25">
      <c r="L207" s="55">
        <f t="shared" si="8"/>
        <v>0</v>
      </c>
    </row>
    <row r="208" spans="12:12" x14ac:dyDescent="0.25">
      <c r="L208" s="55">
        <f t="shared" si="8"/>
        <v>0</v>
      </c>
    </row>
    <row r="209" spans="12:12" x14ac:dyDescent="0.25">
      <c r="L209" s="55">
        <f t="shared" si="8"/>
        <v>0</v>
      </c>
    </row>
    <row r="210" spans="12:12" x14ac:dyDescent="0.25">
      <c r="L210" s="55">
        <f t="shared" si="8"/>
        <v>0</v>
      </c>
    </row>
    <row r="211" spans="12:12" x14ac:dyDescent="0.25">
      <c r="L211" s="55">
        <f t="shared" si="8"/>
        <v>0</v>
      </c>
    </row>
    <row r="212" spans="12:12" x14ac:dyDescent="0.25">
      <c r="L212" s="55">
        <f t="shared" si="8"/>
        <v>0</v>
      </c>
    </row>
    <row r="213" spans="12:12" x14ac:dyDescent="0.25">
      <c r="L213" s="55">
        <f t="shared" si="8"/>
        <v>0</v>
      </c>
    </row>
    <row r="214" spans="12:12" x14ac:dyDescent="0.25">
      <c r="L214" s="55">
        <f t="shared" si="8"/>
        <v>0</v>
      </c>
    </row>
    <row r="215" spans="12:12" x14ac:dyDescent="0.25">
      <c r="L215" s="55">
        <f t="shared" si="8"/>
        <v>0</v>
      </c>
    </row>
    <row r="216" spans="12:12" x14ac:dyDescent="0.25">
      <c r="L216" s="55">
        <f t="shared" si="8"/>
        <v>0</v>
      </c>
    </row>
    <row r="217" spans="12:12" x14ac:dyDescent="0.25">
      <c r="L217" s="55">
        <f t="shared" si="8"/>
        <v>0</v>
      </c>
    </row>
    <row r="218" spans="12:12" x14ac:dyDescent="0.25">
      <c r="L218" s="55">
        <f t="shared" si="8"/>
        <v>0</v>
      </c>
    </row>
    <row r="219" spans="12:12" x14ac:dyDescent="0.25">
      <c r="L219" s="55">
        <f t="shared" si="8"/>
        <v>0</v>
      </c>
    </row>
    <row r="220" spans="12:12" x14ac:dyDescent="0.25">
      <c r="L220" s="55">
        <f t="shared" si="8"/>
        <v>0</v>
      </c>
    </row>
    <row r="221" spans="12:12" x14ac:dyDescent="0.25">
      <c r="L221" s="55">
        <f t="shared" si="8"/>
        <v>0</v>
      </c>
    </row>
    <row r="222" spans="12:12" x14ac:dyDescent="0.25">
      <c r="L222" s="55">
        <f t="shared" si="8"/>
        <v>0</v>
      </c>
    </row>
    <row r="223" spans="12:12" x14ac:dyDescent="0.25">
      <c r="L223" s="55">
        <f t="shared" si="8"/>
        <v>0</v>
      </c>
    </row>
    <row r="224" spans="12:12" x14ac:dyDescent="0.25">
      <c r="L224" s="55">
        <f t="shared" si="8"/>
        <v>0</v>
      </c>
    </row>
    <row r="225" spans="2:13" x14ac:dyDescent="0.25">
      <c r="L225" s="55">
        <f t="shared" si="8"/>
        <v>0</v>
      </c>
    </row>
    <row r="226" spans="2:13" x14ac:dyDescent="0.25">
      <c r="L226" s="55">
        <f t="shared" si="8"/>
        <v>0</v>
      </c>
    </row>
    <row r="227" spans="2:13" x14ac:dyDescent="0.25">
      <c r="L227" s="55">
        <f t="shared" si="8"/>
        <v>0</v>
      </c>
    </row>
    <row r="228" spans="2:13" x14ac:dyDescent="0.25">
      <c r="L228" s="55">
        <f t="shared" si="8"/>
        <v>0</v>
      </c>
    </row>
    <row r="229" spans="2:13" x14ac:dyDescent="0.25">
      <c r="L229" s="55">
        <f t="shared" si="8"/>
        <v>0</v>
      </c>
    </row>
    <row r="230" spans="2:13" x14ac:dyDescent="0.25">
      <c r="L230" s="55">
        <f t="shared" si="8"/>
        <v>0</v>
      </c>
    </row>
    <row r="231" spans="2:13" x14ac:dyDescent="0.25">
      <c r="L231" s="55">
        <f t="shared" si="8"/>
        <v>0</v>
      </c>
    </row>
    <row r="232" spans="2:13" x14ac:dyDescent="0.25">
      <c r="L232" s="55">
        <f t="shared" si="8"/>
        <v>0</v>
      </c>
    </row>
    <row r="233" spans="2:13" x14ac:dyDescent="0.25">
      <c r="L233" s="55">
        <f t="shared" si="8"/>
        <v>0</v>
      </c>
    </row>
    <row r="234" spans="2:13" x14ac:dyDescent="0.25">
      <c r="L234" s="55">
        <f t="shared" si="8"/>
        <v>0</v>
      </c>
    </row>
    <row r="235" spans="2:13" x14ac:dyDescent="0.25">
      <c r="L235" s="55">
        <f t="shared" si="8"/>
        <v>0</v>
      </c>
    </row>
    <row r="236" spans="2:13" x14ac:dyDescent="0.25">
      <c r="L236" s="55">
        <f t="shared" si="8"/>
        <v>0</v>
      </c>
    </row>
    <row r="237" spans="2:13" x14ac:dyDescent="0.25">
      <c r="L237" s="55">
        <f t="shared" si="8"/>
        <v>0</v>
      </c>
    </row>
    <row r="238" spans="2:13" x14ac:dyDescent="0.25">
      <c r="B238" s="53" t="s">
        <v>327</v>
      </c>
      <c r="C238" s="53" t="s">
        <v>327</v>
      </c>
      <c r="D238" s="53" t="s">
        <v>327</v>
      </c>
      <c r="E238" s="53" t="s">
        <v>327</v>
      </c>
      <c r="F238" s="53" t="s">
        <v>327</v>
      </c>
      <c r="G238" s="53" t="s">
        <v>327</v>
      </c>
      <c r="H238" s="53" t="s">
        <v>327</v>
      </c>
      <c r="I238" s="53" t="s">
        <v>327</v>
      </c>
      <c r="J238" s="53" t="s">
        <v>327</v>
      </c>
      <c r="K238" s="53" t="s">
        <v>327</v>
      </c>
      <c r="L238" s="53" t="s">
        <v>327</v>
      </c>
      <c r="M238" s="53" t="s">
        <v>327</v>
      </c>
    </row>
  </sheetData>
  <sheetProtection password="CB35" sheet="1" formatCells="0" formatColumns="0" formatRows="0" insertColumns="0" insertRows="0" deleteColumns="0" deleteRows="0" selectLockedCells="1"/>
  <mergeCells count="12">
    <mergeCell ref="J63:K63"/>
    <mergeCell ref="I65:I69"/>
    <mergeCell ref="J65:J69"/>
    <mergeCell ref="H65:H69"/>
    <mergeCell ref="K65:K69"/>
    <mergeCell ref="B4:F4"/>
    <mergeCell ref="D56:E58"/>
    <mergeCell ref="F63:G63"/>
    <mergeCell ref="H63:I63"/>
    <mergeCell ref="D63:D64"/>
    <mergeCell ref="C63:C64"/>
    <mergeCell ref="B63:B64"/>
  </mergeCells>
  <conditionalFormatting sqref="B65:B84">
    <cfRule type="cellIs" priority="3" operator="equal">
      <formula>0</formula>
    </cfRule>
  </conditionalFormatting>
  <conditionalFormatting sqref="B65:H65 B66:G84">
    <cfRule type="cellIs" dxfId="2" priority="4" operator="equal">
      <formula>0</formula>
    </cfRule>
  </conditionalFormatting>
  <conditionalFormatting sqref="F65:F84">
    <cfRule type="top10" dxfId="1" priority="2" bottom="1" rank="1"/>
  </conditionalFormatting>
  <conditionalFormatting sqref="J65">
    <cfRule type="cellIs" dxfId="0" priority="1" operator="equal">
      <formula>0</formula>
    </cfRule>
  </conditionalFormatting>
  <dataValidations count="1">
    <dataValidation type="list" allowBlank="1" showInputMessage="1" showErrorMessage="1" sqref="C13">
      <formula1>$Q$10:$Q$11</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x14:formula1>
            <xm:f>'BNBC 20 Data'!$B$7:$B$80</xm:f>
          </x14:formula1>
          <xm:sqref>C6</xm:sqref>
        </x14:dataValidation>
        <x14:dataValidation type="list" allowBlank="1" showInputMessage="1" showErrorMessage="1">
          <x14:formula1>
            <xm:f>'BNBC 20 Data'!$E$7:$E$10</xm:f>
          </x14:formula1>
          <xm:sqref>C7</xm:sqref>
        </x14:dataValidation>
        <x14:dataValidation type="list" allowBlank="1" showInputMessage="1" showErrorMessage="1">
          <x14:formula1>
            <xm:f>'Gust Factor Cal.'!$E$11:$E$13</xm:f>
          </x14:formula1>
          <xm:sqref>C8</xm:sqref>
        </x14:dataValidation>
        <x14:dataValidation type="list" allowBlank="1" showInputMessage="1" showErrorMessage="1">
          <x14:formula1>
            <xm:f>'BNBC 20 Data'!$E$17:$E$18</xm:f>
          </x14:formula1>
          <xm:sqref>C14</xm:sqref>
        </x14:dataValidation>
        <x14:dataValidation type="list" allowBlank="1" showInputMessage="1" showErrorMessage="1">
          <x14:formula1>
            <xm:f>'BNBC 20 Data'!$F$27:$F$29</xm:f>
          </x14:formula1>
          <xm:sqref>C15</xm:sqref>
        </x14:dataValidation>
        <x14:dataValidation type="list" allowBlank="1" showInputMessage="1" showErrorMessage="1">
          <x14:formula1>
            <xm:f>'BNBC 20 Data'!$N$7:$N$10</xm:f>
          </x14:formula1>
          <xm:sqref>C18</xm:sqref>
        </x14:dataValidation>
        <x14:dataValidation type="list" allowBlank="1" showInputMessage="1" showErrorMessage="1">
          <x14:formula1>
            <xm:f>'BNBC 20 Data'!$J$7:$J$15</xm:f>
          </x14:formula1>
          <xm:sqref>C17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Q78"/>
  <sheetViews>
    <sheetView topLeftCell="A4" workbookViewId="0">
      <selection activeCell="F13" sqref="F13"/>
    </sheetView>
  </sheetViews>
  <sheetFormatPr defaultRowHeight="15" x14ac:dyDescent="0.25"/>
  <cols>
    <col min="14" max="14" width="10.5703125" customWidth="1"/>
    <col min="15" max="15" width="11.140625" bestFit="1" customWidth="1"/>
  </cols>
  <sheetData>
    <row r="3" spans="2:17" x14ac:dyDescent="0.25">
      <c r="B3" s="114" t="s">
        <v>259</v>
      </c>
      <c r="C3" s="114"/>
      <c r="D3" s="114"/>
      <c r="E3" s="114"/>
      <c r="F3" s="114"/>
      <c r="G3" s="114" t="s">
        <v>264</v>
      </c>
      <c r="H3" s="114"/>
      <c r="I3" s="114"/>
      <c r="J3" s="114"/>
      <c r="K3" s="117" t="s">
        <v>333</v>
      </c>
      <c r="L3" s="118"/>
      <c r="N3" s="79" t="s">
        <v>331</v>
      </c>
      <c r="O3" s="80" t="s">
        <v>332</v>
      </c>
    </row>
    <row r="4" spans="2:17" x14ac:dyDescent="0.25">
      <c r="B4" s="81">
        <v>1</v>
      </c>
      <c r="C4" s="82" t="s">
        <v>336</v>
      </c>
      <c r="D4" s="82" t="s">
        <v>337</v>
      </c>
      <c r="E4" s="82" t="s">
        <v>260</v>
      </c>
      <c r="F4" s="82" t="s">
        <v>261</v>
      </c>
      <c r="G4" s="115" t="s">
        <v>262</v>
      </c>
      <c r="H4" s="115" t="s">
        <v>263</v>
      </c>
      <c r="I4" s="115" t="s">
        <v>265</v>
      </c>
      <c r="J4" s="115" t="s">
        <v>266</v>
      </c>
      <c r="K4" s="119" t="s">
        <v>329</v>
      </c>
      <c r="L4" s="120" t="s">
        <v>330</v>
      </c>
      <c r="N4" s="83">
        <f>'MWFRS (Any Ht.)'!R7/3.28</f>
        <v>27.134146341463417</v>
      </c>
      <c r="O4" s="83">
        <f>N5</f>
        <v>23.170731707317074</v>
      </c>
    </row>
    <row r="5" spans="2:17" x14ac:dyDescent="0.25">
      <c r="B5" s="33">
        <v>2</v>
      </c>
      <c r="C5" s="82" t="s">
        <v>123</v>
      </c>
      <c r="D5" s="82" t="s">
        <v>123</v>
      </c>
      <c r="E5" s="82" t="s">
        <v>123</v>
      </c>
      <c r="F5" s="82" t="s">
        <v>123</v>
      </c>
      <c r="G5" s="116"/>
      <c r="H5" s="116"/>
      <c r="I5" s="116"/>
      <c r="J5" s="116"/>
      <c r="K5" s="115"/>
      <c r="L5" s="121"/>
      <c r="M5" s="1" t="str">
        <f>'MWFRS (Any Ht.)'!C13</f>
        <v>Parallel</v>
      </c>
      <c r="N5" s="84">
        <f>'MWFRS (Any Ht.)'!R8/3.28</f>
        <v>23.170731707317074</v>
      </c>
      <c r="O5" s="85">
        <f>N4</f>
        <v>27.134146341463417</v>
      </c>
    </row>
    <row r="6" spans="2:17" x14ac:dyDescent="0.25">
      <c r="B6" s="33">
        <v>3</v>
      </c>
      <c r="C6" s="86">
        <v>5.4610000000000003</v>
      </c>
      <c r="D6" s="86">
        <v>9.7614999999999998</v>
      </c>
      <c r="E6" s="86">
        <v>5.3787000000000003</v>
      </c>
      <c r="F6" s="86">
        <v>10.2195</v>
      </c>
      <c r="G6">
        <f>(IF(C6="","",ABS(E6-C6)))</f>
        <v>8.230000000000004E-2</v>
      </c>
      <c r="H6">
        <f>IF(D6="","",ABS(F6-D6))</f>
        <v>0.45800000000000018</v>
      </c>
      <c r="I6">
        <f>IF(G6="","",(((0.15+(1.7*Iz*(SQRT(((3.4*Q*0.15)^2)+(gR*R.*'e1 &amp; e2 ratio Cal.'!G6)^2)))))/((1+(1.7*Iz*(SQRT(((3.4*Q)^2)+(gR*R.)^2)))))))</f>
        <v>0.1473469593196006</v>
      </c>
      <c r="J6">
        <f>IF(H6="","",(((0.15+(1.7*Iz*(SQRT(((3.4*Q*0.15)^2)+(gR*R.*'e1 &amp; e2 ratio Cal.'!H6)^2)))))/((1+(1.7*Iz*(SQRT(((3.4*Q)^2)+(gR*R.)^2)))))))</f>
        <v>0.17691882072089915</v>
      </c>
      <c r="K6">
        <f>IF(C6="","",IF($M$5="Normal",(G6/$N$4),(G6/$O$4)))</f>
        <v>3.5518947368421067E-3</v>
      </c>
      <c r="L6">
        <f>IF(D6="","",IF($M$5="Normal",(H6/$N$5),(H6/$O$5)))</f>
        <v>1.6879101123595509E-2</v>
      </c>
    </row>
    <row r="7" spans="2:17" x14ac:dyDescent="0.25">
      <c r="B7" s="33">
        <v>4</v>
      </c>
      <c r="C7" s="86">
        <v>5.4779999999999998</v>
      </c>
      <c r="D7" s="86">
        <v>5.5816999999999997</v>
      </c>
      <c r="E7" s="86">
        <v>5.4828999999999999</v>
      </c>
      <c r="F7" s="86">
        <v>8.9977999999999998</v>
      </c>
      <c r="G7">
        <f t="shared" ref="G7:G70" si="0">(IF(C7="","",ABS(E7-C7)))</f>
        <v>4.9000000000001265E-3</v>
      </c>
      <c r="H7">
        <f t="shared" ref="H7:H70" si="1">IF(D7="","",ABS(F7-D7))</f>
        <v>3.4161000000000001</v>
      </c>
      <c r="I7">
        <f>IF(G7="","",(((0.15+(1.7*Iz*(SQRT(((3.4*Q*0.15)^2)+(gR*R.*'e1 &amp; e2 ratio Cal.'!G7)^2)))))/((1+(1.7*Iz*(SQRT(((3.4*Q)^2)+(gR*R.)^2)))))))</f>
        <v>0.14618228357738147</v>
      </c>
      <c r="J7">
        <f>IF(H7="","",(((0.15+(1.7*Iz*(SQRT(((3.4*Q*0.15)^2)+(gR*R.*'e1 &amp; e2 ratio Cal.'!H7)^2)))))/((1+(1.7*Iz*(SQRT(((3.4*Q)^2)+(gR*R.)^2)))))))</f>
        <v>0.64851838985983568</v>
      </c>
      <c r="K7">
        <f t="shared" ref="K7:K70" si="2">IF(C7="","",IF($M$5="Normal",(G7/$N$4),(G7/$O$4)))</f>
        <v>2.1147368421053176E-4</v>
      </c>
      <c r="L7">
        <f t="shared" ref="L7:L70" si="3">IF(D7="","",IF($M$5="Normal",(H7/$N$5),(H7/$O$5)))</f>
        <v>0.1258967191011236</v>
      </c>
    </row>
    <row r="8" spans="2:17" x14ac:dyDescent="0.25">
      <c r="B8" s="33">
        <v>5</v>
      </c>
      <c r="C8" s="86">
        <v>5.431</v>
      </c>
      <c r="D8" s="86">
        <v>5.5343999999999998</v>
      </c>
      <c r="E8" s="86">
        <v>5.4748000000000001</v>
      </c>
      <c r="F8" s="86">
        <v>9.2174999999999994</v>
      </c>
      <c r="G8">
        <f t="shared" si="0"/>
        <v>4.3800000000000061E-2</v>
      </c>
      <c r="H8">
        <f t="shared" si="1"/>
        <v>3.6830999999999996</v>
      </c>
      <c r="I8">
        <f>IF(G8="","",(((0.15+(1.7*Iz*(SQRT(((3.4*Q*0.15)^2)+(gR*R.*'e1 &amp; e2 ratio Cal.'!G8)^2)))))/((1+(1.7*Iz*(SQRT(((3.4*Q)^2)+(gR*R.)^2)))))))</f>
        <v>0.1465108412721392</v>
      </c>
      <c r="J8">
        <f>IF(H8="","",(((0.15+(1.7*Iz*(SQRT(((3.4*Q*0.15)^2)+(gR*R.*'e1 &amp; e2 ratio Cal.'!H8)^2)))))/((1+(1.7*Iz*(SQRT(((3.4*Q)^2)+(gR*R.)^2)))))))</f>
        <v>0.69336341288906611</v>
      </c>
      <c r="K8">
        <f t="shared" si="2"/>
        <v>1.8903157894736868E-3</v>
      </c>
      <c r="L8">
        <f t="shared" si="3"/>
        <v>0.13573671910112356</v>
      </c>
    </row>
    <row r="9" spans="2:17" x14ac:dyDescent="0.25">
      <c r="B9" s="33">
        <v>6</v>
      </c>
      <c r="C9" s="86">
        <v>5.431</v>
      </c>
      <c r="D9" s="86">
        <v>5.5343999999999998</v>
      </c>
      <c r="E9" s="86">
        <v>5.4711999999999996</v>
      </c>
      <c r="F9" s="86">
        <v>9.4347999999999992</v>
      </c>
      <c r="G9">
        <f t="shared" si="0"/>
        <v>4.0199999999999569E-2</v>
      </c>
      <c r="H9">
        <f t="shared" si="1"/>
        <v>3.9003999999999994</v>
      </c>
      <c r="I9">
        <f>IF(G9="","",(((0.15+(1.7*Iz*(SQRT(((3.4*Q*0.15)^2)+(gR*R.*'e1 &amp; e2 ratio Cal.'!G9)^2)))))/((1+(1.7*Iz*(SQRT(((3.4*Q)^2)+(gR*R.)^2)))))))</f>
        <v>0.14645848222851959</v>
      </c>
      <c r="J9">
        <f>IF(H9="","",(((0.15+(1.7*Iz*(SQRT(((3.4*Q*0.15)^2)+(gR*R.*'e1 &amp; e2 ratio Cal.'!H9)^2)))))/((1+(1.7*Iz*(SQRT(((3.4*Q)^2)+(gR*R.)^2)))))))</f>
        <v>0.72990300097567795</v>
      </c>
      <c r="K9">
        <f t="shared" si="2"/>
        <v>1.7349473684210341E-3</v>
      </c>
      <c r="L9">
        <f t="shared" si="3"/>
        <v>0.14374507865168537</v>
      </c>
    </row>
    <row r="10" spans="2:17" x14ac:dyDescent="0.25">
      <c r="B10" s="33">
        <v>7</v>
      </c>
      <c r="C10" s="86">
        <v>5.431</v>
      </c>
      <c r="D10" s="86">
        <v>5.5343999999999998</v>
      </c>
      <c r="E10" s="86">
        <v>5.4843000000000002</v>
      </c>
      <c r="F10" s="86">
        <v>9.5139999999999993</v>
      </c>
      <c r="G10">
        <f t="shared" si="0"/>
        <v>5.3300000000000125E-2</v>
      </c>
      <c r="H10">
        <f t="shared" si="1"/>
        <v>3.9795999999999996</v>
      </c>
      <c r="I10">
        <f>IF(G10="","",(((0.15+(1.7*Iz*(SQRT(((3.4*Q*0.15)^2)+(gR*R.*'e1 &amp; e2 ratio Cal.'!G10)^2)))))/((1+(1.7*Iz*(SQRT(((3.4*Q)^2)+(gR*R.)^2)))))))</f>
        <v>0.14667035528049599</v>
      </c>
      <c r="J10">
        <f>IF(H10="","",(((0.15+(1.7*Iz*(SQRT(((3.4*Q*0.15)^2)+(gR*R.*'e1 &amp; e2 ratio Cal.'!H10)^2)))))/((1+(1.7*Iz*(SQRT(((3.4*Q)^2)+(gR*R.)^2)))))))</f>
        <v>0.74322878626710276</v>
      </c>
      <c r="K10">
        <f t="shared" si="2"/>
        <v>2.3003157894736894E-3</v>
      </c>
      <c r="L10">
        <f t="shared" si="3"/>
        <v>0.14666391011235952</v>
      </c>
    </row>
    <row r="11" spans="2:17" x14ac:dyDescent="0.25">
      <c r="B11" s="33">
        <v>8</v>
      </c>
      <c r="C11" s="86">
        <v>5.431</v>
      </c>
      <c r="D11" s="86">
        <v>5.5343999999999998</v>
      </c>
      <c r="E11" s="86">
        <v>5.5075000000000003</v>
      </c>
      <c r="F11" s="86">
        <v>9.1773000000000007</v>
      </c>
      <c r="G11">
        <f t="shared" si="0"/>
        <v>7.6500000000000234E-2</v>
      </c>
      <c r="H11">
        <f t="shared" si="1"/>
        <v>3.6429000000000009</v>
      </c>
      <c r="I11">
        <f>IF(G11="","",(((0.15+(1.7*Iz*(SQRT(((3.4*Q*0.15)^2)+(gR*R.*'e1 &amp; e2 ratio Cal.'!G11)^2)))))/((1+(1.7*Iz*(SQRT(((3.4*Q)^2)+(gR*R.)^2)))))))</f>
        <v>0.14718897672921591</v>
      </c>
      <c r="J11">
        <f>IF(H11="","",(((0.15+(1.7*Iz*(SQRT(((3.4*Q*0.15)^2)+(gR*R.*'e1 &amp; e2 ratio Cal.'!H11)^2)))))/((1+(1.7*Iz*(SQRT(((3.4*Q)^2)+(gR*R.)^2)))))))</f>
        <v>0.68660756295205894</v>
      </c>
      <c r="K11">
        <f t="shared" si="2"/>
        <v>3.301578947368431E-3</v>
      </c>
      <c r="L11">
        <f t="shared" si="3"/>
        <v>0.13425519101123598</v>
      </c>
      <c r="N11" s="44"/>
      <c r="O11" s="87">
        <f>'MWFRS (Any Ht.)'!C33</f>
        <v>0.90917424799984414</v>
      </c>
      <c r="P11" s="113" t="s">
        <v>328</v>
      </c>
      <c r="Q11" s="113"/>
    </row>
    <row r="12" spans="2:17" x14ac:dyDescent="0.25">
      <c r="B12" s="33">
        <v>9</v>
      </c>
      <c r="C12" s="86">
        <v>5.3217999999999996</v>
      </c>
      <c r="D12" s="86">
        <v>5.8101000000000003</v>
      </c>
      <c r="E12" s="86">
        <v>5.4259000000000004</v>
      </c>
      <c r="F12" s="86">
        <v>6.9970999999999997</v>
      </c>
      <c r="G12">
        <f t="shared" si="0"/>
        <v>0.10410000000000075</v>
      </c>
      <c r="H12">
        <f t="shared" si="1"/>
        <v>1.1869999999999994</v>
      </c>
      <c r="I12">
        <f>IF(G12="","",(((0.15+(1.7*Iz*(SQRT(((3.4*Q*0.15)^2)+(gR*R.*'e1 &amp; e2 ratio Cal.'!G12)^2)))))/((1+(1.7*Iz*(SQRT(((3.4*Q)^2)+(gR*R.)^2)))))))</f>
        <v>0.14804043631411901</v>
      </c>
      <c r="J12">
        <f>IF(H12="","",(((0.15+(1.7*Iz*(SQRT(((3.4*Q*0.15)^2)+(gR*R.*'e1 &amp; e2 ratio Cal.'!H12)^2)))))/((1+(1.7*Iz*(SQRT(((3.4*Q)^2)+(gR*R.)^2)))))))</f>
        <v>0.28105277056963085</v>
      </c>
      <c r="K12">
        <f t="shared" si="2"/>
        <v>4.492736842105295E-3</v>
      </c>
      <c r="L12">
        <f t="shared" si="3"/>
        <v>4.3745617977528066E-2</v>
      </c>
      <c r="N12" s="113" t="s">
        <v>335</v>
      </c>
      <c r="O12" s="113"/>
      <c r="P12" s="88" t="s">
        <v>269</v>
      </c>
      <c r="Q12" s="89">
        <f>MAX(I6:I78)</f>
        <v>0.14818824488824731</v>
      </c>
    </row>
    <row r="13" spans="2:17" x14ac:dyDescent="0.25">
      <c r="B13" s="33">
        <v>10</v>
      </c>
      <c r="C13" s="86">
        <v>5.3106999999999998</v>
      </c>
      <c r="D13" s="86">
        <v>8.1979000000000006</v>
      </c>
      <c r="E13" s="86">
        <v>5.4188999999999998</v>
      </c>
      <c r="F13" s="86">
        <v>9.1648999999999994</v>
      </c>
      <c r="G13">
        <f t="shared" si="0"/>
        <v>0.10820000000000007</v>
      </c>
      <c r="H13">
        <f t="shared" si="1"/>
        <v>0.96699999999999875</v>
      </c>
      <c r="I13">
        <f>IF(G13="","",(((0.15+(1.7*Iz*(SQRT(((3.4*Q*0.15)^2)+(gR*R.*'e1 &amp; e2 ratio Cal.'!G13)^2)))))/((1+(1.7*Iz*(SQRT(((3.4*Q)^2)+(gR*R.)^2)))))))</f>
        <v>0.14818824488824731</v>
      </c>
      <c r="J13">
        <f>IF(H13="","",(((0.15+(1.7*Iz*(SQRT(((3.4*Q*0.15)^2)+(gR*R.*'e1 &amp; e2 ratio Cal.'!H13)^2)))))/((1+(1.7*Iz*(SQRT(((3.4*Q)^2)+(gR*R.)^2)))))))</f>
        <v>0.2471015265728464</v>
      </c>
      <c r="K13">
        <f t="shared" si="2"/>
        <v>4.6696842105263189E-3</v>
      </c>
      <c r="L13">
        <f t="shared" si="3"/>
        <v>3.5637752808988718E-2</v>
      </c>
      <c r="N13" s="88" t="s">
        <v>269</v>
      </c>
      <c r="O13" s="89">
        <f>IF($O$11&gt;=1,Q15,Q12)</f>
        <v>0.14818824488824731</v>
      </c>
      <c r="P13" s="88" t="s">
        <v>270</v>
      </c>
      <c r="Q13" s="89">
        <f>MAX(J6:J78)</f>
        <v>0.74322878626710276</v>
      </c>
    </row>
    <row r="14" spans="2:17" x14ac:dyDescent="0.25">
      <c r="B14" s="33">
        <v>11</v>
      </c>
      <c r="G14" t="str">
        <f t="shared" si="0"/>
        <v/>
      </c>
      <c r="H14" t="str">
        <f t="shared" si="1"/>
        <v/>
      </c>
      <c r="I14" t="str">
        <f>IF(G14="","",(((0.15+(1.7*Iz*(SQRT(((3.4*Q*0.15)^2)+(gR*R.*'e1 &amp; e2 ratio Cal.'!G14)^2)))))/((1+(1.7*Iz*(SQRT(((3.4*Q)^2)+(gR*R.)^2)))))))</f>
        <v/>
      </c>
      <c r="J14" t="str">
        <f>IF(H14="","",(((0.15+(1.7*Iz*(SQRT(((3.4*Q*0.15)^2)+(gR*R.*'e1 &amp; e2 ratio Cal.'!H14)^2)))))/((1+(1.7*Iz*(SQRT(((3.4*Q)^2)+(gR*R.)^2)))))))</f>
        <v/>
      </c>
      <c r="K14" t="str">
        <f t="shared" si="2"/>
        <v/>
      </c>
      <c r="L14" t="str">
        <f t="shared" si="3"/>
        <v/>
      </c>
      <c r="N14" s="88" t="s">
        <v>270</v>
      </c>
      <c r="O14" s="89">
        <f>IF($O$11&gt;=1,Q16,Q13)</f>
        <v>0.74322878626710276</v>
      </c>
      <c r="P14" s="113" t="s">
        <v>334</v>
      </c>
      <c r="Q14" s="113"/>
    </row>
    <row r="15" spans="2:17" x14ac:dyDescent="0.25">
      <c r="B15" s="33">
        <v>12</v>
      </c>
      <c r="G15" t="str">
        <f t="shared" si="0"/>
        <v/>
      </c>
      <c r="H15" t="str">
        <f t="shared" si="1"/>
        <v/>
      </c>
      <c r="I15" t="str">
        <f>IF(G15="","",(((0.15+(1.7*Iz*(SQRT(((3.4*Q*0.15)^2)+(gR*R.*'e1 &amp; e2 ratio Cal.'!G15)^2)))))/((1+(1.7*Iz*(SQRT(((3.4*Q)^2)+(gR*R.)^2)))))))</f>
        <v/>
      </c>
      <c r="J15" t="str">
        <f>IF(H15="","",(((0.15+(1.7*Iz*(SQRT(((3.4*Q*0.15)^2)+(gR*R.*'e1 &amp; e2 ratio Cal.'!H15)^2)))))/((1+(1.7*Iz*(SQRT(((3.4*Q)^2)+(gR*R.)^2)))))))</f>
        <v/>
      </c>
      <c r="K15" t="str">
        <f t="shared" si="2"/>
        <v/>
      </c>
      <c r="L15" t="str">
        <f t="shared" si="3"/>
        <v/>
      </c>
      <c r="N15" s="44"/>
      <c r="O15" s="44"/>
      <c r="P15" s="88" t="s">
        <v>269</v>
      </c>
      <c r="Q15" s="89">
        <f>MAX(K6:K78)</f>
        <v>4.6696842105263189E-3</v>
      </c>
    </row>
    <row r="16" spans="2:17" x14ac:dyDescent="0.25">
      <c r="B16" s="33">
        <v>13</v>
      </c>
      <c r="G16" t="str">
        <f t="shared" si="0"/>
        <v/>
      </c>
      <c r="H16" t="str">
        <f t="shared" si="1"/>
        <v/>
      </c>
      <c r="I16" t="str">
        <f>IF(G16="","",(((0.15+(1.7*Iz*(SQRT(((3.4*Q*0.15)^2)+(gR*R.*'e1 &amp; e2 ratio Cal.'!G16)^2)))))/((1+(1.7*Iz*(SQRT(((3.4*Q)^2)+(gR*R.)^2)))))))</f>
        <v/>
      </c>
      <c r="J16" t="str">
        <f>IF(H16="","",(((0.15+(1.7*Iz*(SQRT(((3.4*Q*0.15)^2)+(gR*R.*'e1 &amp; e2 ratio Cal.'!H16)^2)))))/((1+(1.7*Iz*(SQRT(((3.4*Q)^2)+(gR*R.)^2)))))))</f>
        <v/>
      </c>
      <c r="K16" t="str">
        <f t="shared" si="2"/>
        <v/>
      </c>
      <c r="L16" t="str">
        <f t="shared" si="3"/>
        <v/>
      </c>
      <c r="N16" s="44"/>
      <c r="O16" s="44"/>
      <c r="P16" s="88" t="s">
        <v>270</v>
      </c>
      <c r="Q16" s="89">
        <f>MAX(L6:L78)</f>
        <v>0.14666391011235952</v>
      </c>
    </row>
    <row r="17" spans="2:12" x14ac:dyDescent="0.25">
      <c r="B17" s="33">
        <v>14</v>
      </c>
      <c r="G17" t="str">
        <f t="shared" si="0"/>
        <v/>
      </c>
      <c r="H17" t="str">
        <f t="shared" si="1"/>
        <v/>
      </c>
      <c r="I17" t="str">
        <f>IF(G17="","",(((0.15+(1.7*Iz*(SQRT(((3.4*Q*0.15)^2)+(gR*R.*'e1 &amp; e2 ratio Cal.'!G17)^2)))))/((1+(1.7*Iz*(SQRT(((3.4*Q)^2)+(gR*R.)^2)))))))</f>
        <v/>
      </c>
      <c r="J17" t="str">
        <f>IF(H17="","",(((0.15+(1.7*Iz*(SQRT(((3.4*Q*0.15)^2)+(gR*R.*'e1 &amp; e2 ratio Cal.'!H17)^2)))))/((1+(1.7*Iz*(SQRT(((3.4*Q)^2)+(gR*R.)^2)))))))</f>
        <v/>
      </c>
      <c r="K17" t="str">
        <f t="shared" si="2"/>
        <v/>
      </c>
      <c r="L17" t="str">
        <f t="shared" si="3"/>
        <v/>
      </c>
    </row>
    <row r="18" spans="2:12" x14ac:dyDescent="0.25">
      <c r="B18" s="33">
        <v>15</v>
      </c>
      <c r="G18" t="str">
        <f t="shared" si="0"/>
        <v/>
      </c>
      <c r="H18" t="str">
        <f t="shared" si="1"/>
        <v/>
      </c>
      <c r="I18" t="str">
        <f>IF(G18="","",(((0.15+(1.7*Iz*(SQRT(((3.4*Q*0.15)^2)+(gR*R.*'e1 &amp; e2 ratio Cal.'!G18)^2)))))/((1+(1.7*Iz*(SQRT(((3.4*Q)^2)+(gR*R.)^2)))))))</f>
        <v/>
      </c>
      <c r="J18" t="str">
        <f>IF(H18="","",(((0.15+(1.7*Iz*(SQRT(((3.4*Q*0.15)^2)+(gR*R.*'e1 &amp; e2 ratio Cal.'!H18)^2)))))/((1+(1.7*Iz*(SQRT(((3.4*Q)^2)+(gR*R.)^2)))))))</f>
        <v/>
      </c>
      <c r="K18" t="str">
        <f t="shared" si="2"/>
        <v/>
      </c>
      <c r="L18" t="str">
        <f t="shared" si="3"/>
        <v/>
      </c>
    </row>
    <row r="19" spans="2:12" x14ac:dyDescent="0.25">
      <c r="B19" s="33">
        <v>16</v>
      </c>
      <c r="G19" t="str">
        <f t="shared" si="0"/>
        <v/>
      </c>
      <c r="H19" t="str">
        <f t="shared" si="1"/>
        <v/>
      </c>
      <c r="I19" t="str">
        <f>IF(G19="","",(((0.15+(1.7*Iz*(SQRT(((3.4*Q*0.15)^2)+(gR*R.*'e1 &amp; e2 ratio Cal.'!G19)^2)))))/((1+(1.7*Iz*(SQRT(((3.4*Q)^2)+(gR*R.)^2)))))))</f>
        <v/>
      </c>
      <c r="J19" t="str">
        <f>IF(H19="","",(((0.15+(1.7*Iz*(SQRT(((3.4*Q*0.15)^2)+(gR*R.*'e1 &amp; e2 ratio Cal.'!H19)^2)))))/((1+(1.7*Iz*(SQRT(((3.4*Q)^2)+(gR*R.)^2)))))))</f>
        <v/>
      </c>
      <c r="K19" t="str">
        <f t="shared" si="2"/>
        <v/>
      </c>
      <c r="L19" t="str">
        <f t="shared" si="3"/>
        <v/>
      </c>
    </row>
    <row r="20" spans="2:12" x14ac:dyDescent="0.25">
      <c r="B20" s="33">
        <v>17</v>
      </c>
      <c r="G20" t="str">
        <f t="shared" si="0"/>
        <v/>
      </c>
      <c r="H20" t="str">
        <f t="shared" si="1"/>
        <v/>
      </c>
      <c r="I20" t="str">
        <f>IF(G20="","",(((0.15+(1.7*Iz*(SQRT(((3.4*Q*0.15)^2)+(gR*R.*'e1 &amp; e2 ratio Cal.'!G20)^2)))))/((1+(1.7*Iz*(SQRT(((3.4*Q)^2)+(gR*R.)^2)))))))</f>
        <v/>
      </c>
      <c r="J20" t="str">
        <f>IF(H20="","",(((0.15+(1.7*Iz*(SQRT(((3.4*Q*0.15)^2)+(gR*R.*'e1 &amp; e2 ratio Cal.'!H20)^2)))))/((1+(1.7*Iz*(SQRT(((3.4*Q)^2)+(gR*R.)^2)))))))</f>
        <v/>
      </c>
      <c r="K20" t="str">
        <f t="shared" si="2"/>
        <v/>
      </c>
      <c r="L20" t="str">
        <f t="shared" si="3"/>
        <v/>
      </c>
    </row>
    <row r="21" spans="2:12" x14ac:dyDescent="0.25">
      <c r="B21" s="33">
        <v>18</v>
      </c>
      <c r="G21" t="str">
        <f t="shared" si="0"/>
        <v/>
      </c>
      <c r="H21" t="str">
        <f t="shared" si="1"/>
        <v/>
      </c>
      <c r="I21" t="str">
        <f>IF(G21="","",(((0.15+(1.7*Iz*(SQRT(((3.4*Q*0.15)^2)+(gR*R.*'e1 &amp; e2 ratio Cal.'!G21)^2)))))/((1+(1.7*Iz*(SQRT(((3.4*Q)^2)+(gR*R.)^2)))))))</f>
        <v/>
      </c>
      <c r="J21" t="str">
        <f>IF(H21="","",(((0.15+(1.7*Iz*(SQRT(((3.4*Q*0.15)^2)+(gR*R.*'e1 &amp; e2 ratio Cal.'!H21)^2)))))/((1+(1.7*Iz*(SQRT(((3.4*Q)^2)+(gR*R.)^2)))))))</f>
        <v/>
      </c>
      <c r="K21" t="str">
        <f t="shared" si="2"/>
        <v/>
      </c>
      <c r="L21" t="str">
        <f t="shared" si="3"/>
        <v/>
      </c>
    </row>
    <row r="22" spans="2:12" x14ac:dyDescent="0.25">
      <c r="B22" s="33">
        <v>19</v>
      </c>
      <c r="G22" t="str">
        <f t="shared" si="0"/>
        <v/>
      </c>
      <c r="H22" t="str">
        <f t="shared" si="1"/>
        <v/>
      </c>
      <c r="I22" t="str">
        <f>IF(G22="","",(((0.15+(1.7*Iz*(SQRT(((3.4*Q*0.15)^2)+(gR*R.*'e1 &amp; e2 ratio Cal.'!G22)^2)))))/((1+(1.7*Iz*(SQRT(((3.4*Q)^2)+(gR*R.)^2)))))))</f>
        <v/>
      </c>
      <c r="J22" t="str">
        <f>IF(H22="","",(((0.15+(1.7*Iz*(SQRT(((3.4*Q*0.15)^2)+(gR*R.*'e1 &amp; e2 ratio Cal.'!H22)^2)))))/((1+(1.7*Iz*(SQRT(((3.4*Q)^2)+(gR*R.)^2)))))))</f>
        <v/>
      </c>
      <c r="K22" t="str">
        <f t="shared" si="2"/>
        <v/>
      </c>
      <c r="L22" t="str">
        <f t="shared" si="3"/>
        <v/>
      </c>
    </row>
    <row r="23" spans="2:12" x14ac:dyDescent="0.25">
      <c r="B23" s="33">
        <v>20</v>
      </c>
      <c r="G23" t="str">
        <f t="shared" si="0"/>
        <v/>
      </c>
      <c r="H23" t="str">
        <f t="shared" si="1"/>
        <v/>
      </c>
      <c r="I23" t="str">
        <f>IF(G23="","",(((0.15+(1.7*Iz*(SQRT(((3.4*Q*0.15)^2)+(gR*R.*'e1 &amp; e2 ratio Cal.'!G23)^2)))))/((1+(1.7*Iz*(SQRT(((3.4*Q)^2)+(gR*R.)^2)))))))</f>
        <v/>
      </c>
      <c r="J23" t="str">
        <f>IF(H23="","",(((0.15+(1.7*Iz*(SQRT(((3.4*Q*0.15)^2)+(gR*R.*'e1 &amp; e2 ratio Cal.'!H23)^2)))))/((1+(1.7*Iz*(SQRT(((3.4*Q)^2)+(gR*R.)^2)))))))</f>
        <v/>
      </c>
      <c r="K23" t="str">
        <f t="shared" si="2"/>
        <v/>
      </c>
      <c r="L23" t="str">
        <f t="shared" si="3"/>
        <v/>
      </c>
    </row>
    <row r="24" spans="2:12" x14ac:dyDescent="0.25">
      <c r="B24" s="33">
        <v>21</v>
      </c>
      <c r="G24" t="str">
        <f t="shared" si="0"/>
        <v/>
      </c>
      <c r="H24" t="str">
        <f t="shared" si="1"/>
        <v/>
      </c>
      <c r="I24" t="str">
        <f>IF(G24="","",(((0.15+(1.7*Iz*(SQRT(((3.4*Q*0.15)^2)+(gR*R.*'e1 &amp; e2 ratio Cal.'!G24)^2)))))/((1+(1.7*Iz*(SQRT(((3.4*Q)^2)+(gR*R.)^2)))))))</f>
        <v/>
      </c>
      <c r="J24" t="str">
        <f>IF(H24="","",(((0.15+(1.7*Iz*(SQRT(((3.4*Q*0.15)^2)+(gR*R.*'e1 &amp; e2 ratio Cal.'!H24)^2)))))/((1+(1.7*Iz*(SQRT(((3.4*Q)^2)+(gR*R.)^2)))))))</f>
        <v/>
      </c>
      <c r="K24" t="str">
        <f t="shared" si="2"/>
        <v/>
      </c>
      <c r="L24" t="str">
        <f t="shared" si="3"/>
        <v/>
      </c>
    </row>
    <row r="25" spans="2:12" x14ac:dyDescent="0.25">
      <c r="B25" s="33">
        <v>22</v>
      </c>
      <c r="G25" t="str">
        <f t="shared" si="0"/>
        <v/>
      </c>
      <c r="H25" t="str">
        <f t="shared" si="1"/>
        <v/>
      </c>
      <c r="I25" t="str">
        <f>IF(G25="","",(((0.15+(1.7*Iz*(SQRT(((3.4*Q*0.15)^2)+(gR*R.*'e1 &amp; e2 ratio Cal.'!G25)^2)))))/((1+(1.7*Iz*(SQRT(((3.4*Q)^2)+(gR*R.)^2)))))))</f>
        <v/>
      </c>
      <c r="J25" t="str">
        <f>IF(H25="","",(((0.15+(1.7*Iz*(SQRT(((3.4*Q*0.15)^2)+(gR*R.*'e1 &amp; e2 ratio Cal.'!H25)^2)))))/((1+(1.7*Iz*(SQRT(((3.4*Q)^2)+(gR*R.)^2)))))))</f>
        <v/>
      </c>
      <c r="K25" t="str">
        <f t="shared" si="2"/>
        <v/>
      </c>
      <c r="L25" t="str">
        <f t="shared" si="3"/>
        <v/>
      </c>
    </row>
    <row r="26" spans="2:12" x14ac:dyDescent="0.25">
      <c r="B26" s="33">
        <v>23</v>
      </c>
      <c r="G26" t="str">
        <f t="shared" si="0"/>
        <v/>
      </c>
      <c r="H26" t="str">
        <f t="shared" si="1"/>
        <v/>
      </c>
      <c r="I26" t="str">
        <f>IF(G26="","",(((0.15+(1.7*Iz*(SQRT(((3.4*Q*0.15)^2)+(gR*R.*'e1 &amp; e2 ratio Cal.'!G26)^2)))))/((1+(1.7*Iz*(SQRT(((3.4*Q)^2)+(gR*R.)^2)))))))</f>
        <v/>
      </c>
      <c r="J26" t="str">
        <f>IF(H26="","",(((0.15+(1.7*Iz*(SQRT(((3.4*Q*0.15)^2)+(gR*R.*'e1 &amp; e2 ratio Cal.'!H26)^2)))))/((1+(1.7*Iz*(SQRT(((3.4*Q)^2)+(gR*R.)^2)))))))</f>
        <v/>
      </c>
      <c r="K26" t="str">
        <f t="shared" si="2"/>
        <v/>
      </c>
      <c r="L26" t="str">
        <f t="shared" si="3"/>
        <v/>
      </c>
    </row>
    <row r="27" spans="2:12" x14ac:dyDescent="0.25">
      <c r="B27" s="33">
        <v>24</v>
      </c>
      <c r="G27" t="str">
        <f t="shared" si="0"/>
        <v/>
      </c>
      <c r="H27" t="str">
        <f t="shared" si="1"/>
        <v/>
      </c>
      <c r="I27" t="str">
        <f>IF(G27="","",(((0.15+(1.7*Iz*(SQRT(((3.4*Q*0.15)^2)+(gR*R.*'e1 &amp; e2 ratio Cal.'!G27)^2)))))/((1+(1.7*Iz*(SQRT(((3.4*Q)^2)+(gR*R.)^2)))))))</f>
        <v/>
      </c>
      <c r="J27" t="str">
        <f>IF(H27="","",(((0.15+(1.7*Iz*(SQRT(((3.4*Q*0.15)^2)+(gR*R.*'e1 &amp; e2 ratio Cal.'!H27)^2)))))/((1+(1.7*Iz*(SQRT(((3.4*Q)^2)+(gR*R.)^2)))))))</f>
        <v/>
      </c>
      <c r="K27" t="str">
        <f t="shared" si="2"/>
        <v/>
      </c>
      <c r="L27" t="str">
        <f t="shared" si="3"/>
        <v/>
      </c>
    </row>
    <row r="28" spans="2:12" x14ac:dyDescent="0.25">
      <c r="B28" s="33">
        <v>25</v>
      </c>
      <c r="G28" t="str">
        <f t="shared" si="0"/>
        <v/>
      </c>
      <c r="H28" t="str">
        <f t="shared" si="1"/>
        <v/>
      </c>
      <c r="I28" t="str">
        <f>IF(G28="","",(((0.15+(1.7*Iz*(SQRT(((3.4*Q*0.15)^2)+(gR*R.*'e1 &amp; e2 ratio Cal.'!G28)^2)))))/((1+(1.7*Iz*(SQRT(((3.4*Q)^2)+(gR*R.)^2)))))))</f>
        <v/>
      </c>
      <c r="J28" t="str">
        <f>IF(H28="","",(((0.15+(1.7*Iz*(SQRT(((3.4*Q*0.15)^2)+(gR*R.*'e1 &amp; e2 ratio Cal.'!H28)^2)))))/((1+(1.7*Iz*(SQRT(((3.4*Q)^2)+(gR*R.)^2)))))))</f>
        <v/>
      </c>
      <c r="K28" t="str">
        <f t="shared" si="2"/>
        <v/>
      </c>
      <c r="L28" t="str">
        <f t="shared" si="3"/>
        <v/>
      </c>
    </row>
    <row r="29" spans="2:12" x14ac:dyDescent="0.25">
      <c r="B29" s="33">
        <v>26</v>
      </c>
      <c r="G29" t="str">
        <f t="shared" si="0"/>
        <v/>
      </c>
      <c r="H29" t="str">
        <f t="shared" si="1"/>
        <v/>
      </c>
      <c r="I29" t="str">
        <f>IF(G29="","",(((0.15+(1.7*Iz*(SQRT(((3.4*Q*0.15)^2)+(gR*R.*'e1 &amp; e2 ratio Cal.'!G29)^2)))))/((1+(1.7*Iz*(SQRT(((3.4*Q)^2)+(gR*R.)^2)))))))</f>
        <v/>
      </c>
      <c r="J29" t="str">
        <f>IF(H29="","",(((0.15+(1.7*Iz*(SQRT(((3.4*Q*0.15)^2)+(gR*R.*'e1 &amp; e2 ratio Cal.'!H29)^2)))))/((1+(1.7*Iz*(SQRT(((3.4*Q)^2)+(gR*R.)^2)))))))</f>
        <v/>
      </c>
      <c r="K29" t="str">
        <f t="shared" si="2"/>
        <v/>
      </c>
      <c r="L29" t="str">
        <f t="shared" si="3"/>
        <v/>
      </c>
    </row>
    <row r="30" spans="2:12" x14ac:dyDescent="0.25">
      <c r="B30" s="33">
        <v>27</v>
      </c>
      <c r="G30" t="str">
        <f t="shared" si="0"/>
        <v/>
      </c>
      <c r="H30" t="str">
        <f t="shared" si="1"/>
        <v/>
      </c>
      <c r="I30" t="str">
        <f>IF(G30="","",(((0.15+(1.7*Iz*(SQRT(((3.4*Q*0.15)^2)+(gR*R.*'e1 &amp; e2 ratio Cal.'!G30)^2)))))/((1+(1.7*Iz*(SQRT(((3.4*Q)^2)+(gR*R.)^2)))))))</f>
        <v/>
      </c>
      <c r="J30" t="str">
        <f>IF(H30="","",(((0.15+(1.7*Iz*(SQRT(((3.4*Q*0.15)^2)+(gR*R.*'e1 &amp; e2 ratio Cal.'!H30)^2)))))/((1+(1.7*Iz*(SQRT(((3.4*Q)^2)+(gR*R.)^2)))))))</f>
        <v/>
      </c>
      <c r="K30" t="str">
        <f t="shared" si="2"/>
        <v/>
      </c>
      <c r="L30" t="str">
        <f t="shared" si="3"/>
        <v/>
      </c>
    </row>
    <row r="31" spans="2:12" x14ac:dyDescent="0.25">
      <c r="B31" s="33">
        <v>28</v>
      </c>
      <c r="G31" t="str">
        <f t="shared" si="0"/>
        <v/>
      </c>
      <c r="H31" t="str">
        <f t="shared" si="1"/>
        <v/>
      </c>
      <c r="I31" t="str">
        <f>IF(G31="","",(((0.15+(1.7*Iz*(SQRT(((3.4*Q*0.15)^2)+(gR*R.*'e1 &amp; e2 ratio Cal.'!G31)^2)))))/((1+(1.7*Iz*(SQRT(((3.4*Q)^2)+(gR*R.)^2)))))))</f>
        <v/>
      </c>
      <c r="J31" t="str">
        <f>IF(H31="","",(((0.15+(1.7*Iz*(SQRT(((3.4*Q*0.15)^2)+(gR*R.*'e1 &amp; e2 ratio Cal.'!H31)^2)))))/((1+(1.7*Iz*(SQRT(((3.4*Q)^2)+(gR*R.)^2)))))))</f>
        <v/>
      </c>
      <c r="K31" t="str">
        <f t="shared" si="2"/>
        <v/>
      </c>
      <c r="L31" t="str">
        <f t="shared" si="3"/>
        <v/>
      </c>
    </row>
    <row r="32" spans="2:12" x14ac:dyDescent="0.25">
      <c r="B32" s="33">
        <v>29</v>
      </c>
      <c r="G32" t="str">
        <f t="shared" si="0"/>
        <v/>
      </c>
      <c r="H32" t="str">
        <f t="shared" si="1"/>
        <v/>
      </c>
      <c r="I32" t="str">
        <f>IF(G32="","",(((0.15+(1.7*Iz*(SQRT(((3.4*Q*0.15)^2)+(gR*R.*'e1 &amp; e2 ratio Cal.'!G32)^2)))))/((1+(1.7*Iz*(SQRT(((3.4*Q)^2)+(gR*R.)^2)))))))</f>
        <v/>
      </c>
      <c r="J32" t="str">
        <f>IF(H32="","",(((0.15+(1.7*Iz*(SQRT(((3.4*Q*0.15)^2)+(gR*R.*'e1 &amp; e2 ratio Cal.'!H32)^2)))))/((1+(1.7*Iz*(SQRT(((3.4*Q)^2)+(gR*R.)^2)))))))</f>
        <v/>
      </c>
      <c r="K32" t="str">
        <f t="shared" si="2"/>
        <v/>
      </c>
      <c r="L32" t="str">
        <f t="shared" si="3"/>
        <v/>
      </c>
    </row>
    <row r="33" spans="2:12" x14ac:dyDescent="0.25">
      <c r="B33" s="33">
        <v>30</v>
      </c>
      <c r="G33" t="str">
        <f t="shared" si="0"/>
        <v/>
      </c>
      <c r="H33" t="str">
        <f t="shared" si="1"/>
        <v/>
      </c>
      <c r="I33" t="str">
        <f>IF(G33="","",(((0.15+(1.7*Iz*(SQRT(((3.4*Q*0.15)^2)+(gR*R.*'e1 &amp; e2 ratio Cal.'!G33)^2)))))/((1+(1.7*Iz*(SQRT(((3.4*Q)^2)+(gR*R.)^2)))))))</f>
        <v/>
      </c>
      <c r="J33" t="str">
        <f>IF(H33="","",(((0.15+(1.7*Iz*(SQRT(((3.4*Q*0.15)^2)+(gR*R.*'e1 &amp; e2 ratio Cal.'!H33)^2)))))/((1+(1.7*Iz*(SQRT(((3.4*Q)^2)+(gR*R.)^2)))))))</f>
        <v/>
      </c>
      <c r="K33" t="str">
        <f t="shared" si="2"/>
        <v/>
      </c>
      <c r="L33" t="str">
        <f t="shared" si="3"/>
        <v/>
      </c>
    </row>
    <row r="34" spans="2:12" x14ac:dyDescent="0.25">
      <c r="B34" s="33">
        <v>31</v>
      </c>
      <c r="G34" t="str">
        <f t="shared" si="0"/>
        <v/>
      </c>
      <c r="H34" t="str">
        <f t="shared" si="1"/>
        <v/>
      </c>
      <c r="I34" t="str">
        <f>IF(G34="","",(((0.15+(1.7*Iz*(SQRT(((3.4*Q*0.15)^2)+(gR*R.*'e1 &amp; e2 ratio Cal.'!G34)^2)))))/((1+(1.7*Iz*(SQRT(((3.4*Q)^2)+(gR*R.)^2)))))))</f>
        <v/>
      </c>
      <c r="J34" t="str">
        <f>IF(H34="","",(((0.15+(1.7*Iz*(SQRT(((3.4*Q*0.15)^2)+(gR*R.*'e1 &amp; e2 ratio Cal.'!H34)^2)))))/((1+(1.7*Iz*(SQRT(((3.4*Q)^2)+(gR*R.)^2)))))))</f>
        <v/>
      </c>
      <c r="K34" t="str">
        <f t="shared" si="2"/>
        <v/>
      </c>
      <c r="L34" t="str">
        <f t="shared" si="3"/>
        <v/>
      </c>
    </row>
    <row r="35" spans="2:12" x14ac:dyDescent="0.25">
      <c r="B35" s="33">
        <v>32</v>
      </c>
      <c r="G35" t="str">
        <f t="shared" si="0"/>
        <v/>
      </c>
      <c r="H35" t="str">
        <f t="shared" si="1"/>
        <v/>
      </c>
      <c r="I35" t="str">
        <f>IF(G35="","",(((0.15+(1.7*Iz*(SQRT(((3.4*Q*0.15)^2)+(gR*R.*'e1 &amp; e2 ratio Cal.'!G35)^2)))))/((1+(1.7*Iz*(SQRT(((3.4*Q)^2)+(gR*R.)^2)))))))</f>
        <v/>
      </c>
      <c r="J35" t="str">
        <f>IF(H35="","",(((0.15+(1.7*Iz*(SQRT(((3.4*Q*0.15)^2)+(gR*R.*'e1 &amp; e2 ratio Cal.'!H35)^2)))))/((1+(1.7*Iz*(SQRT(((3.4*Q)^2)+(gR*R.)^2)))))))</f>
        <v/>
      </c>
      <c r="K35" t="str">
        <f t="shared" si="2"/>
        <v/>
      </c>
      <c r="L35" t="str">
        <f t="shared" si="3"/>
        <v/>
      </c>
    </row>
    <row r="36" spans="2:12" x14ac:dyDescent="0.25">
      <c r="B36" s="33">
        <v>33</v>
      </c>
      <c r="G36" t="str">
        <f t="shared" si="0"/>
        <v/>
      </c>
      <c r="H36" t="str">
        <f t="shared" si="1"/>
        <v/>
      </c>
      <c r="I36" t="str">
        <f>IF(G36="","",(((0.15+(1.7*Iz*(SQRT(((3.4*Q*0.15)^2)+(gR*R.*'e1 &amp; e2 ratio Cal.'!G36)^2)))))/((1+(1.7*Iz*(SQRT(((3.4*Q)^2)+(gR*R.)^2)))))))</f>
        <v/>
      </c>
      <c r="J36" t="str">
        <f>IF(H36="","",(((0.15+(1.7*Iz*(SQRT(((3.4*Q*0.15)^2)+(gR*R.*'e1 &amp; e2 ratio Cal.'!H36)^2)))))/((1+(1.7*Iz*(SQRT(((3.4*Q)^2)+(gR*R.)^2)))))))</f>
        <v/>
      </c>
      <c r="K36" t="str">
        <f t="shared" si="2"/>
        <v/>
      </c>
      <c r="L36" t="str">
        <f t="shared" si="3"/>
        <v/>
      </c>
    </row>
    <row r="37" spans="2:12" x14ac:dyDescent="0.25">
      <c r="B37" s="33">
        <v>34</v>
      </c>
      <c r="G37" t="str">
        <f t="shared" si="0"/>
        <v/>
      </c>
      <c r="H37" t="str">
        <f t="shared" si="1"/>
        <v/>
      </c>
      <c r="I37" t="str">
        <f>IF(G37="","",(((0.15+(1.7*Iz*(SQRT(((3.4*Q*0.15)^2)+(gR*R.*'e1 &amp; e2 ratio Cal.'!G37)^2)))))/((1+(1.7*Iz*(SQRT(((3.4*Q)^2)+(gR*R.)^2)))))))</f>
        <v/>
      </c>
      <c r="J37" t="str">
        <f>IF(H37="","",(((0.15+(1.7*Iz*(SQRT(((3.4*Q*0.15)^2)+(gR*R.*'e1 &amp; e2 ratio Cal.'!H37)^2)))))/((1+(1.7*Iz*(SQRT(((3.4*Q)^2)+(gR*R.)^2)))))))</f>
        <v/>
      </c>
      <c r="K37" t="str">
        <f t="shared" si="2"/>
        <v/>
      </c>
      <c r="L37" t="str">
        <f t="shared" si="3"/>
        <v/>
      </c>
    </row>
    <row r="38" spans="2:12" x14ac:dyDescent="0.25">
      <c r="B38" s="33">
        <v>35</v>
      </c>
      <c r="G38" t="str">
        <f t="shared" si="0"/>
        <v/>
      </c>
      <c r="H38" t="str">
        <f t="shared" si="1"/>
        <v/>
      </c>
      <c r="I38" t="str">
        <f>IF(G38="","",(((0.15+(1.7*Iz*(SQRT(((3.4*Q*0.15)^2)+(gR*R.*'e1 &amp; e2 ratio Cal.'!G38)^2)))))/((1+(1.7*Iz*(SQRT(((3.4*Q)^2)+(gR*R.)^2)))))))</f>
        <v/>
      </c>
      <c r="J38" t="str">
        <f>IF(H38="","",(((0.15+(1.7*Iz*(SQRT(((3.4*Q*0.15)^2)+(gR*R.*'e1 &amp; e2 ratio Cal.'!H38)^2)))))/((1+(1.7*Iz*(SQRT(((3.4*Q)^2)+(gR*R.)^2)))))))</f>
        <v/>
      </c>
      <c r="K38" t="str">
        <f t="shared" si="2"/>
        <v/>
      </c>
      <c r="L38" t="str">
        <f t="shared" si="3"/>
        <v/>
      </c>
    </row>
    <row r="39" spans="2:12" x14ac:dyDescent="0.25">
      <c r="B39" s="33">
        <v>36</v>
      </c>
      <c r="G39" t="str">
        <f t="shared" si="0"/>
        <v/>
      </c>
      <c r="H39" t="str">
        <f t="shared" si="1"/>
        <v/>
      </c>
      <c r="I39" t="str">
        <f>IF(G39="","",(((0.15+(1.7*Iz*(SQRT(((3.4*Q*0.15)^2)+(gR*R.*'e1 &amp; e2 ratio Cal.'!G39)^2)))))/((1+(1.7*Iz*(SQRT(((3.4*Q)^2)+(gR*R.)^2)))))))</f>
        <v/>
      </c>
      <c r="J39" t="str">
        <f>IF(H39="","",(((0.15+(1.7*Iz*(SQRT(((3.4*Q*0.15)^2)+(gR*R.*'e1 &amp; e2 ratio Cal.'!H39)^2)))))/((1+(1.7*Iz*(SQRT(((3.4*Q)^2)+(gR*R.)^2)))))))</f>
        <v/>
      </c>
      <c r="K39" t="str">
        <f t="shared" si="2"/>
        <v/>
      </c>
      <c r="L39" t="str">
        <f t="shared" si="3"/>
        <v/>
      </c>
    </row>
    <row r="40" spans="2:12" x14ac:dyDescent="0.25">
      <c r="B40" s="33">
        <v>37</v>
      </c>
      <c r="G40" t="str">
        <f t="shared" si="0"/>
        <v/>
      </c>
      <c r="H40" t="str">
        <f t="shared" si="1"/>
        <v/>
      </c>
      <c r="I40" t="str">
        <f>IF(G40="","",(((0.15+(1.7*Iz*(SQRT(((3.4*Q*0.15)^2)+(gR*R.*'e1 &amp; e2 ratio Cal.'!G40)^2)))))/((1+(1.7*Iz*(SQRT(((3.4*Q)^2)+(gR*R.)^2)))))))</f>
        <v/>
      </c>
      <c r="J40" t="str">
        <f>IF(H40="","",(((0.15+(1.7*Iz*(SQRT(((3.4*Q*0.15)^2)+(gR*R.*'e1 &amp; e2 ratio Cal.'!H40)^2)))))/((1+(1.7*Iz*(SQRT(((3.4*Q)^2)+(gR*R.)^2)))))))</f>
        <v/>
      </c>
      <c r="K40" t="str">
        <f t="shared" si="2"/>
        <v/>
      </c>
      <c r="L40" t="str">
        <f t="shared" si="3"/>
        <v/>
      </c>
    </row>
    <row r="41" spans="2:12" x14ac:dyDescent="0.25">
      <c r="B41" s="33">
        <v>38</v>
      </c>
      <c r="G41" t="str">
        <f t="shared" si="0"/>
        <v/>
      </c>
      <c r="H41" t="str">
        <f t="shared" si="1"/>
        <v/>
      </c>
      <c r="I41" t="str">
        <f>IF(G41="","",(((0.15+(1.7*Iz*(SQRT(((3.4*Q*0.15)^2)+(gR*R.*'e1 &amp; e2 ratio Cal.'!G41)^2)))))/((1+(1.7*Iz*(SQRT(((3.4*Q)^2)+(gR*R.)^2)))))))</f>
        <v/>
      </c>
      <c r="J41" t="str">
        <f>IF(H41="","",(((0.15+(1.7*Iz*(SQRT(((3.4*Q*0.15)^2)+(gR*R.*'e1 &amp; e2 ratio Cal.'!H41)^2)))))/((1+(1.7*Iz*(SQRT(((3.4*Q)^2)+(gR*R.)^2)))))))</f>
        <v/>
      </c>
      <c r="K41" t="str">
        <f t="shared" si="2"/>
        <v/>
      </c>
      <c r="L41" t="str">
        <f t="shared" si="3"/>
        <v/>
      </c>
    </row>
    <row r="42" spans="2:12" x14ac:dyDescent="0.25">
      <c r="B42" s="33">
        <v>39</v>
      </c>
      <c r="G42" t="str">
        <f t="shared" si="0"/>
        <v/>
      </c>
      <c r="H42" t="str">
        <f t="shared" si="1"/>
        <v/>
      </c>
      <c r="I42" t="str">
        <f>IF(G42="","",(((0.15+(1.7*Iz*(SQRT(((3.4*Q*0.15)^2)+(gR*R.*'e1 &amp; e2 ratio Cal.'!G42)^2)))))/((1+(1.7*Iz*(SQRT(((3.4*Q)^2)+(gR*R.)^2)))))))</f>
        <v/>
      </c>
      <c r="J42" t="str">
        <f>IF(H42="","",(((0.15+(1.7*Iz*(SQRT(((3.4*Q*0.15)^2)+(gR*R.*'e1 &amp; e2 ratio Cal.'!H42)^2)))))/((1+(1.7*Iz*(SQRT(((3.4*Q)^2)+(gR*R.)^2)))))))</f>
        <v/>
      </c>
      <c r="K42" t="str">
        <f t="shared" si="2"/>
        <v/>
      </c>
      <c r="L42" t="str">
        <f t="shared" si="3"/>
        <v/>
      </c>
    </row>
    <row r="43" spans="2:12" x14ac:dyDescent="0.25">
      <c r="B43" s="33">
        <v>40</v>
      </c>
      <c r="G43" t="str">
        <f t="shared" si="0"/>
        <v/>
      </c>
      <c r="H43" t="str">
        <f t="shared" si="1"/>
        <v/>
      </c>
      <c r="I43" t="str">
        <f>IF(G43="","",(((0.15+(1.7*Iz*(SQRT(((3.4*Q*0.15)^2)+(gR*R.*'e1 &amp; e2 ratio Cal.'!G43)^2)))))/((1+(1.7*Iz*(SQRT(((3.4*Q)^2)+(gR*R.)^2)))))))</f>
        <v/>
      </c>
      <c r="J43" t="str">
        <f>IF(H43="","",(((0.15+(1.7*Iz*(SQRT(((3.4*Q*0.15)^2)+(gR*R.*'e1 &amp; e2 ratio Cal.'!H43)^2)))))/((1+(1.7*Iz*(SQRT(((3.4*Q)^2)+(gR*R.)^2)))))))</f>
        <v/>
      </c>
      <c r="K43" t="str">
        <f t="shared" si="2"/>
        <v/>
      </c>
      <c r="L43" t="str">
        <f t="shared" si="3"/>
        <v/>
      </c>
    </row>
    <row r="44" spans="2:12" x14ac:dyDescent="0.25">
      <c r="B44" s="33">
        <v>41</v>
      </c>
      <c r="G44" t="str">
        <f t="shared" si="0"/>
        <v/>
      </c>
      <c r="H44" t="str">
        <f t="shared" si="1"/>
        <v/>
      </c>
      <c r="I44" t="str">
        <f>IF(G44="","",(((0.15+(1.7*Iz*(SQRT(((3.4*Q*0.15)^2)+(gR*R.*'e1 &amp; e2 ratio Cal.'!G44)^2)))))/((1+(1.7*Iz*(SQRT(((3.4*Q)^2)+(gR*R.)^2)))))))</f>
        <v/>
      </c>
      <c r="J44" t="str">
        <f>IF(H44="","",(((0.15+(1.7*Iz*(SQRT(((3.4*Q*0.15)^2)+(gR*R.*'e1 &amp; e2 ratio Cal.'!H44)^2)))))/((1+(1.7*Iz*(SQRT(((3.4*Q)^2)+(gR*R.)^2)))))))</f>
        <v/>
      </c>
      <c r="K44" t="str">
        <f t="shared" si="2"/>
        <v/>
      </c>
      <c r="L44" t="str">
        <f t="shared" si="3"/>
        <v/>
      </c>
    </row>
    <row r="45" spans="2:12" x14ac:dyDescent="0.25">
      <c r="B45" s="33">
        <v>42</v>
      </c>
      <c r="G45" t="str">
        <f t="shared" si="0"/>
        <v/>
      </c>
      <c r="H45" t="str">
        <f t="shared" si="1"/>
        <v/>
      </c>
      <c r="I45" t="str">
        <f>IF(G45="","",(((0.15+(1.7*Iz*(SQRT(((3.4*Q*0.15)^2)+(gR*R.*'e1 &amp; e2 ratio Cal.'!G45)^2)))))/((1+(1.7*Iz*(SQRT(((3.4*Q)^2)+(gR*R.)^2)))))))</f>
        <v/>
      </c>
      <c r="J45" t="str">
        <f>IF(H45="","",(((0.15+(1.7*Iz*(SQRT(((3.4*Q*0.15)^2)+(gR*R.*'e1 &amp; e2 ratio Cal.'!H45)^2)))))/((1+(1.7*Iz*(SQRT(((3.4*Q)^2)+(gR*R.)^2)))))))</f>
        <v/>
      </c>
      <c r="K45" t="str">
        <f t="shared" si="2"/>
        <v/>
      </c>
      <c r="L45" t="str">
        <f t="shared" si="3"/>
        <v/>
      </c>
    </row>
    <row r="46" spans="2:12" x14ac:dyDescent="0.25">
      <c r="B46" s="33">
        <v>43</v>
      </c>
      <c r="G46" t="str">
        <f t="shared" si="0"/>
        <v/>
      </c>
      <c r="H46" t="str">
        <f t="shared" si="1"/>
        <v/>
      </c>
      <c r="I46" t="str">
        <f>IF(G46="","",(((0.15+(1.7*Iz*(SQRT(((3.4*Q*0.15)^2)+(gR*R.*'e1 &amp; e2 ratio Cal.'!G46)^2)))))/((1+(1.7*Iz*(SQRT(((3.4*Q)^2)+(gR*R.)^2)))))))</f>
        <v/>
      </c>
      <c r="J46" t="str">
        <f>IF(H46="","",(((0.15+(1.7*Iz*(SQRT(((3.4*Q*0.15)^2)+(gR*R.*'e1 &amp; e2 ratio Cal.'!H46)^2)))))/((1+(1.7*Iz*(SQRT(((3.4*Q)^2)+(gR*R.)^2)))))))</f>
        <v/>
      </c>
      <c r="K46" t="str">
        <f t="shared" si="2"/>
        <v/>
      </c>
      <c r="L46" t="str">
        <f t="shared" si="3"/>
        <v/>
      </c>
    </row>
    <row r="47" spans="2:12" x14ac:dyDescent="0.25">
      <c r="B47" s="33">
        <v>44</v>
      </c>
      <c r="G47" t="str">
        <f t="shared" si="0"/>
        <v/>
      </c>
      <c r="H47" t="str">
        <f t="shared" si="1"/>
        <v/>
      </c>
      <c r="I47" t="str">
        <f>IF(G47="","",(((0.15+(1.7*Iz*(SQRT(((3.4*Q*0.15)^2)+(gR*R.*'e1 &amp; e2 ratio Cal.'!G47)^2)))))/((1+(1.7*Iz*(SQRT(((3.4*Q)^2)+(gR*R.)^2)))))))</f>
        <v/>
      </c>
      <c r="J47" t="str">
        <f>IF(H47="","",(((0.15+(1.7*Iz*(SQRT(((3.4*Q*0.15)^2)+(gR*R.*'e1 &amp; e2 ratio Cal.'!H47)^2)))))/((1+(1.7*Iz*(SQRT(((3.4*Q)^2)+(gR*R.)^2)))))))</f>
        <v/>
      </c>
      <c r="K47" t="str">
        <f t="shared" si="2"/>
        <v/>
      </c>
      <c r="L47" t="str">
        <f t="shared" si="3"/>
        <v/>
      </c>
    </row>
    <row r="48" spans="2:12" x14ac:dyDescent="0.25">
      <c r="B48" s="33">
        <v>45</v>
      </c>
      <c r="G48" t="str">
        <f t="shared" si="0"/>
        <v/>
      </c>
      <c r="H48" t="str">
        <f t="shared" si="1"/>
        <v/>
      </c>
      <c r="I48" t="str">
        <f>IF(G48="","",(((0.15+(1.7*Iz*(SQRT(((3.4*Q*0.15)^2)+(gR*R.*'e1 &amp; e2 ratio Cal.'!G48)^2)))))/((1+(1.7*Iz*(SQRT(((3.4*Q)^2)+(gR*R.)^2)))))))</f>
        <v/>
      </c>
      <c r="J48" t="str">
        <f>IF(H48="","",(((0.15+(1.7*Iz*(SQRT(((3.4*Q*0.15)^2)+(gR*R.*'e1 &amp; e2 ratio Cal.'!H48)^2)))))/((1+(1.7*Iz*(SQRT(((3.4*Q)^2)+(gR*R.)^2)))))))</f>
        <v/>
      </c>
      <c r="K48" t="str">
        <f t="shared" si="2"/>
        <v/>
      </c>
      <c r="L48" t="str">
        <f t="shared" si="3"/>
        <v/>
      </c>
    </row>
    <row r="49" spans="2:12" x14ac:dyDescent="0.25">
      <c r="B49" s="33">
        <v>46</v>
      </c>
      <c r="G49" t="str">
        <f t="shared" si="0"/>
        <v/>
      </c>
      <c r="H49" t="str">
        <f t="shared" si="1"/>
        <v/>
      </c>
      <c r="I49" t="str">
        <f>IF(G49="","",(((0.15+(1.7*Iz*(SQRT(((3.4*Q*0.15)^2)+(gR*R.*'e1 &amp; e2 ratio Cal.'!G49)^2)))))/((1+(1.7*Iz*(SQRT(((3.4*Q)^2)+(gR*R.)^2)))))))</f>
        <v/>
      </c>
      <c r="J49" t="str">
        <f>IF(H49="","",(((0.15+(1.7*Iz*(SQRT(((3.4*Q*0.15)^2)+(gR*R.*'e1 &amp; e2 ratio Cal.'!H49)^2)))))/((1+(1.7*Iz*(SQRT(((3.4*Q)^2)+(gR*R.)^2)))))))</f>
        <v/>
      </c>
      <c r="K49" t="str">
        <f t="shared" si="2"/>
        <v/>
      </c>
      <c r="L49" t="str">
        <f t="shared" si="3"/>
        <v/>
      </c>
    </row>
    <row r="50" spans="2:12" x14ac:dyDescent="0.25">
      <c r="B50" s="33">
        <v>47</v>
      </c>
      <c r="G50" t="str">
        <f t="shared" si="0"/>
        <v/>
      </c>
      <c r="H50" t="str">
        <f t="shared" si="1"/>
        <v/>
      </c>
      <c r="I50" t="str">
        <f>IF(G50="","",(((0.15+(1.7*Iz*(SQRT(((3.4*Q*0.15)^2)+(gR*R.*'e1 &amp; e2 ratio Cal.'!G50)^2)))))/((1+(1.7*Iz*(SQRT(((3.4*Q)^2)+(gR*R.)^2)))))))</f>
        <v/>
      </c>
      <c r="J50" t="str">
        <f>IF(H50="","",(((0.15+(1.7*Iz*(SQRT(((3.4*Q*0.15)^2)+(gR*R.*'e1 &amp; e2 ratio Cal.'!H50)^2)))))/((1+(1.7*Iz*(SQRT(((3.4*Q)^2)+(gR*R.)^2)))))))</f>
        <v/>
      </c>
      <c r="K50" t="str">
        <f t="shared" si="2"/>
        <v/>
      </c>
      <c r="L50" t="str">
        <f t="shared" si="3"/>
        <v/>
      </c>
    </row>
    <row r="51" spans="2:12" x14ac:dyDescent="0.25">
      <c r="B51" s="33">
        <v>48</v>
      </c>
      <c r="G51" t="str">
        <f t="shared" si="0"/>
        <v/>
      </c>
      <c r="H51" t="str">
        <f t="shared" si="1"/>
        <v/>
      </c>
      <c r="I51" t="str">
        <f>IF(G51="","",(((0.15+(1.7*Iz*(SQRT(((3.4*Q*0.15)^2)+(gR*R.*'e1 &amp; e2 ratio Cal.'!G51)^2)))))/((1+(1.7*Iz*(SQRT(((3.4*Q)^2)+(gR*R.)^2)))))))</f>
        <v/>
      </c>
      <c r="J51" t="str">
        <f>IF(H51="","",(((0.15+(1.7*Iz*(SQRT(((3.4*Q*0.15)^2)+(gR*R.*'e1 &amp; e2 ratio Cal.'!H51)^2)))))/((1+(1.7*Iz*(SQRT(((3.4*Q)^2)+(gR*R.)^2)))))))</f>
        <v/>
      </c>
      <c r="K51" t="str">
        <f t="shared" si="2"/>
        <v/>
      </c>
      <c r="L51" t="str">
        <f t="shared" si="3"/>
        <v/>
      </c>
    </row>
    <row r="52" spans="2:12" x14ac:dyDescent="0.25">
      <c r="B52" s="33">
        <v>49</v>
      </c>
      <c r="G52" t="str">
        <f t="shared" si="0"/>
        <v/>
      </c>
      <c r="H52" t="str">
        <f t="shared" si="1"/>
        <v/>
      </c>
      <c r="I52" t="str">
        <f>IF(G52="","",(((0.15+(1.7*Iz*(SQRT(((3.4*Q*0.15)^2)+(gR*R.*'e1 &amp; e2 ratio Cal.'!G52)^2)))))/((1+(1.7*Iz*(SQRT(((3.4*Q)^2)+(gR*R.)^2)))))))</f>
        <v/>
      </c>
      <c r="J52" t="str">
        <f>IF(H52="","",(((0.15+(1.7*Iz*(SQRT(((3.4*Q*0.15)^2)+(gR*R.*'e1 &amp; e2 ratio Cal.'!H52)^2)))))/((1+(1.7*Iz*(SQRT(((3.4*Q)^2)+(gR*R.)^2)))))))</f>
        <v/>
      </c>
      <c r="K52" t="str">
        <f t="shared" si="2"/>
        <v/>
      </c>
      <c r="L52" t="str">
        <f t="shared" si="3"/>
        <v/>
      </c>
    </row>
    <row r="53" spans="2:12" x14ac:dyDescent="0.25">
      <c r="B53" s="33">
        <v>50</v>
      </c>
      <c r="G53" t="str">
        <f t="shared" si="0"/>
        <v/>
      </c>
      <c r="H53" t="str">
        <f t="shared" si="1"/>
        <v/>
      </c>
      <c r="I53" t="str">
        <f>IF(G53="","",(((0.15+(1.7*Iz*(SQRT(((3.4*Q*0.15)^2)+(gR*R.*'e1 &amp; e2 ratio Cal.'!G53)^2)))))/((1+(1.7*Iz*(SQRT(((3.4*Q)^2)+(gR*R.)^2)))))))</f>
        <v/>
      </c>
      <c r="J53" t="str">
        <f>IF(H53="","",(((0.15+(1.7*Iz*(SQRT(((3.4*Q*0.15)^2)+(gR*R.*'e1 &amp; e2 ratio Cal.'!H53)^2)))))/((1+(1.7*Iz*(SQRT(((3.4*Q)^2)+(gR*R.)^2)))))))</f>
        <v/>
      </c>
      <c r="K53" t="str">
        <f t="shared" si="2"/>
        <v/>
      </c>
      <c r="L53" t="str">
        <f t="shared" si="3"/>
        <v/>
      </c>
    </row>
    <row r="54" spans="2:12" x14ac:dyDescent="0.25">
      <c r="B54" s="33">
        <v>51</v>
      </c>
      <c r="G54" t="str">
        <f t="shared" si="0"/>
        <v/>
      </c>
      <c r="H54" t="str">
        <f t="shared" si="1"/>
        <v/>
      </c>
      <c r="I54" t="str">
        <f>IF(G54="","",(((0.15+(1.7*Iz*(SQRT(((3.4*Q*0.15)^2)+(gR*R.*'e1 &amp; e2 ratio Cal.'!G54)^2)))))/((1+(1.7*Iz*(SQRT(((3.4*Q)^2)+(gR*R.)^2)))))))</f>
        <v/>
      </c>
      <c r="J54" t="str">
        <f>IF(H54="","",(((0.15+(1.7*Iz*(SQRT(((3.4*Q*0.15)^2)+(gR*R.*'e1 &amp; e2 ratio Cal.'!H54)^2)))))/((1+(1.7*Iz*(SQRT(((3.4*Q)^2)+(gR*R.)^2)))))))</f>
        <v/>
      </c>
      <c r="K54" t="str">
        <f t="shared" si="2"/>
        <v/>
      </c>
      <c r="L54" t="str">
        <f t="shared" si="3"/>
        <v/>
      </c>
    </row>
    <row r="55" spans="2:12" x14ac:dyDescent="0.25">
      <c r="B55" s="33">
        <v>52</v>
      </c>
      <c r="G55" t="str">
        <f t="shared" si="0"/>
        <v/>
      </c>
      <c r="H55" t="str">
        <f t="shared" si="1"/>
        <v/>
      </c>
      <c r="I55" t="str">
        <f>IF(G55="","",(((0.15+(1.7*Iz*(SQRT(((3.4*Q*0.15)^2)+(gR*R.*'e1 &amp; e2 ratio Cal.'!G55)^2)))))/((1+(1.7*Iz*(SQRT(((3.4*Q)^2)+(gR*R.)^2)))))))</f>
        <v/>
      </c>
      <c r="J55" t="str">
        <f>IF(H55="","",(((0.15+(1.7*Iz*(SQRT(((3.4*Q*0.15)^2)+(gR*R.*'e1 &amp; e2 ratio Cal.'!H55)^2)))))/((1+(1.7*Iz*(SQRT(((3.4*Q)^2)+(gR*R.)^2)))))))</f>
        <v/>
      </c>
      <c r="K55" t="str">
        <f t="shared" si="2"/>
        <v/>
      </c>
      <c r="L55" t="str">
        <f t="shared" si="3"/>
        <v/>
      </c>
    </row>
    <row r="56" spans="2:12" x14ac:dyDescent="0.25">
      <c r="B56" s="33">
        <v>53</v>
      </c>
      <c r="G56" t="str">
        <f t="shared" si="0"/>
        <v/>
      </c>
      <c r="H56" t="str">
        <f t="shared" si="1"/>
        <v/>
      </c>
      <c r="I56" t="str">
        <f>IF(G56="","",(((0.15+(1.7*Iz*(SQRT(((3.4*Q*0.15)^2)+(gR*R.*'e1 &amp; e2 ratio Cal.'!G56)^2)))))/((1+(1.7*Iz*(SQRT(((3.4*Q)^2)+(gR*R.)^2)))))))</f>
        <v/>
      </c>
      <c r="J56" t="str">
        <f>IF(H56="","",(((0.15+(1.7*Iz*(SQRT(((3.4*Q*0.15)^2)+(gR*R.*'e1 &amp; e2 ratio Cal.'!H56)^2)))))/((1+(1.7*Iz*(SQRT(((3.4*Q)^2)+(gR*R.)^2)))))))</f>
        <v/>
      </c>
      <c r="K56" t="str">
        <f t="shared" si="2"/>
        <v/>
      </c>
      <c r="L56" t="str">
        <f t="shared" si="3"/>
        <v/>
      </c>
    </row>
    <row r="57" spans="2:12" x14ac:dyDescent="0.25">
      <c r="B57" s="33">
        <v>54</v>
      </c>
      <c r="G57" t="str">
        <f t="shared" si="0"/>
        <v/>
      </c>
      <c r="H57" t="str">
        <f t="shared" si="1"/>
        <v/>
      </c>
      <c r="I57" t="str">
        <f>IF(G57="","",(((0.15+(1.7*Iz*(SQRT(((3.4*Q*0.15)^2)+(gR*R.*'e1 &amp; e2 ratio Cal.'!G57)^2)))))/((1+(1.7*Iz*(SQRT(((3.4*Q)^2)+(gR*R.)^2)))))))</f>
        <v/>
      </c>
      <c r="J57" t="str">
        <f>IF(H57="","",(((0.15+(1.7*Iz*(SQRT(((3.4*Q*0.15)^2)+(gR*R.*'e1 &amp; e2 ratio Cal.'!H57)^2)))))/((1+(1.7*Iz*(SQRT(((3.4*Q)^2)+(gR*R.)^2)))))))</f>
        <v/>
      </c>
      <c r="K57" t="str">
        <f t="shared" si="2"/>
        <v/>
      </c>
      <c r="L57" t="str">
        <f t="shared" si="3"/>
        <v/>
      </c>
    </row>
    <row r="58" spans="2:12" x14ac:dyDescent="0.25">
      <c r="B58" s="33">
        <v>55</v>
      </c>
      <c r="G58" t="str">
        <f t="shared" si="0"/>
        <v/>
      </c>
      <c r="H58" t="str">
        <f t="shared" si="1"/>
        <v/>
      </c>
      <c r="I58" t="str">
        <f>IF(G58="","",(((0.15+(1.7*Iz*(SQRT(((3.4*Q*0.15)^2)+(gR*R.*'e1 &amp; e2 ratio Cal.'!G58)^2)))))/((1+(1.7*Iz*(SQRT(((3.4*Q)^2)+(gR*R.)^2)))))))</f>
        <v/>
      </c>
      <c r="J58" t="str">
        <f>IF(H58="","",(((0.15+(1.7*Iz*(SQRT(((3.4*Q*0.15)^2)+(gR*R.*'e1 &amp; e2 ratio Cal.'!H58)^2)))))/((1+(1.7*Iz*(SQRT(((3.4*Q)^2)+(gR*R.)^2)))))))</f>
        <v/>
      </c>
      <c r="K58" t="str">
        <f t="shared" si="2"/>
        <v/>
      </c>
      <c r="L58" t="str">
        <f t="shared" si="3"/>
        <v/>
      </c>
    </row>
    <row r="59" spans="2:12" x14ac:dyDescent="0.25">
      <c r="B59" s="33">
        <v>56</v>
      </c>
      <c r="G59" t="str">
        <f t="shared" si="0"/>
        <v/>
      </c>
      <c r="H59" t="str">
        <f t="shared" si="1"/>
        <v/>
      </c>
      <c r="I59" t="str">
        <f>IF(G59="","",(((0.15+(1.7*Iz*(SQRT(((3.4*Q*0.15)^2)+(gR*R.*'e1 &amp; e2 ratio Cal.'!G59)^2)))))/((1+(1.7*Iz*(SQRT(((3.4*Q)^2)+(gR*R.)^2)))))))</f>
        <v/>
      </c>
      <c r="J59" t="str">
        <f>IF(H59="","",(((0.15+(1.7*Iz*(SQRT(((3.4*Q*0.15)^2)+(gR*R.*'e1 &amp; e2 ratio Cal.'!H59)^2)))))/((1+(1.7*Iz*(SQRT(((3.4*Q)^2)+(gR*R.)^2)))))))</f>
        <v/>
      </c>
      <c r="K59" t="str">
        <f t="shared" si="2"/>
        <v/>
      </c>
      <c r="L59" t="str">
        <f t="shared" si="3"/>
        <v/>
      </c>
    </row>
    <row r="60" spans="2:12" x14ac:dyDescent="0.25">
      <c r="B60" s="33">
        <v>57</v>
      </c>
      <c r="G60" t="str">
        <f t="shared" si="0"/>
        <v/>
      </c>
      <c r="H60" t="str">
        <f t="shared" si="1"/>
        <v/>
      </c>
      <c r="I60" t="str">
        <f>IF(G60="","",(((0.15+(1.7*Iz*(SQRT(((3.4*Q*0.15)^2)+(gR*R.*'e1 &amp; e2 ratio Cal.'!G60)^2)))))/((1+(1.7*Iz*(SQRT(((3.4*Q)^2)+(gR*R.)^2)))))))</f>
        <v/>
      </c>
      <c r="J60" t="str">
        <f>IF(H60="","",(((0.15+(1.7*Iz*(SQRT(((3.4*Q*0.15)^2)+(gR*R.*'e1 &amp; e2 ratio Cal.'!H60)^2)))))/((1+(1.7*Iz*(SQRT(((3.4*Q)^2)+(gR*R.)^2)))))))</f>
        <v/>
      </c>
      <c r="K60" t="str">
        <f t="shared" si="2"/>
        <v/>
      </c>
      <c r="L60" t="str">
        <f t="shared" si="3"/>
        <v/>
      </c>
    </row>
    <row r="61" spans="2:12" x14ac:dyDescent="0.25">
      <c r="B61" s="33">
        <v>58</v>
      </c>
      <c r="G61" t="str">
        <f t="shared" si="0"/>
        <v/>
      </c>
      <c r="H61" t="str">
        <f t="shared" si="1"/>
        <v/>
      </c>
      <c r="I61" t="str">
        <f>IF(G61="","",(((0.15+(1.7*Iz*(SQRT(((3.4*Q*0.15)^2)+(gR*R.*'e1 &amp; e2 ratio Cal.'!G61)^2)))))/((1+(1.7*Iz*(SQRT(((3.4*Q)^2)+(gR*R.)^2)))))))</f>
        <v/>
      </c>
      <c r="J61" t="str">
        <f>IF(H61="","",(((0.15+(1.7*Iz*(SQRT(((3.4*Q*0.15)^2)+(gR*R.*'e1 &amp; e2 ratio Cal.'!H61)^2)))))/((1+(1.7*Iz*(SQRT(((3.4*Q)^2)+(gR*R.)^2)))))))</f>
        <v/>
      </c>
      <c r="K61" t="str">
        <f t="shared" si="2"/>
        <v/>
      </c>
      <c r="L61" t="str">
        <f t="shared" si="3"/>
        <v/>
      </c>
    </row>
    <row r="62" spans="2:12" x14ac:dyDescent="0.25">
      <c r="B62" s="33">
        <v>59</v>
      </c>
      <c r="G62" t="str">
        <f t="shared" si="0"/>
        <v/>
      </c>
      <c r="H62" t="str">
        <f t="shared" si="1"/>
        <v/>
      </c>
      <c r="I62" t="str">
        <f>IF(G62="","",(((0.15+(1.7*Iz*(SQRT(((3.4*Q*0.15)^2)+(gR*R.*'e1 &amp; e2 ratio Cal.'!G62)^2)))))/((1+(1.7*Iz*(SQRT(((3.4*Q)^2)+(gR*R.)^2)))))))</f>
        <v/>
      </c>
      <c r="J62" t="str">
        <f>IF(H62="","",(((0.15+(1.7*Iz*(SQRT(((3.4*Q*0.15)^2)+(gR*R.*'e1 &amp; e2 ratio Cal.'!H62)^2)))))/((1+(1.7*Iz*(SQRT(((3.4*Q)^2)+(gR*R.)^2)))))))</f>
        <v/>
      </c>
      <c r="K62" t="str">
        <f t="shared" si="2"/>
        <v/>
      </c>
      <c r="L62" t="str">
        <f t="shared" si="3"/>
        <v/>
      </c>
    </row>
    <row r="63" spans="2:12" x14ac:dyDescent="0.25">
      <c r="B63" s="33">
        <v>60</v>
      </c>
      <c r="G63" t="str">
        <f t="shared" si="0"/>
        <v/>
      </c>
      <c r="H63" t="str">
        <f t="shared" si="1"/>
        <v/>
      </c>
      <c r="I63" t="str">
        <f>IF(G63="","",(((0.15+(1.7*Iz*(SQRT(((3.4*Q*0.15)^2)+(gR*R.*'e1 &amp; e2 ratio Cal.'!G63)^2)))))/((1+(1.7*Iz*(SQRT(((3.4*Q)^2)+(gR*R.)^2)))))))</f>
        <v/>
      </c>
      <c r="J63" t="str">
        <f>IF(H63="","",(((0.15+(1.7*Iz*(SQRT(((3.4*Q*0.15)^2)+(gR*R.*'e1 &amp; e2 ratio Cal.'!H63)^2)))))/((1+(1.7*Iz*(SQRT(((3.4*Q)^2)+(gR*R.)^2)))))))</f>
        <v/>
      </c>
      <c r="K63" t="str">
        <f t="shared" si="2"/>
        <v/>
      </c>
      <c r="L63" t="str">
        <f t="shared" si="3"/>
        <v/>
      </c>
    </row>
    <row r="64" spans="2:12" x14ac:dyDescent="0.25">
      <c r="B64" s="33">
        <v>61</v>
      </c>
      <c r="G64" t="str">
        <f t="shared" si="0"/>
        <v/>
      </c>
      <c r="H64" t="str">
        <f t="shared" si="1"/>
        <v/>
      </c>
      <c r="I64" t="str">
        <f>IF(G64="","",(((0.15+(1.7*Iz*(SQRT(((3.4*Q*0.15)^2)+(gR*R.*'e1 &amp; e2 ratio Cal.'!G64)^2)))))/((1+(1.7*Iz*(SQRT(((3.4*Q)^2)+(gR*R.)^2)))))))</f>
        <v/>
      </c>
      <c r="J64" t="str">
        <f>IF(H64="","",(((0.15+(1.7*Iz*(SQRT(((3.4*Q*0.15)^2)+(gR*R.*'e1 &amp; e2 ratio Cal.'!H64)^2)))))/((1+(1.7*Iz*(SQRT(((3.4*Q)^2)+(gR*R.)^2)))))))</f>
        <v/>
      </c>
      <c r="K64" t="str">
        <f t="shared" si="2"/>
        <v/>
      </c>
      <c r="L64" t="str">
        <f t="shared" si="3"/>
        <v/>
      </c>
    </row>
    <row r="65" spans="2:12" x14ac:dyDescent="0.25">
      <c r="B65" s="33">
        <v>62</v>
      </c>
      <c r="G65" t="str">
        <f t="shared" si="0"/>
        <v/>
      </c>
      <c r="H65" t="str">
        <f t="shared" si="1"/>
        <v/>
      </c>
      <c r="I65" t="str">
        <f>IF(G65="","",(((0.15+(1.7*Iz*(SQRT(((3.4*Q*0.15)^2)+(gR*R.*'e1 &amp; e2 ratio Cal.'!G65)^2)))))/((1+(1.7*Iz*(SQRT(((3.4*Q)^2)+(gR*R.)^2)))))))</f>
        <v/>
      </c>
      <c r="J65" t="str">
        <f>IF(H65="","",(((0.15+(1.7*Iz*(SQRT(((3.4*Q*0.15)^2)+(gR*R.*'e1 &amp; e2 ratio Cal.'!H65)^2)))))/((1+(1.7*Iz*(SQRT(((3.4*Q)^2)+(gR*R.)^2)))))))</f>
        <v/>
      </c>
      <c r="K65" t="str">
        <f t="shared" si="2"/>
        <v/>
      </c>
      <c r="L65" t="str">
        <f t="shared" si="3"/>
        <v/>
      </c>
    </row>
    <row r="66" spans="2:12" x14ac:dyDescent="0.25">
      <c r="B66" s="33">
        <v>63</v>
      </c>
      <c r="G66" t="str">
        <f t="shared" si="0"/>
        <v/>
      </c>
      <c r="H66" t="str">
        <f t="shared" si="1"/>
        <v/>
      </c>
      <c r="I66" t="str">
        <f>IF(G66="","",(((0.15+(1.7*Iz*(SQRT(((3.4*Q*0.15)^2)+(gR*R.*'e1 &amp; e2 ratio Cal.'!G66)^2)))))/((1+(1.7*Iz*(SQRT(((3.4*Q)^2)+(gR*R.)^2)))))))</f>
        <v/>
      </c>
      <c r="J66" t="str">
        <f>IF(H66="","",(((0.15+(1.7*Iz*(SQRT(((3.4*Q*0.15)^2)+(gR*R.*'e1 &amp; e2 ratio Cal.'!H66)^2)))))/((1+(1.7*Iz*(SQRT(((3.4*Q)^2)+(gR*R.)^2)))))))</f>
        <v/>
      </c>
      <c r="K66" t="str">
        <f t="shared" si="2"/>
        <v/>
      </c>
      <c r="L66" t="str">
        <f t="shared" si="3"/>
        <v/>
      </c>
    </row>
    <row r="67" spans="2:12" x14ac:dyDescent="0.25">
      <c r="B67" s="33">
        <v>64</v>
      </c>
      <c r="G67" t="str">
        <f t="shared" si="0"/>
        <v/>
      </c>
      <c r="H67" t="str">
        <f t="shared" si="1"/>
        <v/>
      </c>
      <c r="I67" t="str">
        <f>IF(G67="","",(((0.15+(1.7*Iz*(SQRT(((3.4*Q*0.15)^2)+(gR*R.*'e1 &amp; e2 ratio Cal.'!G67)^2)))))/((1+(1.7*Iz*(SQRT(((3.4*Q)^2)+(gR*R.)^2)))))))</f>
        <v/>
      </c>
      <c r="J67" t="str">
        <f>IF(H67="","",(((0.15+(1.7*Iz*(SQRT(((3.4*Q*0.15)^2)+(gR*R.*'e1 &amp; e2 ratio Cal.'!H67)^2)))))/((1+(1.7*Iz*(SQRT(((3.4*Q)^2)+(gR*R.)^2)))))))</f>
        <v/>
      </c>
      <c r="K67" t="str">
        <f t="shared" si="2"/>
        <v/>
      </c>
      <c r="L67" t="str">
        <f t="shared" si="3"/>
        <v/>
      </c>
    </row>
    <row r="68" spans="2:12" x14ac:dyDescent="0.25">
      <c r="B68" s="33">
        <v>65</v>
      </c>
      <c r="G68" t="str">
        <f t="shared" si="0"/>
        <v/>
      </c>
      <c r="H68" t="str">
        <f t="shared" si="1"/>
        <v/>
      </c>
      <c r="I68" t="str">
        <f>IF(G68="","",(((0.15+(1.7*Iz*(SQRT(((3.4*Q*0.15)^2)+(gR*R.*'e1 &amp; e2 ratio Cal.'!G68)^2)))))/((1+(1.7*Iz*(SQRT(((3.4*Q)^2)+(gR*R.)^2)))))))</f>
        <v/>
      </c>
      <c r="J68" t="str">
        <f>IF(H68="","",(((0.15+(1.7*Iz*(SQRT(((3.4*Q*0.15)^2)+(gR*R.*'e1 &amp; e2 ratio Cal.'!H68)^2)))))/((1+(1.7*Iz*(SQRT(((3.4*Q)^2)+(gR*R.)^2)))))))</f>
        <v/>
      </c>
      <c r="K68" t="str">
        <f t="shared" si="2"/>
        <v/>
      </c>
      <c r="L68" t="str">
        <f t="shared" si="3"/>
        <v/>
      </c>
    </row>
    <row r="69" spans="2:12" x14ac:dyDescent="0.25">
      <c r="B69" s="33">
        <v>66</v>
      </c>
      <c r="G69" t="str">
        <f t="shared" si="0"/>
        <v/>
      </c>
      <c r="H69" t="str">
        <f t="shared" si="1"/>
        <v/>
      </c>
      <c r="I69" t="str">
        <f>IF(G69="","",(((0.15+(1.7*Iz*(SQRT(((3.4*Q*0.15)^2)+(gR*R.*'e1 &amp; e2 ratio Cal.'!G69)^2)))))/((1+(1.7*Iz*(SQRT(((3.4*Q)^2)+(gR*R.)^2)))))))</f>
        <v/>
      </c>
      <c r="J69" t="str">
        <f>IF(H69="","",(((0.15+(1.7*Iz*(SQRT(((3.4*Q*0.15)^2)+(gR*R.*'e1 &amp; e2 ratio Cal.'!H69)^2)))))/((1+(1.7*Iz*(SQRT(((3.4*Q)^2)+(gR*R.)^2)))))))</f>
        <v/>
      </c>
      <c r="K69" t="str">
        <f t="shared" si="2"/>
        <v/>
      </c>
      <c r="L69" t="str">
        <f t="shared" si="3"/>
        <v/>
      </c>
    </row>
    <row r="70" spans="2:12" x14ac:dyDescent="0.25">
      <c r="B70" s="33">
        <v>67</v>
      </c>
      <c r="G70" t="str">
        <f t="shared" si="0"/>
        <v/>
      </c>
      <c r="H70" t="str">
        <f t="shared" si="1"/>
        <v/>
      </c>
      <c r="I70" t="str">
        <f>IF(G70="","",(((0.15+(1.7*Iz*(SQRT(((3.4*Q*0.15)^2)+(gR*R.*'e1 &amp; e2 ratio Cal.'!G70)^2)))))/((1+(1.7*Iz*(SQRT(((3.4*Q)^2)+(gR*R.)^2)))))))</f>
        <v/>
      </c>
      <c r="J70" t="str">
        <f>IF(H70="","",(((0.15+(1.7*Iz*(SQRT(((3.4*Q*0.15)^2)+(gR*R.*'e1 &amp; e2 ratio Cal.'!H70)^2)))))/((1+(1.7*Iz*(SQRT(((3.4*Q)^2)+(gR*R.)^2)))))))</f>
        <v/>
      </c>
      <c r="K70" t="str">
        <f t="shared" si="2"/>
        <v/>
      </c>
      <c r="L70" t="str">
        <f t="shared" si="3"/>
        <v/>
      </c>
    </row>
    <row r="71" spans="2:12" x14ac:dyDescent="0.25">
      <c r="B71" s="33">
        <v>68</v>
      </c>
      <c r="G71" t="str">
        <f t="shared" ref="G71:G78" si="4">(IF(C71="","",ABS(E71-C71)))</f>
        <v/>
      </c>
      <c r="H71" t="str">
        <f t="shared" ref="H71:H78" si="5">IF(D71="","",ABS(F71-D71))</f>
        <v/>
      </c>
      <c r="I71" t="str">
        <f>IF(G71="","",(((0.15+(1.7*Iz*(SQRT(((3.4*Q*0.15)^2)+(gR*R.*'e1 &amp; e2 ratio Cal.'!G71)^2)))))/((1+(1.7*Iz*(SQRT(((3.4*Q)^2)+(gR*R.)^2)))))))</f>
        <v/>
      </c>
      <c r="J71" t="str">
        <f>IF(H71="","",(((0.15+(1.7*Iz*(SQRT(((3.4*Q*0.15)^2)+(gR*R.*'e1 &amp; e2 ratio Cal.'!H71)^2)))))/((1+(1.7*Iz*(SQRT(((3.4*Q)^2)+(gR*R.)^2)))))))</f>
        <v/>
      </c>
      <c r="K71" t="str">
        <f t="shared" ref="K71:K78" si="6">IF(C71="","",IF($M$5="Normal",(G71/$N$4),(G71/$O$4)))</f>
        <v/>
      </c>
      <c r="L71" t="str">
        <f t="shared" ref="L71:L78" si="7">IF(D71="","",IF($M$5="Normal",(H71/$N$5),(H71/$O$5)))</f>
        <v/>
      </c>
    </row>
    <row r="72" spans="2:12" x14ac:dyDescent="0.25">
      <c r="B72" s="33">
        <v>69</v>
      </c>
      <c r="G72" t="str">
        <f t="shared" si="4"/>
        <v/>
      </c>
      <c r="H72" t="str">
        <f t="shared" si="5"/>
        <v/>
      </c>
      <c r="I72" t="str">
        <f>IF(G72="","",(((0.15+(1.7*Iz*(SQRT(((3.4*Q*0.15)^2)+(gR*R.*'e1 &amp; e2 ratio Cal.'!G72)^2)))))/((1+(1.7*Iz*(SQRT(((3.4*Q)^2)+(gR*R.)^2)))))))</f>
        <v/>
      </c>
      <c r="J72" t="str">
        <f>IF(H72="","",(((0.15+(1.7*Iz*(SQRT(((3.4*Q*0.15)^2)+(gR*R.*'e1 &amp; e2 ratio Cal.'!H72)^2)))))/((1+(1.7*Iz*(SQRT(((3.4*Q)^2)+(gR*R.)^2)))))))</f>
        <v/>
      </c>
      <c r="K72" t="str">
        <f t="shared" si="6"/>
        <v/>
      </c>
      <c r="L72" t="str">
        <f t="shared" si="7"/>
        <v/>
      </c>
    </row>
    <row r="73" spans="2:12" x14ac:dyDescent="0.25">
      <c r="B73" s="33">
        <v>70</v>
      </c>
      <c r="G73" t="str">
        <f t="shared" si="4"/>
        <v/>
      </c>
      <c r="H73" t="str">
        <f t="shared" si="5"/>
        <v/>
      </c>
      <c r="I73" t="str">
        <f>IF(G73="","",(((0.15+(1.7*Iz*(SQRT(((3.4*Q*0.15)^2)+(gR*R.*'e1 &amp; e2 ratio Cal.'!G73)^2)))))/((1+(1.7*Iz*(SQRT(((3.4*Q)^2)+(gR*R.)^2)))))))</f>
        <v/>
      </c>
      <c r="J73" t="str">
        <f>IF(H73="","",(((0.15+(1.7*Iz*(SQRT(((3.4*Q*0.15)^2)+(gR*R.*'e1 &amp; e2 ratio Cal.'!H73)^2)))))/((1+(1.7*Iz*(SQRT(((3.4*Q)^2)+(gR*R.)^2)))))))</f>
        <v/>
      </c>
      <c r="K73" t="str">
        <f t="shared" si="6"/>
        <v/>
      </c>
      <c r="L73" t="str">
        <f t="shared" si="7"/>
        <v/>
      </c>
    </row>
    <row r="74" spans="2:12" x14ac:dyDescent="0.25">
      <c r="B74" s="33">
        <v>71</v>
      </c>
      <c r="G74" t="str">
        <f t="shared" si="4"/>
        <v/>
      </c>
      <c r="H74" t="str">
        <f t="shared" si="5"/>
        <v/>
      </c>
      <c r="I74" t="str">
        <f>IF(G74="","",(((0.15+(1.7*Iz*(SQRT(((3.4*Q*0.15)^2)+(gR*R.*'e1 &amp; e2 ratio Cal.'!G74)^2)))))/((1+(1.7*Iz*(SQRT(((3.4*Q)^2)+(gR*R.)^2)))))))</f>
        <v/>
      </c>
      <c r="J74" t="str">
        <f>IF(H74="","",(((0.15+(1.7*Iz*(SQRT(((3.4*Q*0.15)^2)+(gR*R.*'e1 &amp; e2 ratio Cal.'!H74)^2)))))/((1+(1.7*Iz*(SQRT(((3.4*Q)^2)+(gR*R.)^2)))))))</f>
        <v/>
      </c>
      <c r="K74" t="str">
        <f t="shared" si="6"/>
        <v/>
      </c>
      <c r="L74" t="str">
        <f t="shared" si="7"/>
        <v/>
      </c>
    </row>
    <row r="75" spans="2:12" x14ac:dyDescent="0.25">
      <c r="B75" s="33">
        <v>72</v>
      </c>
      <c r="G75" t="str">
        <f t="shared" si="4"/>
        <v/>
      </c>
      <c r="H75" t="str">
        <f t="shared" si="5"/>
        <v/>
      </c>
      <c r="I75" t="str">
        <f>IF(G75="","",(((0.15+(1.7*Iz*(SQRT(((3.4*Q*0.15)^2)+(gR*R.*'e1 &amp; e2 ratio Cal.'!G75)^2)))))/((1+(1.7*Iz*(SQRT(((3.4*Q)^2)+(gR*R.)^2)))))))</f>
        <v/>
      </c>
      <c r="J75" t="str">
        <f>IF(H75="","",(((0.15+(1.7*Iz*(SQRT(((3.4*Q*0.15)^2)+(gR*R.*'e1 &amp; e2 ratio Cal.'!H75)^2)))))/((1+(1.7*Iz*(SQRT(((3.4*Q)^2)+(gR*R.)^2)))))))</f>
        <v/>
      </c>
      <c r="K75" t="str">
        <f t="shared" si="6"/>
        <v/>
      </c>
      <c r="L75" t="str">
        <f t="shared" si="7"/>
        <v/>
      </c>
    </row>
    <row r="76" spans="2:12" x14ac:dyDescent="0.25">
      <c r="B76" s="33">
        <v>73</v>
      </c>
      <c r="G76" t="str">
        <f t="shared" si="4"/>
        <v/>
      </c>
      <c r="H76" t="str">
        <f t="shared" si="5"/>
        <v/>
      </c>
      <c r="I76" t="str">
        <f>IF(G76="","",(((0.15+(1.7*Iz*(SQRT(((3.4*Q*0.15)^2)+(gR*R.*'e1 &amp; e2 ratio Cal.'!G76)^2)))))/((1+(1.7*Iz*(SQRT(((3.4*Q)^2)+(gR*R.)^2)))))))</f>
        <v/>
      </c>
      <c r="J76" t="str">
        <f>IF(H76="","",(((0.15+(1.7*Iz*(SQRT(((3.4*Q*0.15)^2)+(gR*R.*'e1 &amp; e2 ratio Cal.'!H76)^2)))))/((1+(1.7*Iz*(SQRT(((3.4*Q)^2)+(gR*R.)^2)))))))</f>
        <v/>
      </c>
      <c r="K76" t="str">
        <f t="shared" si="6"/>
        <v/>
      </c>
      <c r="L76" t="str">
        <f t="shared" si="7"/>
        <v/>
      </c>
    </row>
    <row r="77" spans="2:12" x14ac:dyDescent="0.25">
      <c r="B77" s="33">
        <v>74</v>
      </c>
      <c r="G77" t="str">
        <f t="shared" si="4"/>
        <v/>
      </c>
      <c r="H77" t="str">
        <f t="shared" si="5"/>
        <v/>
      </c>
      <c r="I77" t="str">
        <f>IF(G77="","",(((0.15+(1.7*Iz*(SQRT(((3.4*Q*0.15)^2)+(gR*R.*'e1 &amp; e2 ratio Cal.'!G77)^2)))))/((1+(1.7*Iz*(SQRT(((3.4*Q)^2)+(gR*R.)^2)))))))</f>
        <v/>
      </c>
      <c r="J77" t="str">
        <f>IF(H77="","",(((0.15+(1.7*Iz*(SQRT(((3.4*Q*0.15)^2)+(gR*R.*'e1 &amp; e2 ratio Cal.'!H77)^2)))))/((1+(1.7*Iz*(SQRT(((3.4*Q)^2)+(gR*R.)^2)))))))</f>
        <v/>
      </c>
      <c r="K77" t="str">
        <f t="shared" si="6"/>
        <v/>
      </c>
      <c r="L77" t="str">
        <f t="shared" si="7"/>
        <v/>
      </c>
    </row>
    <row r="78" spans="2:12" x14ac:dyDescent="0.25">
      <c r="B78" s="33">
        <v>75</v>
      </c>
      <c r="G78" t="str">
        <f t="shared" si="4"/>
        <v/>
      </c>
      <c r="H78" t="str">
        <f t="shared" si="5"/>
        <v/>
      </c>
      <c r="I78" t="str">
        <f>IF(G78="","",(((0.15+(1.7*Iz*(SQRT(((3.4*Q*0.15)^2)+(gR*R.*'e1 &amp; e2 ratio Cal.'!G78)^2)))))/((1+(1.7*Iz*(SQRT(((3.4*Q)^2)+(gR*R.)^2)))))))</f>
        <v/>
      </c>
      <c r="J78" t="str">
        <f>IF(H78="","",(((0.15+(1.7*Iz*(SQRT(((3.4*Q*0.15)^2)+(gR*R.*'e1 &amp; e2 ratio Cal.'!H78)^2)))))/((1+(1.7*Iz*(SQRT(((3.4*Q)^2)+(gR*R.)^2)))))))</f>
        <v/>
      </c>
      <c r="K78" t="str">
        <f t="shared" si="6"/>
        <v/>
      </c>
      <c r="L78" t="str">
        <f t="shared" si="7"/>
        <v/>
      </c>
    </row>
  </sheetData>
  <sheetProtection password="CB35" sheet="1" selectLockedCells="1" autoFilter="0" pivotTables="0"/>
  <mergeCells count="12">
    <mergeCell ref="P14:Q14"/>
    <mergeCell ref="N12:O12"/>
    <mergeCell ref="P11:Q11"/>
    <mergeCell ref="B3:F3"/>
    <mergeCell ref="G4:G5"/>
    <mergeCell ref="H4:H5"/>
    <mergeCell ref="G3:J3"/>
    <mergeCell ref="I4:I5"/>
    <mergeCell ref="J4:J5"/>
    <mergeCell ref="K3:L3"/>
    <mergeCell ref="K4:K5"/>
    <mergeCell ref="L4:L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tabSelected="1" workbookViewId="0">
      <selection activeCell="L18" sqref="L18"/>
    </sheetView>
  </sheetViews>
  <sheetFormatPr defaultRowHeight="15" x14ac:dyDescent="0.25"/>
  <cols>
    <col min="3" max="3" width="19.42578125" customWidth="1"/>
    <col min="4" max="4" width="7.140625" customWidth="1"/>
    <col min="5" max="5" width="10.28515625" bestFit="1" customWidth="1"/>
    <col min="6" max="6" width="6.140625" customWidth="1"/>
    <col min="9" max="9" width="14" customWidth="1"/>
    <col min="10" max="10" width="10.85546875" customWidth="1"/>
    <col min="11" max="11" width="11.28515625" customWidth="1"/>
    <col min="12" max="12" width="10.7109375" style="31" customWidth="1"/>
    <col min="13" max="16384" width="9.140625" style="31"/>
  </cols>
  <sheetData>
    <row r="1" spans="2:13" ht="33.75" x14ac:dyDescent="0.5">
      <c r="B1" s="130" t="s">
        <v>133</v>
      </c>
      <c r="C1" s="130"/>
      <c r="D1" s="130"/>
      <c r="E1" s="130"/>
      <c r="F1" s="130"/>
      <c r="G1" s="130"/>
      <c r="H1" s="130"/>
      <c r="I1" s="130"/>
      <c r="J1" s="130"/>
      <c r="K1" s="130"/>
    </row>
    <row r="2" spans="2:13" ht="56.25" customHeight="1" x14ac:dyDescent="0.45">
      <c r="B2" s="131" t="s">
        <v>238</v>
      </c>
      <c r="C2" s="131"/>
      <c r="D2" s="131"/>
      <c r="E2" s="131"/>
      <c r="F2" s="131"/>
      <c r="G2" s="131"/>
      <c r="H2" s="131"/>
      <c r="I2" s="131"/>
      <c r="J2" s="131"/>
      <c r="K2" s="131"/>
    </row>
    <row r="3" spans="2:13" ht="23.25" x14ac:dyDescent="0.35">
      <c r="B3" s="132" t="s">
        <v>134</v>
      </c>
      <c r="C3" s="132"/>
      <c r="D3" s="132"/>
      <c r="E3" s="132"/>
      <c r="F3" s="132"/>
      <c r="G3" s="132"/>
      <c r="H3" s="132"/>
      <c r="I3" s="132"/>
      <c r="J3" s="132"/>
      <c r="K3" s="132"/>
      <c r="M3" s="31" t="s">
        <v>338</v>
      </c>
    </row>
    <row r="4" spans="2:13" x14ac:dyDescent="0.25">
      <c r="B4" s="133" t="s">
        <v>135</v>
      </c>
      <c r="C4" s="133"/>
      <c r="D4" s="133"/>
      <c r="E4" s="133"/>
      <c r="F4" s="133"/>
      <c r="G4" s="133"/>
      <c r="H4" s="133"/>
      <c r="I4" s="133"/>
      <c r="J4" s="133"/>
      <c r="K4" s="133"/>
    </row>
    <row r="5" spans="2:13" ht="15.75" thickBot="1" x14ac:dyDescent="0.3"/>
    <row r="6" spans="2:13" ht="21" customHeight="1" thickBot="1" x14ac:dyDescent="0.3">
      <c r="B6" s="124" t="s">
        <v>85</v>
      </c>
      <c r="C6" s="125"/>
      <c r="D6" s="125"/>
      <c r="E6" s="126"/>
    </row>
    <row r="7" spans="2:13" ht="23.25" customHeight="1" thickBot="1" x14ac:dyDescent="0.3">
      <c r="B7" s="127" t="s">
        <v>283</v>
      </c>
      <c r="C7" s="128"/>
      <c r="D7" s="128"/>
      <c r="E7" s="129"/>
    </row>
    <row r="8" spans="2:13" ht="16.5" thickBot="1" x14ac:dyDescent="0.3">
      <c r="B8" s="134" t="s">
        <v>132</v>
      </c>
      <c r="C8" s="135"/>
      <c r="D8" s="135"/>
      <c r="E8" s="90">
        <f>'MWFRS (Any Ht.)'!O18*2.23694</f>
        <v>146.96695800000001</v>
      </c>
    </row>
    <row r="9" spans="2:13" ht="16.5" thickBot="1" x14ac:dyDescent="0.3">
      <c r="B9" s="122" t="s">
        <v>86</v>
      </c>
      <c r="C9" s="123"/>
      <c r="D9" s="123"/>
      <c r="E9" s="91">
        <f>IF(E8&lt;=(44*2.23694),VLOOKUP('MWFRS (Any Ht.)'!C7,'BNBC 20 Data'!E7:F10,2,FALSE),VLOOKUP('MWFRS (Any Ht.)'!C7,'BNBC 20 Data'!E7:G10,3,FALSE))</f>
        <v>1</v>
      </c>
    </row>
    <row r="10" spans="2:13" ht="16.5" thickBot="1" x14ac:dyDescent="0.3">
      <c r="B10" s="122" t="s">
        <v>99</v>
      </c>
      <c r="C10" s="123"/>
      <c r="D10" s="123"/>
      <c r="E10" s="92">
        <f>'MWFRS (Any Ht.)'!O51</f>
        <v>0.85</v>
      </c>
    </row>
    <row r="11" spans="2:13" ht="16.5" thickBot="1" x14ac:dyDescent="0.3">
      <c r="B11" s="136" t="s">
        <v>100</v>
      </c>
      <c r="C11" s="137"/>
      <c r="D11" s="137"/>
      <c r="E11" s="93" t="str">
        <f>'MWFRS (Any Ht.)'!C8</f>
        <v>A</v>
      </c>
    </row>
    <row r="12" spans="2:13" ht="16.5" thickBot="1" x14ac:dyDescent="0.3">
      <c r="B12" s="136" t="s">
        <v>101</v>
      </c>
      <c r="C12" s="137"/>
      <c r="D12" s="137"/>
      <c r="E12" s="92">
        <f>'MWFRS (Any Ht.)'!O40</f>
        <v>1</v>
      </c>
    </row>
    <row r="13" spans="2:13" ht="16.5" thickBot="1" x14ac:dyDescent="0.3">
      <c r="B13" s="122" t="s">
        <v>102</v>
      </c>
      <c r="C13" s="123"/>
      <c r="D13" s="123"/>
      <c r="E13" s="91">
        <f>'MWFRS (Any Ht.)'!O53</f>
        <v>0.85942026474343747</v>
      </c>
    </row>
    <row r="14" spans="2:13" ht="16.5" thickBot="1" x14ac:dyDescent="0.3">
      <c r="B14" s="122" t="s">
        <v>267</v>
      </c>
      <c r="C14" s="123"/>
      <c r="D14" s="123"/>
      <c r="E14" s="94">
        <f>'e1 &amp; e2 ratio Cal.'!$O$13</f>
        <v>0.14818824488824731</v>
      </c>
    </row>
    <row r="15" spans="2:13" ht="16.5" thickBot="1" x14ac:dyDescent="0.3">
      <c r="B15" s="122" t="s">
        <v>268</v>
      </c>
      <c r="C15" s="123"/>
      <c r="D15" s="123"/>
      <c r="E15" s="94">
        <f>'e1 &amp; e2 ratio Cal.'!$O$14</f>
        <v>0.74322878626710276</v>
      </c>
    </row>
    <row r="16" spans="2:13" ht="16.5" thickBot="1" x14ac:dyDescent="0.3">
      <c r="B16" s="122" t="s">
        <v>284</v>
      </c>
      <c r="C16" s="123"/>
      <c r="D16" s="123"/>
      <c r="E16" s="91">
        <f>'MWFRS (Any Ht.)'!O47</f>
        <v>0.8</v>
      </c>
    </row>
    <row r="17" spans="2:5" ht="16.5" thickBot="1" x14ac:dyDescent="0.3">
      <c r="B17" s="122" t="s">
        <v>285</v>
      </c>
      <c r="C17" s="123"/>
      <c r="D17" s="123"/>
      <c r="E17" s="94">
        <f>-'MWFRS (Any Ht.)'!O48</f>
        <v>0.5</v>
      </c>
    </row>
  </sheetData>
  <sheetProtection password="CB35" sheet="1" selectLockedCells="1"/>
  <mergeCells count="16">
    <mergeCell ref="B1:K1"/>
    <mergeCell ref="B2:K2"/>
    <mergeCell ref="B3:K3"/>
    <mergeCell ref="B4:K4"/>
    <mergeCell ref="B13:D13"/>
    <mergeCell ref="B8:D8"/>
    <mergeCell ref="B9:D9"/>
    <mergeCell ref="B10:D10"/>
    <mergeCell ref="B11:D11"/>
    <mergeCell ref="B12:D12"/>
    <mergeCell ref="B16:D16"/>
    <mergeCell ref="B17:D17"/>
    <mergeCell ref="B14:D14"/>
    <mergeCell ref="B15:D15"/>
    <mergeCell ref="B6:E6"/>
    <mergeCell ref="B7:E7"/>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Q80"/>
  <sheetViews>
    <sheetView zoomScaleNormal="100" workbookViewId="0">
      <selection sqref="A1:XFD1048576"/>
    </sheetView>
  </sheetViews>
  <sheetFormatPr defaultRowHeight="15" x14ac:dyDescent="0.25"/>
  <cols>
    <col min="2" max="2" width="17.5703125" customWidth="1"/>
    <col min="3" max="3" width="20.7109375" customWidth="1"/>
    <col min="5" max="5" width="24.42578125" customWidth="1"/>
    <col min="6" max="6" width="11" bestFit="1" customWidth="1"/>
    <col min="7" max="7" width="11.85546875" customWidth="1"/>
    <col min="9" max="9" width="36.42578125" bestFit="1" customWidth="1"/>
    <col min="10" max="10" width="10.28515625" customWidth="1"/>
    <col min="11" max="11" width="13.140625" bestFit="1" customWidth="1"/>
    <col min="13" max="13" width="27.42578125" bestFit="1" customWidth="1"/>
    <col min="16" max="17" width="9.85546875" bestFit="1" customWidth="1"/>
  </cols>
  <sheetData>
    <row r="4" spans="2:17" x14ac:dyDescent="0.25">
      <c r="B4" s="139" t="s">
        <v>84</v>
      </c>
      <c r="C4" s="139"/>
      <c r="E4" s="138" t="s">
        <v>83</v>
      </c>
      <c r="F4" s="138"/>
      <c r="G4" s="138"/>
    </row>
    <row r="5" spans="2:17" ht="15" customHeight="1" x14ac:dyDescent="0.25">
      <c r="B5" s="139"/>
      <c r="C5" s="139"/>
      <c r="E5" s="138"/>
      <c r="F5" s="138"/>
      <c r="G5" s="138"/>
    </row>
    <row r="6" spans="2:17" ht="45" x14ac:dyDescent="0.25">
      <c r="B6" s="15" t="s">
        <v>1</v>
      </c>
      <c r="C6" s="16" t="s">
        <v>76</v>
      </c>
      <c r="E6" s="2" t="s">
        <v>0</v>
      </c>
      <c r="F6" s="3" t="s">
        <v>81</v>
      </c>
      <c r="G6" s="4" t="s">
        <v>82</v>
      </c>
      <c r="I6" s="24" t="s">
        <v>88</v>
      </c>
      <c r="J6" s="24"/>
      <c r="K6" s="25" t="s">
        <v>90</v>
      </c>
      <c r="M6" s="26" t="s">
        <v>121</v>
      </c>
      <c r="N6" s="26"/>
      <c r="O6" s="27" t="s">
        <v>122</v>
      </c>
      <c r="P6" s="27" t="s">
        <v>123</v>
      </c>
    </row>
    <row r="7" spans="2:17" x14ac:dyDescent="0.25">
      <c r="B7" s="8" t="s">
        <v>2</v>
      </c>
      <c r="C7" s="5">
        <v>47.8</v>
      </c>
      <c r="E7" s="7" t="s">
        <v>77</v>
      </c>
      <c r="F7" s="7">
        <v>0.87</v>
      </c>
      <c r="G7" s="7">
        <v>0.77</v>
      </c>
      <c r="I7" s="43" t="s">
        <v>91</v>
      </c>
      <c r="J7" s="42" t="s">
        <v>272</v>
      </c>
      <c r="K7" s="48">
        <v>0.85</v>
      </c>
      <c r="M7" s="28" t="s">
        <v>124</v>
      </c>
      <c r="N7" s="40" t="s">
        <v>125</v>
      </c>
      <c r="O7" s="29">
        <v>4.6600000000000003E-2</v>
      </c>
      <c r="P7" s="29">
        <v>0.9</v>
      </c>
    </row>
    <row r="8" spans="2:17" x14ac:dyDescent="0.25">
      <c r="B8" s="9" t="s">
        <v>4</v>
      </c>
      <c r="C8" s="6">
        <v>77.5</v>
      </c>
      <c r="E8" s="7" t="s">
        <v>78</v>
      </c>
      <c r="F8" s="7">
        <v>1</v>
      </c>
      <c r="G8" s="7">
        <v>1</v>
      </c>
      <c r="I8" t="s">
        <v>98</v>
      </c>
      <c r="J8" s="42" t="s">
        <v>273</v>
      </c>
      <c r="K8" s="48">
        <v>0.85</v>
      </c>
      <c r="M8" s="30" t="s">
        <v>126</v>
      </c>
      <c r="N8" s="29" t="s">
        <v>127</v>
      </c>
      <c r="O8" s="29">
        <v>7.2400000000000006E-2</v>
      </c>
      <c r="P8" s="29">
        <v>0.8</v>
      </c>
    </row>
    <row r="9" spans="2:17" x14ac:dyDescent="0.25">
      <c r="B9" s="9" t="s">
        <v>6</v>
      </c>
      <c r="C9" s="6">
        <v>62.5</v>
      </c>
      <c r="E9" s="7" t="s">
        <v>79</v>
      </c>
      <c r="F9" s="7">
        <v>1.1499999999999999</v>
      </c>
      <c r="G9" s="7">
        <v>1.1499999999999999</v>
      </c>
      <c r="I9" s="17" t="s">
        <v>89</v>
      </c>
      <c r="J9" s="42" t="s">
        <v>274</v>
      </c>
      <c r="K9" s="48">
        <v>0.85</v>
      </c>
      <c r="M9" s="28" t="s">
        <v>128</v>
      </c>
      <c r="N9" s="40" t="s">
        <v>129</v>
      </c>
      <c r="O9" s="29">
        <v>7.3099999999999998E-2</v>
      </c>
      <c r="P9" s="29">
        <v>0.75</v>
      </c>
    </row>
    <row r="10" spans="2:17" x14ac:dyDescent="0.25">
      <c r="B10" s="9" t="s">
        <v>8</v>
      </c>
      <c r="C10" s="6">
        <v>80</v>
      </c>
      <c r="E10" s="7" t="s">
        <v>80</v>
      </c>
      <c r="F10" s="7">
        <v>1.1499999999999999</v>
      </c>
      <c r="G10" s="7">
        <v>1.1499999999999999</v>
      </c>
      <c r="I10" s="17" t="s">
        <v>92</v>
      </c>
      <c r="J10" s="42" t="s">
        <v>275</v>
      </c>
      <c r="K10" s="18">
        <v>0.9</v>
      </c>
      <c r="M10" s="30" t="s">
        <v>130</v>
      </c>
      <c r="N10" s="29" t="s">
        <v>131</v>
      </c>
      <c r="O10" s="29">
        <v>4.8800000000000003E-2</v>
      </c>
      <c r="P10" s="29">
        <v>0.75</v>
      </c>
    </row>
    <row r="11" spans="2:17" x14ac:dyDescent="0.25">
      <c r="B11" s="9" t="s">
        <v>10</v>
      </c>
      <c r="C11" s="6">
        <v>78.7</v>
      </c>
      <c r="I11" s="17" t="s">
        <v>94</v>
      </c>
      <c r="J11" s="42" t="s">
        <v>276</v>
      </c>
      <c r="K11" s="18">
        <v>0.95</v>
      </c>
    </row>
    <row r="12" spans="2:17" ht="15" customHeight="1" x14ac:dyDescent="0.25">
      <c r="B12" s="9" t="s">
        <v>12</v>
      </c>
      <c r="C12" s="6">
        <v>69.5</v>
      </c>
      <c r="I12" s="17" t="s">
        <v>93</v>
      </c>
      <c r="J12" s="42" t="s">
        <v>277</v>
      </c>
      <c r="K12" s="19">
        <v>0.95</v>
      </c>
    </row>
    <row r="13" spans="2:17" x14ac:dyDescent="0.25">
      <c r="B13" s="9" t="s">
        <v>14</v>
      </c>
      <c r="C13" s="6">
        <v>61.9</v>
      </c>
      <c r="I13" s="17" t="s">
        <v>95</v>
      </c>
      <c r="J13" s="42" t="s">
        <v>278</v>
      </c>
      <c r="K13" s="1">
        <v>0.85</v>
      </c>
    </row>
    <row r="14" spans="2:17" x14ac:dyDescent="0.25">
      <c r="B14" s="9" t="s">
        <v>16</v>
      </c>
      <c r="C14" s="6">
        <v>56.7</v>
      </c>
      <c r="I14" s="17" t="s">
        <v>96</v>
      </c>
      <c r="J14" s="42" t="s">
        <v>279</v>
      </c>
      <c r="K14" s="1">
        <v>0.85</v>
      </c>
      <c r="M14" s="140" t="s">
        <v>217</v>
      </c>
      <c r="N14" s="140"/>
      <c r="O14" s="140"/>
      <c r="P14" s="140"/>
      <c r="Q14" s="140"/>
    </row>
    <row r="15" spans="2:17" ht="15" customHeight="1" x14ac:dyDescent="0.25">
      <c r="B15" s="9" t="s">
        <v>18</v>
      </c>
      <c r="C15" s="6">
        <v>50.6</v>
      </c>
      <c r="I15" s="17" t="s">
        <v>97</v>
      </c>
      <c r="J15" s="42" t="s">
        <v>280</v>
      </c>
      <c r="K15" s="1">
        <v>0.95</v>
      </c>
      <c r="M15" s="143" t="s">
        <v>216</v>
      </c>
      <c r="N15" s="140" t="s">
        <v>112</v>
      </c>
      <c r="O15" s="140"/>
      <c r="P15" s="46" t="s">
        <v>87</v>
      </c>
      <c r="Q15" s="46" t="s">
        <v>113</v>
      </c>
    </row>
    <row r="16" spans="2:17" x14ac:dyDescent="0.25">
      <c r="B16" s="9" t="s">
        <v>20</v>
      </c>
      <c r="C16" s="6">
        <v>41.4</v>
      </c>
      <c r="E16" s="33" t="s">
        <v>148</v>
      </c>
      <c r="M16" s="143"/>
      <c r="N16" s="46" t="s">
        <v>201</v>
      </c>
      <c r="O16" s="46" t="s">
        <v>202</v>
      </c>
      <c r="P16" s="46" t="s">
        <v>203</v>
      </c>
      <c r="Q16" s="46" t="s">
        <v>203</v>
      </c>
    </row>
    <row r="17" spans="2:17" x14ac:dyDescent="0.25">
      <c r="B17" s="9" t="s">
        <v>22</v>
      </c>
      <c r="C17" s="6">
        <v>80</v>
      </c>
      <c r="E17" s="32" t="s">
        <v>146</v>
      </c>
      <c r="M17" s="47">
        <v>4.5999999999999996</v>
      </c>
      <c r="N17" s="47">
        <v>0.7</v>
      </c>
      <c r="O17" s="47">
        <v>0.56999999999999995</v>
      </c>
      <c r="P17" s="47">
        <v>0.85</v>
      </c>
      <c r="Q17" s="47">
        <v>1.03</v>
      </c>
    </row>
    <row r="18" spans="2:17" x14ac:dyDescent="0.25">
      <c r="B18" s="9" t="s">
        <v>24</v>
      </c>
      <c r="C18" s="6">
        <v>61.9</v>
      </c>
      <c r="E18" s="32" t="s">
        <v>147</v>
      </c>
      <c r="M18" s="47">
        <v>6.1</v>
      </c>
      <c r="N18" s="47">
        <v>0.7</v>
      </c>
      <c r="O18" s="47">
        <v>0.62</v>
      </c>
      <c r="P18" s="47">
        <v>0.9</v>
      </c>
      <c r="Q18" s="47">
        <v>1.08</v>
      </c>
    </row>
    <row r="19" spans="2:17" x14ac:dyDescent="0.25">
      <c r="B19" s="9" t="s">
        <v>26</v>
      </c>
      <c r="C19" s="6">
        <v>61.4</v>
      </c>
      <c r="M19" s="47">
        <v>7.6</v>
      </c>
      <c r="N19" s="47">
        <v>0.7</v>
      </c>
      <c r="O19" s="47">
        <v>0.66</v>
      </c>
      <c r="P19" s="47">
        <v>0.94</v>
      </c>
      <c r="Q19" s="47">
        <v>1.1200000000000001</v>
      </c>
    </row>
    <row r="20" spans="2:17" x14ac:dyDescent="0.25">
      <c r="B20" s="9" t="s">
        <v>28</v>
      </c>
      <c r="C20" s="6">
        <v>80</v>
      </c>
      <c r="E20" t="s">
        <v>157</v>
      </c>
      <c r="M20" s="47">
        <v>9.1</v>
      </c>
      <c r="N20" s="47">
        <v>0.7</v>
      </c>
      <c r="O20" s="47">
        <v>0.7</v>
      </c>
      <c r="P20" s="47">
        <v>0.98</v>
      </c>
      <c r="Q20" s="47">
        <v>1.1599999999999999</v>
      </c>
    </row>
    <row r="21" spans="2:17" x14ac:dyDescent="0.25">
      <c r="B21" s="9" t="s">
        <v>30</v>
      </c>
      <c r="C21" s="6">
        <v>47.8</v>
      </c>
      <c r="E21" t="s">
        <v>158</v>
      </c>
      <c r="M21" s="47">
        <v>12.2</v>
      </c>
      <c r="N21" s="47">
        <v>0.76</v>
      </c>
      <c r="O21" s="47">
        <v>0.76</v>
      </c>
      <c r="P21" s="47">
        <v>1.04</v>
      </c>
      <c r="Q21" s="47">
        <v>1.22</v>
      </c>
    </row>
    <row r="22" spans="2:17" x14ac:dyDescent="0.25">
      <c r="B22" s="9" t="s">
        <v>32</v>
      </c>
      <c r="C22" s="6">
        <v>65.7</v>
      </c>
      <c r="M22" s="47">
        <v>15.2</v>
      </c>
      <c r="N22" s="47">
        <v>0.81</v>
      </c>
      <c r="O22" s="47">
        <v>0.81</v>
      </c>
      <c r="P22" s="47">
        <v>1.0900000000000001</v>
      </c>
      <c r="Q22" s="47">
        <v>1.27</v>
      </c>
    </row>
    <row r="23" spans="2:17" x14ac:dyDescent="0.25">
      <c r="B23" s="9" t="s">
        <v>34</v>
      </c>
      <c r="C23" s="6">
        <v>41.4</v>
      </c>
      <c r="M23" s="47">
        <v>18</v>
      </c>
      <c r="N23" s="47">
        <v>0.85</v>
      </c>
      <c r="O23" s="47">
        <v>0.85</v>
      </c>
      <c r="P23" s="47">
        <v>1.1299999999999999</v>
      </c>
      <c r="Q23" s="47">
        <v>1.31</v>
      </c>
    </row>
    <row r="24" spans="2:17" x14ac:dyDescent="0.25">
      <c r="B24" s="9" t="s">
        <v>36</v>
      </c>
      <c r="C24" s="6">
        <v>63.1</v>
      </c>
      <c r="E24" s="41" t="s">
        <v>223</v>
      </c>
      <c r="M24" s="47">
        <v>21.3</v>
      </c>
      <c r="N24" s="47">
        <v>0.89</v>
      </c>
      <c r="O24" s="47">
        <v>0.89</v>
      </c>
      <c r="P24" s="47">
        <v>1.17</v>
      </c>
      <c r="Q24" s="47">
        <v>1.34</v>
      </c>
    </row>
    <row r="25" spans="2:17" x14ac:dyDescent="0.25">
      <c r="B25" s="9" t="s">
        <v>38</v>
      </c>
      <c r="C25" s="6">
        <v>64.099999999999994</v>
      </c>
      <c r="M25" s="47">
        <v>24.4</v>
      </c>
      <c r="N25" s="47">
        <v>0.93</v>
      </c>
      <c r="O25" s="47">
        <v>0.93</v>
      </c>
      <c r="P25" s="47">
        <v>1.21</v>
      </c>
      <c r="Q25" s="47">
        <v>1.38</v>
      </c>
    </row>
    <row r="26" spans="2:17" x14ac:dyDescent="0.25">
      <c r="B26" s="9" t="s">
        <v>40</v>
      </c>
      <c r="C26" s="6">
        <v>65.599999999999994</v>
      </c>
      <c r="E26" s="142" t="s">
        <v>221</v>
      </c>
      <c r="F26" s="142"/>
      <c r="G26" s="48" t="s">
        <v>224</v>
      </c>
      <c r="M26" s="47">
        <v>27.41</v>
      </c>
      <c r="N26" s="47">
        <v>0.96</v>
      </c>
      <c r="O26" s="47">
        <v>0.96</v>
      </c>
      <c r="P26" s="47">
        <v>1.24</v>
      </c>
      <c r="Q26" s="47">
        <v>1.4</v>
      </c>
    </row>
    <row r="27" spans="2:17" x14ac:dyDescent="0.25">
      <c r="B27" s="9" t="s">
        <v>42</v>
      </c>
      <c r="C27" s="6">
        <v>66.5</v>
      </c>
      <c r="E27" t="s">
        <v>225</v>
      </c>
      <c r="F27" s="1" t="s">
        <v>228</v>
      </c>
      <c r="G27" s="35">
        <v>0</v>
      </c>
      <c r="M27" s="47">
        <v>30.5</v>
      </c>
      <c r="N27" s="47">
        <v>0.99</v>
      </c>
      <c r="O27" s="47">
        <v>0.99</v>
      </c>
      <c r="P27" s="47">
        <v>1.26</v>
      </c>
      <c r="Q27" s="47">
        <v>1.43</v>
      </c>
    </row>
    <row r="28" spans="2:17" x14ac:dyDescent="0.25">
      <c r="B28" s="9" t="s">
        <v>44</v>
      </c>
      <c r="C28" s="6">
        <v>74.5</v>
      </c>
      <c r="E28" t="s">
        <v>226</v>
      </c>
      <c r="F28" s="1" t="s">
        <v>229</v>
      </c>
      <c r="G28" s="48">
        <v>0.55000000000000004</v>
      </c>
      <c r="M28" s="47">
        <v>36.6</v>
      </c>
      <c r="N28" s="47">
        <v>1.04</v>
      </c>
      <c r="O28" s="47">
        <v>1.04</v>
      </c>
      <c r="P28" s="47">
        <v>1.31</v>
      </c>
      <c r="Q28" s="47">
        <v>1.48</v>
      </c>
    </row>
    <row r="29" spans="2:17" x14ac:dyDescent="0.25">
      <c r="B29" s="9" t="s">
        <v>46</v>
      </c>
      <c r="C29" s="6">
        <v>54.2</v>
      </c>
      <c r="E29" t="s">
        <v>227</v>
      </c>
      <c r="F29" s="1" t="s">
        <v>230</v>
      </c>
      <c r="G29" s="48">
        <v>0.18</v>
      </c>
      <c r="M29" s="47">
        <v>42.7</v>
      </c>
      <c r="N29" s="47">
        <v>1.0900000000000001</v>
      </c>
      <c r="O29" s="47">
        <v>1.0900000000000001</v>
      </c>
      <c r="P29" s="47">
        <v>1.36</v>
      </c>
      <c r="Q29" s="47">
        <v>1.52</v>
      </c>
    </row>
    <row r="30" spans="2:17" x14ac:dyDescent="0.25">
      <c r="B30" s="9" t="s">
        <v>48</v>
      </c>
      <c r="C30" s="6">
        <v>80</v>
      </c>
      <c r="M30" s="47">
        <v>48.8</v>
      </c>
      <c r="N30" s="47">
        <v>1.1299999999999999</v>
      </c>
      <c r="O30" s="47">
        <v>1.1299999999999999</v>
      </c>
      <c r="P30" s="47">
        <v>1.39</v>
      </c>
      <c r="Q30" s="47">
        <v>1.55</v>
      </c>
    </row>
    <row r="31" spans="2:17" x14ac:dyDescent="0.25">
      <c r="B31" s="9" t="s">
        <v>50</v>
      </c>
      <c r="C31" s="6">
        <v>69.5</v>
      </c>
      <c r="M31" s="47">
        <v>54.9</v>
      </c>
      <c r="N31" s="47">
        <v>1.17</v>
      </c>
      <c r="O31" s="47">
        <v>1.17</v>
      </c>
      <c r="P31" s="47">
        <v>1.43</v>
      </c>
      <c r="Q31" s="47">
        <v>1.58</v>
      </c>
    </row>
    <row r="32" spans="2:17" x14ac:dyDescent="0.25">
      <c r="B32" s="9" t="s">
        <v>52</v>
      </c>
      <c r="C32" s="6">
        <v>56.7</v>
      </c>
      <c r="M32" s="47">
        <v>61</v>
      </c>
      <c r="N32" s="47">
        <v>1.2</v>
      </c>
      <c r="O32" s="47">
        <v>1.2</v>
      </c>
      <c r="P32" s="47">
        <v>1.46</v>
      </c>
      <c r="Q32" s="47">
        <v>1.61</v>
      </c>
    </row>
    <row r="33" spans="2:17" x14ac:dyDescent="0.25">
      <c r="B33" s="9" t="s">
        <v>54</v>
      </c>
      <c r="C33" s="6">
        <v>56.7</v>
      </c>
      <c r="M33" s="47">
        <v>76.2</v>
      </c>
      <c r="N33" s="47">
        <v>1.28</v>
      </c>
      <c r="O33" s="47">
        <v>1.28</v>
      </c>
      <c r="P33" s="47">
        <v>1.53</v>
      </c>
      <c r="Q33" s="47">
        <v>1.68</v>
      </c>
    </row>
    <row r="34" spans="2:17" x14ac:dyDescent="0.25">
      <c r="B34" s="9" t="s">
        <v>56</v>
      </c>
      <c r="C34" s="6">
        <v>64.099999999999994</v>
      </c>
      <c r="M34" s="47">
        <v>91.4</v>
      </c>
      <c r="N34" s="47">
        <v>1.35</v>
      </c>
      <c r="O34" s="47">
        <v>1.35</v>
      </c>
      <c r="P34" s="47">
        <v>1.59</v>
      </c>
      <c r="Q34" s="47">
        <v>1.73</v>
      </c>
    </row>
    <row r="35" spans="2:17" x14ac:dyDescent="0.25">
      <c r="B35" s="9" t="s">
        <v>58</v>
      </c>
      <c r="C35" s="6">
        <v>80</v>
      </c>
      <c r="M35" s="47">
        <v>106.7</v>
      </c>
      <c r="N35" s="47">
        <v>1.41</v>
      </c>
      <c r="O35" s="47">
        <v>1.41</v>
      </c>
      <c r="P35" s="47">
        <v>1.64</v>
      </c>
      <c r="Q35" s="47">
        <v>1.78</v>
      </c>
    </row>
    <row r="36" spans="2:17" x14ac:dyDescent="0.25">
      <c r="B36" s="9" t="s">
        <v>60</v>
      </c>
      <c r="C36" s="6">
        <v>65</v>
      </c>
      <c r="E36" s="141" t="s">
        <v>252</v>
      </c>
      <c r="F36" s="141"/>
      <c r="G36" s="141"/>
      <c r="H36" s="141"/>
      <c r="M36" s="47">
        <v>121.9</v>
      </c>
      <c r="N36" s="47">
        <v>1.47</v>
      </c>
      <c r="O36" s="47">
        <v>1.47</v>
      </c>
      <c r="P36" s="47">
        <v>1.69</v>
      </c>
      <c r="Q36" s="47">
        <v>1.82</v>
      </c>
    </row>
    <row r="37" spans="2:17" x14ac:dyDescent="0.25">
      <c r="B37" s="9" t="s">
        <v>62</v>
      </c>
      <c r="C37" s="6">
        <v>56.7</v>
      </c>
      <c r="E37" s="46" t="s">
        <v>239</v>
      </c>
      <c r="F37" s="46" t="s">
        <v>240</v>
      </c>
      <c r="G37" s="46" t="s">
        <v>248</v>
      </c>
      <c r="H37" s="46" t="s">
        <v>241</v>
      </c>
      <c r="M37" s="47">
        <v>137.19999999999999</v>
      </c>
      <c r="N37" s="47">
        <v>1.52</v>
      </c>
      <c r="O37" s="47">
        <v>1.52</v>
      </c>
      <c r="P37" s="47">
        <v>1.73</v>
      </c>
      <c r="Q37" s="47">
        <v>1.86</v>
      </c>
    </row>
    <row r="38" spans="2:17" x14ac:dyDescent="0.25">
      <c r="B38" s="9" t="s">
        <v>64</v>
      </c>
      <c r="C38" s="6">
        <v>73.3</v>
      </c>
      <c r="E38" s="46" t="s">
        <v>242</v>
      </c>
      <c r="F38" s="46" t="s">
        <v>243</v>
      </c>
      <c r="G38" s="46">
        <v>0.8</v>
      </c>
      <c r="H38" s="46" t="s">
        <v>249</v>
      </c>
      <c r="M38" s="47">
        <v>152.4</v>
      </c>
      <c r="N38" s="47">
        <v>1.56</v>
      </c>
      <c r="O38" s="47">
        <v>1.56</v>
      </c>
      <c r="P38" s="47">
        <v>1.77</v>
      </c>
      <c r="Q38" s="47">
        <v>1.89</v>
      </c>
    </row>
    <row r="39" spans="2:17" x14ac:dyDescent="0.25">
      <c r="B39" s="9" t="s">
        <v>66</v>
      </c>
      <c r="C39" s="6">
        <v>80</v>
      </c>
      <c r="E39" s="140" t="s">
        <v>244</v>
      </c>
      <c r="F39" s="46" t="s">
        <v>245</v>
      </c>
      <c r="G39" s="46">
        <v>-0.5</v>
      </c>
      <c r="H39" s="140" t="s">
        <v>250</v>
      </c>
      <c r="M39" t="s">
        <v>204</v>
      </c>
    </row>
    <row r="40" spans="2:17" x14ac:dyDescent="0.25">
      <c r="B40" s="9" t="s">
        <v>68</v>
      </c>
      <c r="C40" s="6">
        <v>64.7</v>
      </c>
      <c r="E40" s="140"/>
      <c r="F40" s="46">
        <v>2</v>
      </c>
      <c r="G40" s="46">
        <v>-0.3</v>
      </c>
      <c r="H40" s="140"/>
      <c r="M40" t="s">
        <v>205</v>
      </c>
    </row>
    <row r="41" spans="2:17" x14ac:dyDescent="0.25">
      <c r="B41" s="9" t="s">
        <v>70</v>
      </c>
      <c r="C41" s="6">
        <v>65.599999999999994</v>
      </c>
      <c r="E41" s="140"/>
      <c r="F41" s="46" t="s">
        <v>251</v>
      </c>
      <c r="G41" s="46">
        <v>-0.2</v>
      </c>
      <c r="H41" s="140"/>
      <c r="M41" t="s">
        <v>206</v>
      </c>
    </row>
    <row r="42" spans="2:17" x14ac:dyDescent="0.25">
      <c r="B42" s="9" t="s">
        <v>72</v>
      </c>
      <c r="C42" s="6">
        <v>66.900000000000006</v>
      </c>
      <c r="E42" s="46" t="s">
        <v>246</v>
      </c>
      <c r="F42" s="46" t="s">
        <v>243</v>
      </c>
      <c r="G42" s="46">
        <v>-0.7</v>
      </c>
      <c r="H42" s="46" t="s">
        <v>250</v>
      </c>
      <c r="M42" t="s">
        <v>207</v>
      </c>
    </row>
    <row r="43" spans="2:17" ht="15.75" thickBot="1" x14ac:dyDescent="0.3">
      <c r="B43" s="10" t="s">
        <v>74</v>
      </c>
      <c r="C43" s="12">
        <v>51.2</v>
      </c>
      <c r="M43" t="s">
        <v>208</v>
      </c>
    </row>
    <row r="44" spans="2:17" x14ac:dyDescent="0.25">
      <c r="B44" s="9" t="s">
        <v>3</v>
      </c>
      <c r="C44" s="13">
        <v>63.7</v>
      </c>
      <c r="M44" t="s">
        <v>209</v>
      </c>
    </row>
    <row r="45" spans="2:17" x14ac:dyDescent="0.25">
      <c r="B45" s="9" t="s">
        <v>5</v>
      </c>
      <c r="C45" s="13">
        <v>68.099999999999994</v>
      </c>
      <c r="M45" t="s">
        <v>210</v>
      </c>
    </row>
    <row r="46" spans="2:17" x14ac:dyDescent="0.25">
      <c r="B46" s="9" t="s">
        <v>7</v>
      </c>
      <c r="C46" s="13">
        <v>65</v>
      </c>
      <c r="M46" t="s">
        <v>211</v>
      </c>
    </row>
    <row r="47" spans="2:17" x14ac:dyDescent="0.25">
      <c r="B47" s="9" t="s">
        <v>9</v>
      </c>
      <c r="C47" s="13">
        <v>58.2</v>
      </c>
      <c r="M47" t="s">
        <v>212</v>
      </c>
    </row>
    <row r="48" spans="2:17" x14ac:dyDescent="0.25">
      <c r="B48" s="9" t="s">
        <v>11</v>
      </c>
      <c r="C48" s="13">
        <v>58.2</v>
      </c>
      <c r="M48" t="s">
        <v>213</v>
      </c>
    </row>
    <row r="49" spans="2:13" x14ac:dyDescent="0.25">
      <c r="B49" s="9" t="s">
        <v>13</v>
      </c>
      <c r="C49" s="13">
        <v>80</v>
      </c>
      <c r="M49" t="s">
        <v>214</v>
      </c>
    </row>
    <row r="50" spans="2:13" x14ac:dyDescent="0.25">
      <c r="B50" s="9" t="s">
        <v>15</v>
      </c>
      <c r="C50" s="13">
        <v>53</v>
      </c>
      <c r="M50" t="s">
        <v>215</v>
      </c>
    </row>
    <row r="51" spans="2:13" x14ac:dyDescent="0.25">
      <c r="B51" s="9" t="s">
        <v>17</v>
      </c>
      <c r="C51" s="13">
        <v>57.1</v>
      </c>
    </row>
    <row r="52" spans="2:13" x14ac:dyDescent="0.25">
      <c r="B52" s="9" t="s">
        <v>19</v>
      </c>
      <c r="C52" s="13">
        <v>67.400000000000006</v>
      </c>
    </row>
    <row r="53" spans="2:13" x14ac:dyDescent="0.25">
      <c r="B53" s="9" t="s">
        <v>21</v>
      </c>
      <c r="C53" s="13">
        <v>55.2</v>
      </c>
    </row>
    <row r="54" spans="2:13" x14ac:dyDescent="0.25">
      <c r="B54" s="9" t="s">
        <v>23</v>
      </c>
      <c r="C54" s="13">
        <v>68.599999999999994</v>
      </c>
    </row>
    <row r="55" spans="2:13" x14ac:dyDescent="0.25">
      <c r="B55" s="9" t="s">
        <v>25</v>
      </c>
      <c r="C55" s="13">
        <v>61.1</v>
      </c>
    </row>
    <row r="56" spans="2:13" x14ac:dyDescent="0.25">
      <c r="B56" s="9" t="s">
        <v>27</v>
      </c>
      <c r="C56" s="13">
        <v>59.7</v>
      </c>
    </row>
    <row r="57" spans="2:13" x14ac:dyDescent="0.25">
      <c r="B57" s="9" t="s">
        <v>29</v>
      </c>
      <c r="C57" s="13">
        <v>61.9</v>
      </c>
    </row>
    <row r="58" spans="2:13" x14ac:dyDescent="0.25">
      <c r="B58" s="9" t="s">
        <v>31</v>
      </c>
      <c r="C58" s="13">
        <v>65.599999999999994</v>
      </c>
    </row>
    <row r="59" spans="2:13" x14ac:dyDescent="0.25">
      <c r="B59" s="9" t="s">
        <v>33</v>
      </c>
      <c r="C59" s="13">
        <v>44.7</v>
      </c>
    </row>
    <row r="60" spans="2:13" x14ac:dyDescent="0.25">
      <c r="B60" s="9" t="s">
        <v>35</v>
      </c>
      <c r="C60" s="13">
        <v>57.1</v>
      </c>
    </row>
    <row r="61" spans="2:13" x14ac:dyDescent="0.25">
      <c r="B61" s="9" t="s">
        <v>37</v>
      </c>
      <c r="C61" s="13">
        <v>63.1</v>
      </c>
    </row>
    <row r="62" spans="2:13" x14ac:dyDescent="0.25">
      <c r="B62" s="9" t="s">
        <v>39</v>
      </c>
      <c r="C62" s="13">
        <v>41.4</v>
      </c>
    </row>
    <row r="63" spans="2:13" x14ac:dyDescent="0.25">
      <c r="B63" s="9" t="s">
        <v>41</v>
      </c>
      <c r="C63" s="13">
        <v>80</v>
      </c>
    </row>
    <row r="64" spans="2:13" x14ac:dyDescent="0.25">
      <c r="B64" s="9" t="s">
        <v>43</v>
      </c>
      <c r="C64" s="13">
        <v>80</v>
      </c>
    </row>
    <row r="65" spans="2:3" x14ac:dyDescent="0.25">
      <c r="B65" s="9" t="s">
        <v>45</v>
      </c>
      <c r="C65" s="13">
        <v>59.1</v>
      </c>
    </row>
    <row r="66" spans="2:3" x14ac:dyDescent="0.25">
      <c r="B66" s="9" t="s">
        <v>47</v>
      </c>
      <c r="C66" s="13">
        <v>49.2</v>
      </c>
    </row>
    <row r="67" spans="2:3" x14ac:dyDescent="0.25">
      <c r="B67" s="9" t="s">
        <v>49</v>
      </c>
      <c r="C67" s="13">
        <v>56.7</v>
      </c>
    </row>
    <row r="68" spans="2:3" x14ac:dyDescent="0.25">
      <c r="B68" s="9" t="s">
        <v>51</v>
      </c>
      <c r="C68" s="13">
        <v>65.3</v>
      </c>
    </row>
    <row r="69" spans="2:3" x14ac:dyDescent="0.25">
      <c r="B69" s="9" t="s">
        <v>53</v>
      </c>
      <c r="C69" s="13">
        <v>57.6</v>
      </c>
    </row>
    <row r="70" spans="2:3" x14ac:dyDescent="0.25">
      <c r="B70" s="9" t="s">
        <v>55</v>
      </c>
      <c r="C70" s="13">
        <v>61.9</v>
      </c>
    </row>
    <row r="71" spans="2:3" x14ac:dyDescent="0.25">
      <c r="B71" s="9" t="s">
        <v>57</v>
      </c>
      <c r="C71" s="13">
        <v>62.5</v>
      </c>
    </row>
    <row r="72" spans="2:3" x14ac:dyDescent="0.25">
      <c r="B72" s="9" t="s">
        <v>59</v>
      </c>
      <c r="C72" s="13">
        <v>50.6</v>
      </c>
    </row>
    <row r="73" spans="2:3" x14ac:dyDescent="0.25">
      <c r="B73" s="9" t="s">
        <v>61</v>
      </c>
      <c r="C73" s="13">
        <v>50.6</v>
      </c>
    </row>
    <row r="74" spans="2:3" x14ac:dyDescent="0.25">
      <c r="B74" s="9" t="s">
        <v>63</v>
      </c>
      <c r="C74" s="13">
        <v>80</v>
      </c>
    </row>
    <row r="75" spans="2:3" x14ac:dyDescent="0.25">
      <c r="B75" s="9" t="s">
        <v>65</v>
      </c>
      <c r="C75" s="13">
        <v>61.1</v>
      </c>
    </row>
    <row r="76" spans="2:3" x14ac:dyDescent="0.25">
      <c r="B76" s="9" t="s">
        <v>67</v>
      </c>
      <c r="C76" s="13">
        <v>61.1</v>
      </c>
    </row>
    <row r="77" spans="2:3" x14ac:dyDescent="0.25">
      <c r="B77" s="9" t="s">
        <v>69</v>
      </c>
      <c r="C77" s="13">
        <v>80</v>
      </c>
    </row>
    <row r="78" spans="2:3" x14ac:dyDescent="0.25">
      <c r="B78" s="9" t="s">
        <v>71</v>
      </c>
      <c r="C78" s="13">
        <v>50.6</v>
      </c>
    </row>
    <row r="79" spans="2:3" x14ac:dyDescent="0.25">
      <c r="B79" s="9" t="s">
        <v>73</v>
      </c>
      <c r="C79" s="13">
        <v>80</v>
      </c>
    </row>
    <row r="80" spans="2:3" x14ac:dyDescent="0.25">
      <c r="B80" s="11" t="s">
        <v>75</v>
      </c>
      <c r="C80" s="14">
        <v>41.4</v>
      </c>
    </row>
  </sheetData>
  <sheetProtection password="CB35" sheet="1" selectLockedCells="1"/>
  <mergeCells count="9">
    <mergeCell ref="E4:G5"/>
    <mergeCell ref="B4:C5"/>
    <mergeCell ref="M14:Q14"/>
    <mergeCell ref="E36:H36"/>
    <mergeCell ref="E39:E41"/>
    <mergeCell ref="H39:H41"/>
    <mergeCell ref="E26:F26"/>
    <mergeCell ref="M15:M16"/>
    <mergeCell ref="N15:O15"/>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38"/>
  <sheetViews>
    <sheetView zoomScale="110" zoomScaleNormal="110" workbookViewId="0">
      <selection sqref="A1:XFD1048576"/>
    </sheetView>
  </sheetViews>
  <sheetFormatPr defaultRowHeight="15" x14ac:dyDescent="0.25"/>
  <cols>
    <col min="2" max="2" width="10.7109375" bestFit="1" customWidth="1"/>
    <col min="5" max="5" width="19.140625" bestFit="1" customWidth="1"/>
    <col min="6" max="6" width="9.42578125" customWidth="1"/>
    <col min="7" max="7" width="13.42578125" bestFit="1" customWidth="1"/>
    <col min="8" max="8" width="19.85546875" customWidth="1"/>
    <col min="10" max="10" width="13.7109375" customWidth="1"/>
    <col min="13" max="13" width="11.140625" customWidth="1"/>
    <col min="14" max="14" width="11.85546875" customWidth="1"/>
    <col min="15" max="15" width="20.7109375" bestFit="1" customWidth="1"/>
  </cols>
  <sheetData>
    <row r="2" spans="2:15" ht="15.75" thickBot="1" x14ac:dyDescent="0.3"/>
    <row r="3" spans="2:15" ht="15.75" thickBot="1" x14ac:dyDescent="0.3">
      <c r="B3" s="145" t="s">
        <v>152</v>
      </c>
      <c r="C3" s="146"/>
      <c r="D3" s="146"/>
      <c r="E3" s="146"/>
      <c r="F3" s="147"/>
    </row>
    <row r="4" spans="2:15" x14ac:dyDescent="0.25">
      <c r="B4" t="s">
        <v>258</v>
      </c>
      <c r="C4">
        <f>F7*((F6/10)^F5)</f>
        <v>123.14197514174221</v>
      </c>
      <c r="E4" s="23" t="s">
        <v>119</v>
      </c>
      <c r="F4">
        <f>VLOOKUP('MWFRS (Any Ht.)'!C8,'Gust Factor Cal.'!E11:O13,8,FALSE)</f>
        <v>0.3</v>
      </c>
    </row>
    <row r="5" spans="2:15" x14ac:dyDescent="0.25">
      <c r="B5" t="s">
        <v>118</v>
      </c>
      <c r="C5">
        <f>SQRT((1/(1+(0.63*((B+h)/'Gust Factor Cal.'!C4)^0.63))))</f>
        <v>0.84415061072618436</v>
      </c>
      <c r="F5">
        <f>VLOOKUP('MWFRS (Any Ht.)'!C8,'Gust Factor Cal.'!E11:O13,10,FALSE)</f>
        <v>0.33333333333333331</v>
      </c>
    </row>
    <row r="6" spans="2:15" ht="15.75" thickBot="1" x14ac:dyDescent="0.3">
      <c r="B6" t="s">
        <v>257</v>
      </c>
      <c r="C6">
        <f>F4*(10/F6)^(1/6)</f>
        <v>0.26699896185704075</v>
      </c>
      <c r="E6" s="23" t="s">
        <v>117</v>
      </c>
      <c r="F6">
        <f>IF((0.6*'MWFRS (Any Ht.)'!O14)&lt;(VLOOKUP('MWFRS (Any Ht.)'!C8,'Gust Factor Cal.'!E11:O13,11,FALSE)),(VLOOKUP('MWFRS (Any Ht.)'!C8,'Gust Factor Cal.'!E11:O13,11,FALSE)),(0.6*'MWFRS (Any Ht.)'!O7))</f>
        <v>20.121951219512194</v>
      </c>
    </row>
    <row r="7" spans="2:15" ht="15.75" thickBot="1" x14ac:dyDescent="0.3">
      <c r="B7" t="s">
        <v>120</v>
      </c>
      <c r="C7" s="38">
        <f>0.925*((1+(1.7*3.4*C6*C5))/(1+(1.7*3.4*C6)))</f>
        <v>0.83752287272000236</v>
      </c>
      <c r="E7" s="23" t="s">
        <v>116</v>
      </c>
      <c r="F7">
        <f>VLOOKUP('MWFRS (Any Ht.)'!C8,'Gust Factor Cal.'!E11:O13,9,FALSE)</f>
        <v>97.54</v>
      </c>
    </row>
    <row r="9" spans="2:15" ht="26.25" x14ac:dyDescent="0.4">
      <c r="E9" s="144" t="s">
        <v>115</v>
      </c>
      <c r="F9" s="144"/>
      <c r="G9" s="144"/>
      <c r="H9" s="144"/>
      <c r="I9" s="144"/>
      <c r="J9" s="144"/>
      <c r="K9" s="144"/>
      <c r="L9" s="144"/>
      <c r="M9" s="144"/>
      <c r="N9" s="144"/>
      <c r="O9" s="144"/>
    </row>
    <row r="10" spans="2:15" ht="28.5" x14ac:dyDescent="0.25">
      <c r="E10" s="20" t="s">
        <v>103</v>
      </c>
      <c r="F10" s="20" t="s">
        <v>104</v>
      </c>
      <c r="G10" s="20" t="s">
        <v>114</v>
      </c>
      <c r="H10" s="20" t="s">
        <v>105</v>
      </c>
      <c r="I10" s="20" t="s">
        <v>106</v>
      </c>
      <c r="J10" s="20" t="s">
        <v>107</v>
      </c>
      <c r="K10" s="20" t="s">
        <v>108</v>
      </c>
      <c r="L10" s="20" t="s">
        <v>109</v>
      </c>
      <c r="M10" s="20" t="s">
        <v>110</v>
      </c>
      <c r="N10" s="20"/>
      <c r="O10" s="20" t="s">
        <v>111</v>
      </c>
    </row>
    <row r="11" spans="2:15" ht="21" x14ac:dyDescent="0.25">
      <c r="E11" s="21" t="s">
        <v>112</v>
      </c>
      <c r="F11" s="22">
        <v>7</v>
      </c>
      <c r="G11" s="22">
        <v>365.76</v>
      </c>
      <c r="H11" s="22">
        <v>0.14285700000000001</v>
      </c>
      <c r="I11" s="22">
        <v>0.84</v>
      </c>
      <c r="J11" s="22">
        <v>0.25</v>
      </c>
      <c r="K11" s="22">
        <v>0.45</v>
      </c>
      <c r="L11" s="22">
        <v>0.3</v>
      </c>
      <c r="M11" s="22">
        <v>97.54</v>
      </c>
      <c r="N11" s="22">
        <v>0.33333333333333331</v>
      </c>
      <c r="O11" s="22">
        <v>9.14</v>
      </c>
    </row>
    <row r="12" spans="2:15" ht="21" x14ac:dyDescent="0.25">
      <c r="E12" s="21" t="s">
        <v>87</v>
      </c>
      <c r="F12" s="22">
        <v>9.5</v>
      </c>
      <c r="G12" s="22">
        <v>274.32</v>
      </c>
      <c r="H12" s="22">
        <v>0.105263157894737</v>
      </c>
      <c r="I12" s="22">
        <v>1</v>
      </c>
      <c r="J12" s="22">
        <v>0.15384615384615385</v>
      </c>
      <c r="K12" s="22">
        <v>0.65</v>
      </c>
      <c r="L12" s="22">
        <v>0.2</v>
      </c>
      <c r="M12" s="22">
        <v>152.4</v>
      </c>
      <c r="N12" s="22">
        <v>0.2</v>
      </c>
      <c r="O12" s="22">
        <v>4.57</v>
      </c>
    </row>
    <row r="13" spans="2:15" ht="21" x14ac:dyDescent="0.25">
      <c r="E13" s="21" t="s">
        <v>113</v>
      </c>
      <c r="F13" s="22">
        <v>11.5</v>
      </c>
      <c r="G13" s="22">
        <v>213.36</v>
      </c>
      <c r="H13" s="22">
        <v>8.6956521739130432E-2</v>
      </c>
      <c r="I13" s="22">
        <v>1.07</v>
      </c>
      <c r="J13" s="22">
        <v>0.1111111111111111</v>
      </c>
      <c r="K13" s="22">
        <v>0.8</v>
      </c>
      <c r="L13" s="22">
        <v>0.15</v>
      </c>
      <c r="M13" s="22">
        <v>198.12</v>
      </c>
      <c r="N13" s="22">
        <v>0.125</v>
      </c>
      <c r="O13" s="22">
        <v>2.13</v>
      </c>
    </row>
    <row r="14" spans="2:15" ht="15.75" thickBot="1" x14ac:dyDescent="0.3"/>
    <row r="15" spans="2:15" ht="15.75" thickBot="1" x14ac:dyDescent="0.3">
      <c r="G15" s="148" t="s">
        <v>153</v>
      </c>
      <c r="H15" s="149"/>
      <c r="I15" s="150"/>
    </row>
    <row r="16" spans="2:15" x14ac:dyDescent="0.25">
      <c r="G16" s="23" t="s">
        <v>154</v>
      </c>
      <c r="H16" s="48">
        <f>VLOOKUP(L16,'BNBC 20 Data'!B7:C80,2,FALSE)</f>
        <v>65.7</v>
      </c>
      <c r="I16" t="s">
        <v>155</v>
      </c>
      <c r="L16" s="39" t="str">
        <f>'MWFRS (Any Ht.)'!C6</f>
        <v>Dhaka</v>
      </c>
    </row>
    <row r="17" spans="7:13" x14ac:dyDescent="0.25">
      <c r="H17" s="48">
        <f>VLOOKUP('MWFRS (Any Ht.)'!C8,'Gust Factor Cal.'!E10:O13,7,FALSE)</f>
        <v>0.45</v>
      </c>
    </row>
    <row r="18" spans="7:13" x14ac:dyDescent="0.25">
      <c r="G18" s="34" t="s">
        <v>156</v>
      </c>
      <c r="H18" s="48">
        <f>VLOOKUP('MWFRS (Any Ht.)'!C8,'Gust Factor Cal.'!E10:O13,6,FALSE)</f>
        <v>0.25</v>
      </c>
    </row>
    <row r="19" spans="7:13" x14ac:dyDescent="0.25">
      <c r="H19" s="35">
        <f>H16*H17*((F6/10)^H18)</f>
        <v>35.212382134430705</v>
      </c>
    </row>
    <row r="20" spans="7:13" x14ac:dyDescent="0.25">
      <c r="H20" s="35"/>
    </row>
    <row r="21" spans="7:13" x14ac:dyDescent="0.25">
      <c r="H21" s="35"/>
    </row>
    <row r="22" spans="7:13" ht="15.75" x14ac:dyDescent="0.25">
      <c r="G22" s="23" t="s">
        <v>188</v>
      </c>
      <c r="H22" s="35">
        <f>'MWFRS (Any Ht.)'!O24</f>
        <v>0.90917424799984414</v>
      </c>
      <c r="I22" t="s">
        <v>186</v>
      </c>
    </row>
    <row r="23" spans="7:13" x14ac:dyDescent="0.25">
      <c r="G23" s="23" t="s">
        <v>177</v>
      </c>
      <c r="H23" s="48">
        <f>IF(Ƞh&gt;0,((1/Ƞh)-((1/(2*Ƞh^2))*(1-EXP(-2*Ƞh)))))</f>
        <v>0.2195528102935457</v>
      </c>
      <c r="L23" s="36" t="s">
        <v>180</v>
      </c>
      <c r="M23" s="35">
        <f>(4.6*f*h)/$H$19</f>
        <v>3.9831658776949554</v>
      </c>
    </row>
    <row r="24" spans="7:13" x14ac:dyDescent="0.25">
      <c r="G24" s="23" t="s">
        <v>178</v>
      </c>
      <c r="H24" s="48">
        <f>IF(Ƞb&gt;0,((1/Ƞb)-((1/(2*Ƞb^2))*(1-EXP(-2*Ƞb)))))</f>
        <v>0.26222969681757285</v>
      </c>
      <c r="L24" s="36" t="s">
        <v>180</v>
      </c>
      <c r="M24" s="35">
        <f>(4.6*f*B)/$H$19</f>
        <v>3.2227433010441007</v>
      </c>
    </row>
    <row r="25" spans="7:13" x14ac:dyDescent="0.25">
      <c r="G25" s="23" t="s">
        <v>179</v>
      </c>
      <c r="H25" s="48">
        <f>IF(ȠL&gt;0,((1/ȠL)-((1/(2*ȠL^2))*(1-EXP(-2*ȠL)))))</f>
        <v>0.10264908724951556</v>
      </c>
      <c r="L25" s="36" t="s">
        <v>180</v>
      </c>
      <c r="M25" s="35">
        <f>(15.4*f*L)/$H$19</f>
        <v>9.2132358562335508</v>
      </c>
    </row>
    <row r="26" spans="7:13" x14ac:dyDescent="0.25">
      <c r="H26" s="48"/>
    </row>
    <row r="27" spans="7:13" x14ac:dyDescent="0.25">
      <c r="G27" s="23" t="s">
        <v>189</v>
      </c>
      <c r="H27" s="48">
        <f>(f*Lz/H19)</f>
        <v>3.1794927198985725</v>
      </c>
    </row>
    <row r="29" spans="7:13" x14ac:dyDescent="0.25">
      <c r="G29" s="23" t="s">
        <v>190</v>
      </c>
      <c r="H29" s="48">
        <f>((7.47*N.1)/((1+10.3*(N.1))^(5/3)))</f>
        <v>6.7387872745593672E-2</v>
      </c>
    </row>
    <row r="31" spans="7:13" x14ac:dyDescent="0.25">
      <c r="G31" s="23" t="s">
        <v>191</v>
      </c>
      <c r="H31" s="48">
        <f>SQRT((1/β)*Rn*Rh*RB*(0.53+(0.47*RL)))</f>
        <v>0.21182259187182279</v>
      </c>
    </row>
    <row r="33" spans="7:8" ht="18.75" x14ac:dyDescent="0.3">
      <c r="G33" s="23" t="s">
        <v>192</v>
      </c>
      <c r="H33" s="48">
        <f>SQRT(2*LN(3600*f))+(0.577/SQRT(2*LN(3600*f)))</f>
        <v>4.1667144105304086</v>
      </c>
    </row>
    <row r="34" spans="7:8" ht="18.75" x14ac:dyDescent="0.3">
      <c r="G34" s="23" t="s">
        <v>193</v>
      </c>
      <c r="H34" s="48">
        <v>3.4</v>
      </c>
    </row>
    <row r="35" spans="7:8" ht="18.75" x14ac:dyDescent="0.3">
      <c r="G35" s="23" t="s">
        <v>194</v>
      </c>
      <c r="H35" s="48">
        <v>3.4</v>
      </c>
    </row>
    <row r="37" spans="7:8" ht="15.75" thickBot="1" x14ac:dyDescent="0.3"/>
    <row r="38" spans="7:8" ht="16.5" thickBot="1" x14ac:dyDescent="0.3">
      <c r="G38" s="23" t="s">
        <v>195</v>
      </c>
      <c r="H38" s="37">
        <f>0.925*((1+(1.7*Iz*SQRT(((gQ^2)*(Q^2))+((gR^2)*(R.^2)))))/(1+(1.7*gv*Iz)))</f>
        <v>0.85942026474343747</v>
      </c>
    </row>
  </sheetData>
  <sheetProtection password="CB35" sheet="1" selectLockedCells="1"/>
  <mergeCells count="3">
    <mergeCell ref="E9:O9"/>
    <mergeCell ref="B3:F3"/>
    <mergeCell ref="G15:I15"/>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L39"/>
  <sheetViews>
    <sheetView workbookViewId="0">
      <selection sqref="A1:XFD1048576"/>
    </sheetView>
  </sheetViews>
  <sheetFormatPr defaultRowHeight="15" x14ac:dyDescent="0.25"/>
  <cols>
    <col min="4" max="4" width="19.42578125" customWidth="1"/>
  </cols>
  <sheetData>
    <row r="2" spans="4:12" x14ac:dyDescent="0.25">
      <c r="D2" s="140" t="s">
        <v>288</v>
      </c>
      <c r="E2" s="140"/>
      <c r="F2" s="140"/>
      <c r="G2" s="140"/>
      <c r="H2" s="140"/>
    </row>
    <row r="3" spans="4:12" x14ac:dyDescent="0.25">
      <c r="D3" s="143" t="s">
        <v>216</v>
      </c>
      <c r="E3" s="140" t="s">
        <v>112</v>
      </c>
      <c r="F3" s="140"/>
      <c r="G3" s="46" t="s">
        <v>87</v>
      </c>
      <c r="H3" s="46" t="s">
        <v>113</v>
      </c>
    </row>
    <row r="4" spans="4:12" x14ac:dyDescent="0.25">
      <c r="D4" s="143"/>
      <c r="E4" s="46" t="s">
        <v>201</v>
      </c>
      <c r="F4" s="46" t="s">
        <v>202</v>
      </c>
      <c r="G4" s="46" t="s">
        <v>203</v>
      </c>
      <c r="H4" s="46" t="s">
        <v>203</v>
      </c>
    </row>
    <row r="5" spans="4:12" x14ac:dyDescent="0.25">
      <c r="D5" s="49">
        <v>0</v>
      </c>
      <c r="E5" s="47">
        <v>0.7</v>
      </c>
      <c r="F5" s="47">
        <v>0.56999999999999995</v>
      </c>
      <c r="G5" s="47">
        <v>0.85</v>
      </c>
      <c r="H5" s="47">
        <v>1.03</v>
      </c>
    </row>
    <row r="6" spans="4:12" x14ac:dyDescent="0.25">
      <c r="D6" s="47">
        <v>4.5999999999999996</v>
      </c>
      <c r="E6" s="47">
        <v>0.7</v>
      </c>
      <c r="F6" s="47">
        <v>0.56999999999999995</v>
      </c>
      <c r="G6" s="47">
        <v>0.85</v>
      </c>
      <c r="H6" s="47">
        <v>1.03</v>
      </c>
    </row>
    <row r="7" spans="4:12" x14ac:dyDescent="0.25">
      <c r="D7" s="47">
        <v>6.1</v>
      </c>
      <c r="E7" s="47">
        <v>0.7</v>
      </c>
      <c r="F7" s="47">
        <v>0.62</v>
      </c>
      <c r="G7" s="47">
        <v>0.9</v>
      </c>
      <c r="H7" s="47">
        <v>1.08</v>
      </c>
      <c r="L7" s="44">
        <f>h</f>
        <v>33.536585365853661</v>
      </c>
    </row>
    <row r="8" spans="4:12" x14ac:dyDescent="0.25">
      <c r="D8" s="47">
        <v>7.6</v>
      </c>
      <c r="E8" s="47">
        <v>0.7</v>
      </c>
      <c r="F8" s="47">
        <v>0.66</v>
      </c>
      <c r="G8" s="47">
        <v>0.94</v>
      </c>
      <c r="H8" s="47">
        <v>1.1200000000000001</v>
      </c>
      <c r="L8" s="45">
        <f>VLOOKUP(L7,D6:H27,'MWFRS (Any Ht.)'!P31,TRUE)</f>
        <v>0.99</v>
      </c>
    </row>
    <row r="9" spans="4:12" x14ac:dyDescent="0.25">
      <c r="D9" s="47">
        <v>9.1</v>
      </c>
      <c r="E9" s="47">
        <v>0.7</v>
      </c>
      <c r="F9" s="47">
        <v>0.7</v>
      </c>
      <c r="G9" s="47">
        <v>0.98</v>
      </c>
      <c r="H9" s="47">
        <v>1.1599999999999999</v>
      </c>
    </row>
    <row r="10" spans="4:12" x14ac:dyDescent="0.25">
      <c r="D10" s="47">
        <v>12.2</v>
      </c>
      <c r="E10" s="47">
        <v>0.76</v>
      </c>
      <c r="F10" s="47">
        <v>0.76</v>
      </c>
      <c r="G10" s="47">
        <v>1.04</v>
      </c>
      <c r="H10" s="47">
        <v>1.22</v>
      </c>
    </row>
    <row r="11" spans="4:12" x14ac:dyDescent="0.25">
      <c r="D11" s="47">
        <v>15.2</v>
      </c>
      <c r="E11" s="47">
        <v>0.81</v>
      </c>
      <c r="F11" s="47">
        <v>0.81</v>
      </c>
      <c r="G11" s="47">
        <v>1.0900000000000001</v>
      </c>
      <c r="H11" s="47">
        <v>1.27</v>
      </c>
    </row>
    <row r="12" spans="4:12" x14ac:dyDescent="0.25">
      <c r="D12" s="47">
        <v>18</v>
      </c>
      <c r="E12" s="47">
        <v>0.85</v>
      </c>
      <c r="F12" s="47">
        <v>0.85</v>
      </c>
      <c r="G12" s="47">
        <v>1.1299999999999999</v>
      </c>
      <c r="H12" s="47">
        <v>1.31</v>
      </c>
    </row>
    <row r="13" spans="4:12" x14ac:dyDescent="0.25">
      <c r="D13" s="47">
        <v>21.3</v>
      </c>
      <c r="E13" s="47">
        <v>0.89</v>
      </c>
      <c r="F13" s="47">
        <v>0.89</v>
      </c>
      <c r="G13" s="47">
        <v>1.17</v>
      </c>
      <c r="H13" s="47">
        <v>1.34</v>
      </c>
    </row>
    <row r="14" spans="4:12" x14ac:dyDescent="0.25">
      <c r="D14" s="47">
        <v>24.4</v>
      </c>
      <c r="E14" s="47">
        <v>0.93</v>
      </c>
      <c r="F14" s="47">
        <v>0.93</v>
      </c>
      <c r="G14" s="47">
        <v>1.21</v>
      </c>
      <c r="H14" s="47">
        <v>1.38</v>
      </c>
    </row>
    <row r="15" spans="4:12" x14ac:dyDescent="0.25">
      <c r="D15" s="47">
        <v>27.41</v>
      </c>
      <c r="E15" s="47">
        <v>0.96</v>
      </c>
      <c r="F15" s="47">
        <v>0.96</v>
      </c>
      <c r="G15" s="47">
        <v>1.24</v>
      </c>
      <c r="H15" s="47">
        <v>1.4</v>
      </c>
    </row>
    <row r="16" spans="4:12" x14ac:dyDescent="0.25">
      <c r="D16" s="47">
        <v>30.5</v>
      </c>
      <c r="E16" s="47">
        <v>0.99</v>
      </c>
      <c r="F16" s="47">
        <v>0.99</v>
      </c>
      <c r="G16" s="47">
        <v>1.26</v>
      </c>
      <c r="H16" s="47">
        <v>1.43</v>
      </c>
    </row>
    <row r="17" spans="4:8" x14ac:dyDescent="0.25">
      <c r="D17" s="47">
        <v>36.6</v>
      </c>
      <c r="E17" s="47">
        <v>1.04</v>
      </c>
      <c r="F17" s="47">
        <v>1.04</v>
      </c>
      <c r="G17" s="47">
        <v>1.31</v>
      </c>
      <c r="H17" s="47">
        <v>1.48</v>
      </c>
    </row>
    <row r="18" spans="4:8" x14ac:dyDescent="0.25">
      <c r="D18" s="47">
        <v>42.7</v>
      </c>
      <c r="E18" s="47">
        <v>1.0900000000000001</v>
      </c>
      <c r="F18" s="47">
        <v>1.0900000000000001</v>
      </c>
      <c r="G18" s="47">
        <v>1.36</v>
      </c>
      <c r="H18" s="47">
        <v>1.52</v>
      </c>
    </row>
    <row r="19" spans="4:8" x14ac:dyDescent="0.25">
      <c r="D19" s="47">
        <v>48.8</v>
      </c>
      <c r="E19" s="47">
        <v>1.1299999999999999</v>
      </c>
      <c r="F19" s="47">
        <v>1.1299999999999999</v>
      </c>
      <c r="G19" s="47">
        <v>1.39</v>
      </c>
      <c r="H19" s="47">
        <v>1.55</v>
      </c>
    </row>
    <row r="20" spans="4:8" x14ac:dyDescent="0.25">
      <c r="D20" s="47">
        <v>54.9</v>
      </c>
      <c r="E20" s="47">
        <v>1.17</v>
      </c>
      <c r="F20" s="47">
        <v>1.17</v>
      </c>
      <c r="G20" s="47">
        <v>1.43</v>
      </c>
      <c r="H20" s="47">
        <v>1.58</v>
      </c>
    </row>
    <row r="21" spans="4:8" x14ac:dyDescent="0.25">
      <c r="D21" s="47">
        <v>61</v>
      </c>
      <c r="E21" s="47">
        <v>1.2</v>
      </c>
      <c r="F21" s="47">
        <v>1.2</v>
      </c>
      <c r="G21" s="47">
        <v>1.46</v>
      </c>
      <c r="H21" s="47">
        <v>1.61</v>
      </c>
    </row>
    <row r="22" spans="4:8" x14ac:dyDescent="0.25">
      <c r="D22" s="47">
        <v>76.2</v>
      </c>
      <c r="E22" s="47">
        <v>1.28</v>
      </c>
      <c r="F22" s="47">
        <v>1.28</v>
      </c>
      <c r="G22" s="47">
        <v>1.53</v>
      </c>
      <c r="H22" s="47">
        <v>1.68</v>
      </c>
    </row>
    <row r="23" spans="4:8" x14ac:dyDescent="0.25">
      <c r="D23" s="47">
        <v>91.4</v>
      </c>
      <c r="E23" s="47">
        <v>1.35</v>
      </c>
      <c r="F23" s="47">
        <v>1.35</v>
      </c>
      <c r="G23" s="47">
        <v>1.59</v>
      </c>
      <c r="H23" s="47">
        <v>1.73</v>
      </c>
    </row>
    <row r="24" spans="4:8" x14ac:dyDescent="0.25">
      <c r="D24" s="47">
        <v>106.7</v>
      </c>
      <c r="E24" s="47">
        <v>1.41</v>
      </c>
      <c r="F24" s="47">
        <v>1.41</v>
      </c>
      <c r="G24" s="47">
        <v>1.64</v>
      </c>
      <c r="H24" s="47">
        <v>1.78</v>
      </c>
    </row>
    <row r="25" spans="4:8" x14ac:dyDescent="0.25">
      <c r="D25" s="47">
        <v>121.9</v>
      </c>
      <c r="E25" s="47">
        <v>1.47</v>
      </c>
      <c r="F25" s="47">
        <v>1.47</v>
      </c>
      <c r="G25" s="47">
        <v>1.69</v>
      </c>
      <c r="H25" s="47">
        <v>1.82</v>
      </c>
    </row>
    <row r="26" spans="4:8" x14ac:dyDescent="0.25">
      <c r="D26" s="47">
        <v>137.19999999999999</v>
      </c>
      <c r="E26" s="47">
        <v>1.52</v>
      </c>
      <c r="F26" s="47">
        <v>1.52</v>
      </c>
      <c r="G26" s="47">
        <v>1.73</v>
      </c>
      <c r="H26" s="47">
        <v>1.86</v>
      </c>
    </row>
    <row r="27" spans="4:8" x14ac:dyDescent="0.25">
      <c r="D27" s="47">
        <v>152.4</v>
      </c>
      <c r="E27" s="47">
        <v>1.56</v>
      </c>
      <c r="F27" s="47">
        <v>1.56</v>
      </c>
      <c r="G27" s="47">
        <v>1.77</v>
      </c>
      <c r="H27" s="47">
        <v>1.89</v>
      </c>
    </row>
    <row r="28" spans="4:8" x14ac:dyDescent="0.25">
      <c r="D28" t="s">
        <v>204</v>
      </c>
    </row>
    <row r="29" spans="4:8" x14ac:dyDescent="0.25">
      <c r="D29" t="s">
        <v>205</v>
      </c>
    </row>
    <row r="30" spans="4:8" x14ac:dyDescent="0.25">
      <c r="D30" t="s">
        <v>206</v>
      </c>
    </row>
    <row r="31" spans="4:8" x14ac:dyDescent="0.25">
      <c r="D31" t="s">
        <v>207</v>
      </c>
    </row>
    <row r="32" spans="4:8" x14ac:dyDescent="0.25">
      <c r="D32" t="s">
        <v>208</v>
      </c>
    </row>
    <row r="33" spans="4:4" x14ac:dyDescent="0.25">
      <c r="D33" t="s">
        <v>209</v>
      </c>
    </row>
    <row r="34" spans="4:4" x14ac:dyDescent="0.25">
      <c r="D34" t="s">
        <v>210</v>
      </c>
    </row>
    <row r="35" spans="4:4" x14ac:dyDescent="0.25">
      <c r="D35" t="s">
        <v>211</v>
      </c>
    </row>
    <row r="36" spans="4:4" x14ac:dyDescent="0.25">
      <c r="D36" t="s">
        <v>212</v>
      </c>
    </row>
    <row r="37" spans="4:4" x14ac:dyDescent="0.25">
      <c r="D37" t="s">
        <v>213</v>
      </c>
    </row>
    <row r="38" spans="4:4" x14ac:dyDescent="0.25">
      <c r="D38" t="s">
        <v>214</v>
      </c>
    </row>
    <row r="39" spans="4:4" x14ac:dyDescent="0.25">
      <c r="D39" t="s">
        <v>215</v>
      </c>
    </row>
  </sheetData>
  <sheetProtection password="CB35" sheet="1" selectLockedCells="1"/>
  <mergeCells count="3">
    <mergeCell ref="E3:F3"/>
    <mergeCell ref="D2:H2"/>
    <mergeCell ref="D3:D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38</vt:i4>
      </vt:variant>
    </vt:vector>
  </HeadingPairs>
  <TitlesOfParts>
    <vt:vector size="45" baseType="lpstr">
      <vt:lpstr>Video &amp; Instruction </vt:lpstr>
      <vt:lpstr>MWFRS (Any Ht.)</vt:lpstr>
      <vt:lpstr>e1 &amp; e2 ratio Cal.</vt:lpstr>
      <vt:lpstr>Software Input</vt:lpstr>
      <vt:lpstr>BNBC 20 Data</vt:lpstr>
      <vt:lpstr>Gust Factor Cal.</vt:lpstr>
      <vt:lpstr>Kh and Kz Cal.</vt:lpstr>
      <vt:lpstr>asd</vt:lpstr>
      <vt:lpstr>asds</vt:lpstr>
      <vt:lpstr>B</vt:lpstr>
      <vt:lpstr>Cp.L</vt:lpstr>
      <vt:lpstr>Cp.S</vt:lpstr>
      <vt:lpstr>Cp.w</vt:lpstr>
      <vt:lpstr>f</vt:lpstr>
      <vt:lpstr>G</vt:lpstr>
      <vt:lpstr>G.</vt:lpstr>
      <vt:lpstr>GCpi_N</vt:lpstr>
      <vt:lpstr>GCpi_P</vt:lpstr>
      <vt:lpstr>gQ</vt:lpstr>
      <vt:lpstr>gR</vt:lpstr>
      <vt:lpstr>gv</vt:lpstr>
      <vt:lpstr>h</vt:lpstr>
      <vt:lpstr>I</vt:lpstr>
      <vt:lpstr>Iz</vt:lpstr>
      <vt:lpstr>Kd</vt:lpstr>
      <vt:lpstr>Kd.</vt:lpstr>
      <vt:lpstr>Kzt</vt:lpstr>
      <vt:lpstr>Kzt.</vt:lpstr>
      <vt:lpstr>L</vt:lpstr>
      <vt:lpstr>Lz</vt:lpstr>
      <vt:lpstr>N.1</vt:lpstr>
      <vt:lpstr>Ƞb</vt:lpstr>
      <vt:lpstr>Ƞh</vt:lpstr>
      <vt:lpstr>ȠL</vt:lpstr>
      <vt:lpstr>Q</vt:lpstr>
      <vt:lpstr>qi</vt:lpstr>
      <vt:lpstr>R.</vt:lpstr>
      <vt:lpstr>RB</vt:lpstr>
      <vt:lpstr>Rh</vt:lpstr>
      <vt:lpstr>RL</vt:lpstr>
      <vt:lpstr>Rn</vt:lpstr>
      <vt:lpstr>V</vt:lpstr>
      <vt:lpstr>Zg</vt:lpstr>
      <vt:lpstr>α</vt:lpstr>
      <vt:lpstr>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2025-10-19T16:58:30Z</dcterms:modified>
</cp:coreProperties>
</file>