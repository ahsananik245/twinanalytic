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BUILDING DESIGN PARAMETERS\All Excel file\A. Wind and Earthquake load\"/>
    </mc:Choice>
  </mc:AlternateContent>
  <bookViews>
    <workbookView xWindow="0" yWindow="0" windowWidth="15405" windowHeight="15600"/>
  </bookViews>
  <sheets>
    <sheet name="Automatic" sheetId="1" r:id="rId1"/>
    <sheet name="Manual" sheetId="3" r:id="rId2"/>
    <sheet name="Video &amp; Instruction " sheetId="4" r:id="rId3"/>
    <sheet name="Sheet2" sheetId="2" state="hidden" r:id="rId4"/>
  </sheets>
  <externalReferences>
    <externalReference r:id="rId5"/>
  </externalReferences>
  <definedNames>
    <definedName name="BEARING_WALL_SYSTEMS_no_frame">#REF!</definedName>
    <definedName name="BUILDING_FRAME_SYSTEMS_with_bracing_or_shear_wall">#REF!</definedName>
    <definedName name="BWS">#REF!</definedName>
    <definedName name="DUAL_SHEAR_WALL_FRAME_SYSTEM">#REF!</definedName>
    <definedName name="DUAL_SYSTEMS_INTERMEDIATE_MOMENT_FRAMES">#REF!</definedName>
    <definedName name="DUAL_SYSTEMS_SPECIAL_MOMENT_FRAMES">#REF!</definedName>
    <definedName name="framesystem" localSheetId="2">[1]Sheet3!$B$39:$B$45</definedName>
    <definedName name="framesystem">#REF!</definedName>
    <definedName name="make">#REF!</definedName>
    <definedName name="MOMENT_RESISTING_FRAME_SYSTEMS_no_shear_wall">#REF!</definedName>
    <definedName name="STEEL_SYSTEMS_NOT_SPECIFICALLY_DETAILED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3" l="1"/>
  <c r="N10" i="3" s="1"/>
  <c r="N11" i="3" s="1"/>
  <c r="F15" i="3" s="1"/>
  <c r="N12" i="1"/>
  <c r="E13" i="1" s="1"/>
  <c r="N10" i="1" l="1"/>
  <c r="F18" i="1" l="1"/>
  <c r="F20" i="1" s="1"/>
  <c r="E10" i="1"/>
  <c r="F19" i="1" l="1"/>
</calcChain>
</file>

<file path=xl/sharedStrings.xml><?xml version="1.0" encoding="utf-8"?>
<sst xmlns="http://schemas.openxmlformats.org/spreadsheetml/2006/main" count="172" uniqueCount="152">
  <si>
    <t>Town</t>
  </si>
  <si>
    <t>Z</t>
  </si>
  <si>
    <t>Bagerhat</t>
  </si>
  <si>
    <t>Gaibandha</t>
  </si>
  <si>
    <t>Magura</t>
  </si>
  <si>
    <t>Patuakhali</t>
  </si>
  <si>
    <t>Bandarban</t>
  </si>
  <si>
    <t>Gazipur</t>
  </si>
  <si>
    <t>Manikganj</t>
  </si>
  <si>
    <t>Pirojpur</t>
  </si>
  <si>
    <t>Barguna</t>
  </si>
  <si>
    <t>Gopalganj</t>
  </si>
  <si>
    <t>Maulvibazar</t>
  </si>
  <si>
    <t>Rajbari</t>
  </si>
  <si>
    <t>Barisal</t>
  </si>
  <si>
    <t>Habiganj</t>
  </si>
  <si>
    <t>Meherpur</t>
  </si>
  <si>
    <t>Rajshahi</t>
  </si>
  <si>
    <t>Bhola</t>
  </si>
  <si>
    <t>Jaipurhat</t>
  </si>
  <si>
    <t>Mongla</t>
  </si>
  <si>
    <t>Rangamati</t>
  </si>
  <si>
    <t>Bogra</t>
  </si>
  <si>
    <t>Jamalpur</t>
  </si>
  <si>
    <t>Munshiganj</t>
  </si>
  <si>
    <t>Rangpur</t>
  </si>
  <si>
    <t>Brahmanbaria</t>
  </si>
  <si>
    <t>Jessore</t>
  </si>
  <si>
    <t>Mymensingh</t>
  </si>
  <si>
    <t>Satkhira</t>
  </si>
  <si>
    <t>Chandpur</t>
  </si>
  <si>
    <t>Jhalokati</t>
  </si>
  <si>
    <t>Narail</t>
  </si>
  <si>
    <t>Shariatpur</t>
  </si>
  <si>
    <t>Chapainababganj</t>
  </si>
  <si>
    <t>Jhenaidah</t>
  </si>
  <si>
    <t>Narayanganj</t>
  </si>
  <si>
    <t>Sherpur</t>
  </si>
  <si>
    <t>Chittagong</t>
  </si>
  <si>
    <t>Khagrachari</t>
  </si>
  <si>
    <t>Narsingdi</t>
  </si>
  <si>
    <t>Sirajganj</t>
  </si>
  <si>
    <t>Chuadanga</t>
  </si>
  <si>
    <t>Khulna</t>
  </si>
  <si>
    <t>Natore</t>
  </si>
  <si>
    <t>Srimangal</t>
  </si>
  <si>
    <t>Comilla</t>
  </si>
  <si>
    <t>Kishoreganj</t>
  </si>
  <si>
    <t>Naogaon</t>
  </si>
  <si>
    <t>Sunamganj</t>
  </si>
  <si>
    <t>Cox's Bazar</t>
  </si>
  <si>
    <t>Kurigram</t>
  </si>
  <si>
    <t>Netrakona</t>
  </si>
  <si>
    <t>Sylhet</t>
  </si>
  <si>
    <t>Dhaka</t>
  </si>
  <si>
    <t>Kushtia</t>
  </si>
  <si>
    <t>Nilphamari</t>
  </si>
  <si>
    <t>Tangail</t>
  </si>
  <si>
    <t>Dinajpur</t>
  </si>
  <si>
    <t>Lakshmipur</t>
  </si>
  <si>
    <t>Noakhali</t>
  </si>
  <si>
    <t>Thakurgaon</t>
  </si>
  <si>
    <t>Faridpur</t>
  </si>
  <si>
    <t>Lalmanirhat</t>
  </si>
  <si>
    <t>Pabna</t>
  </si>
  <si>
    <t>Feni</t>
  </si>
  <si>
    <t>Madaripur</t>
  </si>
  <si>
    <t>Panchagarh</t>
  </si>
  <si>
    <t>Soil type</t>
  </si>
  <si>
    <t>S</t>
  </si>
  <si>
    <t>SA</t>
  </si>
  <si>
    <t>SB</t>
  </si>
  <si>
    <t>SC</t>
  </si>
  <si>
    <t>SD</t>
  </si>
  <si>
    <t>SE</t>
  </si>
  <si>
    <t>Table 6.2.15: Seismic Zone Coefficient Z for Some Important Towns of Bangladesh</t>
  </si>
  <si>
    <t>Table 6.2.16: Site Dependent Soil Factor and Other Parameters Defining Elastic Response Spectrum</t>
  </si>
  <si>
    <r>
      <t>T</t>
    </r>
    <r>
      <rPr>
        <b/>
        <sz val="6"/>
        <color theme="1"/>
        <rFont val="Times New Roman"/>
        <family val="1"/>
      </rPr>
      <t>B</t>
    </r>
    <r>
      <rPr>
        <b/>
        <sz val="9"/>
        <color theme="1"/>
        <rFont val="Times New Roman"/>
        <family val="1"/>
      </rPr>
      <t>(s)</t>
    </r>
  </si>
  <si>
    <r>
      <t>T</t>
    </r>
    <r>
      <rPr>
        <b/>
        <sz val="6"/>
        <color theme="1"/>
        <rFont val="Times New Roman"/>
        <family val="1"/>
      </rPr>
      <t xml:space="preserve">C </t>
    </r>
    <r>
      <rPr>
        <b/>
        <sz val="9"/>
        <color theme="1"/>
        <rFont val="Times New Roman"/>
        <family val="1"/>
      </rPr>
      <t>(s)</t>
    </r>
  </si>
  <si>
    <r>
      <t>T</t>
    </r>
    <r>
      <rPr>
        <b/>
        <sz val="6"/>
        <color theme="1"/>
        <rFont val="Times New Roman"/>
        <family val="1"/>
      </rPr>
      <t xml:space="preserve">D </t>
    </r>
    <r>
      <rPr>
        <b/>
        <sz val="9"/>
        <color theme="1"/>
        <rFont val="Times New Roman"/>
        <family val="1"/>
      </rPr>
      <t>(s)</t>
    </r>
  </si>
  <si>
    <t>Occupancy Category</t>
  </si>
  <si>
    <t>Importance factor I</t>
  </si>
  <si>
    <t>I, II</t>
  </si>
  <si>
    <t>III</t>
  </si>
  <si>
    <t>IV</t>
  </si>
  <si>
    <t>Table 6.2.17: Importance Factors for Buildings and Structures for Earthquake design</t>
  </si>
  <si>
    <t>Structure type</t>
  </si>
  <si>
    <t>Ct</t>
  </si>
  <si>
    <t>m</t>
  </si>
  <si>
    <t>Concrete moment-resisting frames</t>
  </si>
  <si>
    <t>Steel moment-resisting frames</t>
  </si>
  <si>
    <t>Eccentrically braced steel frame</t>
  </si>
  <si>
    <t>All other structural systems</t>
  </si>
  <si>
    <t>CMRF</t>
  </si>
  <si>
    <t>SMRF</t>
  </si>
  <si>
    <t>EBSF</t>
  </si>
  <si>
    <t>AOSS</t>
  </si>
  <si>
    <t>Table 6.2.20: Values for Coefficients to Estimate Approximate Period</t>
  </si>
  <si>
    <t>Ss</t>
  </si>
  <si>
    <r>
      <t>S</t>
    </r>
    <r>
      <rPr>
        <sz val="8"/>
        <color theme="1"/>
        <rFont val="Times New Roman"/>
        <family val="1"/>
      </rPr>
      <t>1</t>
    </r>
  </si>
  <si>
    <t>Table 6.C.1: Spectral Response Acceleration Parameter SS and S1 for Different Seismic Zone</t>
  </si>
  <si>
    <t>Zone--&gt;</t>
  </si>
  <si>
    <t>ST/Z-&gt;</t>
  </si>
  <si>
    <t>Table 6.C.2: Site Coefficient  (Fa) for Different Seismic Zone and Soil Type</t>
  </si>
  <si>
    <t>ST/Zone-&gt;</t>
  </si>
  <si>
    <t>Table 6.C.3: Site Coefficient   for Different Seismic Zone and Soil Type</t>
  </si>
  <si>
    <t>This is the Poperty of School of civil Engineering</t>
  </si>
  <si>
    <t>This Channel are Manageing By SM Hedaetullah And N.J. Disha (B.Sc. In Civil Engineering)</t>
  </si>
  <si>
    <t>Support us And stay connected</t>
  </si>
  <si>
    <t>This file is only for edicational Perpose. Pls don't misuse it.</t>
  </si>
  <si>
    <t xml:space="preserve"> </t>
  </si>
  <si>
    <t>Zone/Area=</t>
  </si>
  <si>
    <t>Z=</t>
  </si>
  <si>
    <t>Site Class (S)</t>
  </si>
  <si>
    <t>S=</t>
  </si>
  <si>
    <t>Types=</t>
  </si>
  <si>
    <t>Zone Co-efficient (Z)</t>
  </si>
  <si>
    <t>Ev= 0.5 (ah) D ---------1</t>
  </si>
  <si>
    <t>ah= (2/3)ZS ------------2</t>
  </si>
  <si>
    <t>Ev=</t>
  </si>
  <si>
    <t>For Combination-5</t>
  </si>
  <si>
    <t>For Combination-7</t>
  </si>
  <si>
    <t>Modified Load Combination for Earthquake Effect</t>
  </si>
  <si>
    <t>Change Here</t>
  </si>
  <si>
    <t>Ss=</t>
  </si>
  <si>
    <t>Fa=</t>
  </si>
  <si>
    <t>Fa*Ss=</t>
  </si>
  <si>
    <t>2/3(Fa*Ss)</t>
  </si>
  <si>
    <t>0.2*2/3(Fa*Ss)</t>
  </si>
  <si>
    <t>Manageing By Engr. Hedaetullah And N.J. Disha (B.Sc. In Civil Engineering)</t>
  </si>
  <si>
    <t>(ASCE 7-16)</t>
  </si>
  <si>
    <t>This is the Poperty of qLearnify</t>
  </si>
  <si>
    <t>This are Manageing By Engr. Hedaetullah And N.J. Disha (B.Sc. In Civil Engineering)</t>
  </si>
  <si>
    <t>This is the Poperty of qlearnify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</si>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</sst>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\ &quot;D&quot;"/>
    <numFmt numFmtId="165" formatCode="0.0000&quot;D+1.0Eh&quot;"/>
    <numFmt numFmtId="166" formatCode="0.0000\ &quot;D+1.0Eh+L&quot;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8.5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6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rgb="FF7030A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2" fillId="7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4" xfId="0" applyBorder="1" applyProtection="1">
      <protection locked="0"/>
    </xf>
    <xf numFmtId="0" fontId="0" fillId="0" borderId="0" xfId="0" applyProtection="1">
      <protection hidden="1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1" fillId="6" borderId="23" xfId="0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9" fillId="0" borderId="0" xfId="0" applyFont="1" applyProtection="1">
      <protection hidden="1"/>
    </xf>
    <xf numFmtId="0" fontId="13" fillId="0" borderId="0" xfId="0" applyFont="1" applyProtection="1">
      <protection hidden="1"/>
    </xf>
    <xf numFmtId="0" fontId="14" fillId="6" borderId="0" xfId="0" applyFont="1" applyFill="1" applyAlignment="1" applyProtection="1">
      <alignment horizontal="center"/>
      <protection hidden="1"/>
    </xf>
    <xf numFmtId="0" fontId="15" fillId="2" borderId="0" xfId="0" applyFont="1" applyFill="1" applyAlignment="1" applyProtection="1">
      <alignment horizontal="center" vertical="center" wrapText="1"/>
      <protection hidden="1"/>
    </xf>
    <xf numFmtId="0" fontId="16" fillId="10" borderId="0" xfId="0" applyFont="1" applyFill="1" applyAlignment="1" applyProtection="1">
      <alignment horizontal="center"/>
      <protection hidden="1"/>
    </xf>
    <xf numFmtId="0" fontId="0" fillId="10" borderId="0" xfId="0" applyFill="1" applyAlignment="1" applyProtection="1">
      <alignment horizontal="center"/>
      <protection hidden="1"/>
    </xf>
    <xf numFmtId="166" fontId="18" fillId="2" borderId="2" xfId="0" applyNumberFormat="1" applyFont="1" applyFill="1" applyBorder="1" applyAlignment="1" applyProtection="1">
      <alignment horizontal="center"/>
      <protection hidden="1"/>
    </xf>
    <xf numFmtId="166" fontId="18" fillId="2" borderId="23" xfId="0" applyNumberFormat="1" applyFont="1" applyFill="1" applyBorder="1" applyAlignment="1" applyProtection="1">
      <alignment horizontal="center"/>
      <protection hidden="1"/>
    </xf>
    <xf numFmtId="0" fontId="16" fillId="13" borderId="27" xfId="0" applyFont="1" applyFill="1" applyBorder="1" applyAlignment="1" applyProtection="1">
      <alignment horizontal="center"/>
      <protection hidden="1"/>
    </xf>
    <xf numFmtId="0" fontId="16" fillId="13" borderId="28" xfId="0" applyFont="1" applyFill="1" applyBorder="1" applyAlignment="1" applyProtection="1">
      <alignment horizontal="center"/>
      <protection hidden="1"/>
    </xf>
    <xf numFmtId="0" fontId="16" fillId="13" borderId="29" xfId="0" applyFont="1" applyFill="1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165" fontId="18" fillId="2" borderId="25" xfId="0" applyNumberFormat="1" applyFont="1" applyFill="1" applyBorder="1" applyAlignment="1" applyProtection="1">
      <alignment horizontal="center"/>
      <protection hidden="1"/>
    </xf>
    <xf numFmtId="165" fontId="18" fillId="2" borderId="26" xfId="0" applyNumberFormat="1" applyFont="1" applyFill="1" applyBorder="1" applyAlignment="1" applyProtection="1">
      <alignment horizontal="center"/>
      <protection hidden="1"/>
    </xf>
    <xf numFmtId="0" fontId="17" fillId="12" borderId="22" xfId="0" applyFont="1" applyFill="1" applyBorder="1" applyAlignment="1" applyProtection="1">
      <alignment horizontal="center"/>
      <protection hidden="1"/>
    </xf>
    <xf numFmtId="0" fontId="17" fillId="12" borderId="2" xfId="0" applyFont="1" applyFill="1" applyBorder="1" applyAlignment="1" applyProtection="1">
      <alignment horizontal="center"/>
      <protection hidden="1"/>
    </xf>
    <xf numFmtId="0" fontId="17" fillId="12" borderId="24" xfId="0" applyFont="1" applyFill="1" applyBorder="1" applyAlignment="1" applyProtection="1">
      <alignment horizontal="center"/>
      <protection hidden="1"/>
    </xf>
    <xf numFmtId="0" fontId="17" fillId="12" borderId="25" xfId="0" applyFont="1" applyFill="1" applyBorder="1" applyAlignment="1" applyProtection="1">
      <alignment horizontal="center"/>
      <protection hidden="1"/>
    </xf>
    <xf numFmtId="0" fontId="17" fillId="12" borderId="20" xfId="0" applyFont="1" applyFill="1" applyBorder="1" applyAlignment="1" applyProtection="1">
      <alignment horizontal="center"/>
      <protection hidden="1"/>
    </xf>
    <xf numFmtId="0" fontId="17" fillId="12" borderId="18" xfId="0" applyFont="1" applyFill="1" applyBorder="1" applyAlignment="1" applyProtection="1">
      <alignment horizontal="center"/>
      <protection hidden="1"/>
    </xf>
    <xf numFmtId="0" fontId="17" fillId="12" borderId="19" xfId="0" applyFont="1" applyFill="1" applyBorder="1" applyAlignment="1" applyProtection="1">
      <alignment horizontal="center"/>
      <protection hidden="1"/>
    </xf>
    <xf numFmtId="164" fontId="17" fillId="12" borderId="17" xfId="0" applyNumberFormat="1" applyFont="1" applyFill="1" applyBorder="1" applyAlignment="1" applyProtection="1">
      <alignment horizontal="center" vertical="center"/>
      <protection hidden="1"/>
    </xf>
    <xf numFmtId="164" fontId="17" fillId="12" borderId="21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20" fillId="0" borderId="0" xfId="1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14" fillId="6" borderId="0" xfId="0" applyFont="1" applyFill="1" applyAlignment="1" applyProtection="1">
      <alignment horizontal="center"/>
      <protection locked="0"/>
    </xf>
    <xf numFmtId="0" fontId="15" fillId="2" borderId="0" xfId="0" applyFont="1" applyFill="1" applyAlignment="1" applyProtection="1">
      <alignment horizontal="center" vertical="center" wrapText="1"/>
      <protection locked="0"/>
    </xf>
    <xf numFmtId="0" fontId="16" fillId="10" borderId="0" xfId="0" applyFont="1" applyFill="1" applyAlignment="1" applyProtection="1">
      <alignment horizontal="center"/>
      <protection locked="0"/>
    </xf>
    <xf numFmtId="0" fontId="0" fillId="10" borderId="0" xfId="0" applyFill="1" applyAlignment="1" applyProtection="1">
      <alignment horizontal="center"/>
      <protection locked="0"/>
    </xf>
    <xf numFmtId="0" fontId="11" fillId="2" borderId="0" xfId="0" applyFont="1" applyFill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FF5EF-273E-47E4-8C08-614D53F31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A43F850C-534B-4C2D-8D00-C4F25B1DD18D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 Analysis"/>
      <sheetName val="Video &amp; Instruction 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0"/>
  <sheetViews>
    <sheetView tabSelected="1" zoomScale="90" zoomScaleNormal="90" workbookViewId="0">
      <selection activeCell="E10" sqref="E10"/>
    </sheetView>
  </sheetViews>
  <sheetFormatPr defaultRowHeight="15" x14ac:dyDescent="0.25"/>
  <cols>
    <col min="1" max="1" width="9.140625" style="31"/>
    <col min="2" max="2" width="8.5703125" style="31" customWidth="1"/>
    <col min="3" max="3" width="9.140625" style="31"/>
    <col min="4" max="4" width="11.42578125" style="31" bestFit="1" customWidth="1"/>
    <col min="5" max="5" width="19.5703125" style="31" bestFit="1" customWidth="1"/>
    <col min="6" max="6" width="24.42578125" style="31" customWidth="1"/>
    <col min="7" max="7" width="13.7109375" style="31" customWidth="1"/>
    <col min="8" max="8" width="19.28515625" style="31" customWidth="1"/>
    <col min="9" max="9" width="10.5703125" style="31" customWidth="1"/>
    <col min="10" max="10" width="9.140625" style="31"/>
    <col min="11" max="11" width="15.5703125" style="31" customWidth="1"/>
    <col min="12" max="12" width="11.85546875" style="31" customWidth="1"/>
    <col min="13" max="13" width="9.140625" style="31" customWidth="1"/>
    <col min="14" max="14" width="0.140625" style="31" customWidth="1"/>
    <col min="15" max="15" width="9.140625" style="31" customWidth="1"/>
    <col min="16" max="16" width="9.140625" style="31" hidden="1" customWidth="1"/>
    <col min="17" max="18" width="9.140625" style="31"/>
    <col min="19" max="19" width="14.85546875" style="31" hidden="1" customWidth="1"/>
    <col min="20" max="16384" width="9.140625" style="31"/>
  </cols>
  <sheetData>
    <row r="1" spans="2:14" ht="33.75" x14ac:dyDescent="0.5">
      <c r="B1" s="40" t="s">
        <v>131</v>
      </c>
      <c r="C1" s="40"/>
      <c r="D1" s="40"/>
      <c r="E1" s="40"/>
      <c r="F1" s="40"/>
      <c r="G1" s="40"/>
      <c r="H1" s="40"/>
      <c r="I1" s="40"/>
      <c r="J1" s="40"/>
      <c r="K1" s="40"/>
    </row>
    <row r="2" spans="2:14" ht="61.5" customHeight="1" x14ac:dyDescent="0.25">
      <c r="B2" s="41" t="s">
        <v>132</v>
      </c>
      <c r="C2" s="41"/>
      <c r="D2" s="41"/>
      <c r="E2" s="41"/>
      <c r="F2" s="41"/>
      <c r="G2" s="41"/>
      <c r="H2" s="41"/>
      <c r="I2" s="41"/>
      <c r="J2" s="41"/>
      <c r="K2" s="41"/>
    </row>
    <row r="3" spans="2:14" ht="23.25" x14ac:dyDescent="0.35">
      <c r="B3" s="42" t="s">
        <v>108</v>
      </c>
      <c r="C3" s="42"/>
      <c r="D3" s="42"/>
      <c r="E3" s="42"/>
      <c r="F3" s="42"/>
      <c r="G3" s="42"/>
      <c r="H3" s="42"/>
      <c r="I3" s="42"/>
      <c r="J3" s="42"/>
      <c r="K3" s="42"/>
    </row>
    <row r="4" spans="2:14" x14ac:dyDescent="0.25">
      <c r="B4" s="43" t="s">
        <v>109</v>
      </c>
      <c r="C4" s="43"/>
      <c r="D4" s="43"/>
      <c r="E4" s="43"/>
      <c r="F4" s="43"/>
      <c r="G4" s="43"/>
      <c r="H4" s="43"/>
      <c r="I4" s="43"/>
      <c r="J4" s="43"/>
      <c r="K4" s="43"/>
    </row>
    <row r="6" spans="2:14" x14ac:dyDescent="0.25">
      <c r="M6" s="31" t="s">
        <v>110</v>
      </c>
    </row>
    <row r="7" spans="2:14" ht="15.75" thickBot="1" x14ac:dyDescent="0.3">
      <c r="D7" s="49" t="s">
        <v>123</v>
      </c>
      <c r="E7" s="49"/>
    </row>
    <row r="8" spans="2:14" x14ac:dyDescent="0.25">
      <c r="D8" s="30"/>
      <c r="E8" s="32" t="s">
        <v>116</v>
      </c>
    </row>
    <row r="9" spans="2:14" x14ac:dyDescent="0.25">
      <c r="D9" s="33" t="s">
        <v>111</v>
      </c>
      <c r="E9" s="34" t="s">
        <v>15</v>
      </c>
      <c r="G9" s="31" t="s">
        <v>117</v>
      </c>
    </row>
    <row r="10" spans="2:14" x14ac:dyDescent="0.25">
      <c r="D10" s="33" t="s">
        <v>112</v>
      </c>
      <c r="E10" s="35">
        <f>N10</f>
        <v>0.36</v>
      </c>
      <c r="G10" s="31" t="s">
        <v>118</v>
      </c>
      <c r="N10" s="31">
        <f>VLOOKUP(E9,Sheet2!C14:D79,2)</f>
        <v>0.36</v>
      </c>
    </row>
    <row r="11" spans="2:14" x14ac:dyDescent="0.25">
      <c r="D11" s="33"/>
      <c r="E11" s="35" t="s">
        <v>113</v>
      </c>
    </row>
    <row r="12" spans="2:14" x14ac:dyDescent="0.25">
      <c r="D12" s="33" t="s">
        <v>115</v>
      </c>
      <c r="E12" s="34" t="s">
        <v>72</v>
      </c>
      <c r="N12" s="31">
        <f>VLOOKUP(E12,Sheet2!F14:G18,2)</f>
        <v>1.1499999999999999</v>
      </c>
    </row>
    <row r="13" spans="2:14" ht="15.75" thickBot="1" x14ac:dyDescent="0.3">
      <c r="D13" s="36" t="s">
        <v>114</v>
      </c>
      <c r="E13" s="37">
        <f>N12</f>
        <v>1.1499999999999999</v>
      </c>
    </row>
    <row r="16" spans="2:14" ht="15.75" thickBot="1" x14ac:dyDescent="0.3"/>
    <row r="17" spans="3:7" ht="23.25" x14ac:dyDescent="0.35">
      <c r="C17" s="46" t="s">
        <v>122</v>
      </c>
      <c r="D17" s="47"/>
      <c r="E17" s="47"/>
      <c r="F17" s="47"/>
      <c r="G17" s="48"/>
    </row>
    <row r="18" spans="3:7" ht="26.25" x14ac:dyDescent="0.4">
      <c r="C18" s="56" t="s">
        <v>119</v>
      </c>
      <c r="D18" s="57"/>
      <c r="E18" s="58"/>
      <c r="F18" s="59">
        <f>(1/3)*N10*N12</f>
        <v>0.13799999999999998</v>
      </c>
      <c r="G18" s="60"/>
    </row>
    <row r="19" spans="3:7" ht="26.25" x14ac:dyDescent="0.4">
      <c r="C19" s="52" t="s">
        <v>120</v>
      </c>
      <c r="D19" s="53"/>
      <c r="E19" s="53"/>
      <c r="F19" s="44">
        <f>(1.2+F18)</f>
        <v>1.3379999999999999</v>
      </c>
      <c r="G19" s="45"/>
    </row>
    <row r="20" spans="3:7" ht="27" thickBot="1" x14ac:dyDescent="0.45">
      <c r="C20" s="54" t="s">
        <v>121</v>
      </c>
      <c r="D20" s="55"/>
      <c r="E20" s="55"/>
      <c r="F20" s="50">
        <f>0.9-F18</f>
        <v>0.76200000000000001</v>
      </c>
      <c r="G20" s="51"/>
    </row>
  </sheetData>
  <sheetProtection algorithmName="SHA-512" hashValue="Yu8diR0851Qc3m/DsWZehTGTwaIumXH79Iee+CdvtGxjDpwOI0W90bHVOcOkjbP6RAsOm3MrsjiMKkMLUV4GOA==" saltValue="B0g7G+F3Omhs04qQ7lHUmQ==" spinCount="100000" sheet="1" objects="1" scenarios="1" formatCells="0" formatColumns="0" formatRows="0" insertColumns="0" insertRows="0" insertHyperlinks="0" selectLockedCells="1" sort="0" autoFilter="0" pivotTables="0"/>
  <mergeCells count="12">
    <mergeCell ref="F20:G20"/>
    <mergeCell ref="C19:E19"/>
    <mergeCell ref="C20:E20"/>
    <mergeCell ref="C18:E18"/>
    <mergeCell ref="F18:G18"/>
    <mergeCell ref="B1:K1"/>
    <mergeCell ref="B2:K2"/>
    <mergeCell ref="B3:K3"/>
    <mergeCell ref="B4:K4"/>
    <mergeCell ref="F19:G19"/>
    <mergeCell ref="C17:G17"/>
    <mergeCell ref="D7:E7"/>
  </mergeCells>
  <phoneticPr fontId="9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Sheet2!$C$14:$C$79</xm:f>
          </x14:formula1>
          <xm:sqref>E9</xm:sqref>
        </x14:dataValidation>
        <x14:dataValidation type="list" allowBlank="1" showInputMessage="1" showErrorMessage="1">
          <x14:formula1>
            <xm:f>Sheet2!$F$14:$F$18</xm:f>
          </x14:formula1>
          <xm:sqref>E12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5"/>
  <sheetViews>
    <sheetView zoomScale="90" zoomScaleNormal="90" workbookViewId="0">
      <selection activeCell="E9" sqref="E9"/>
    </sheetView>
  </sheetViews>
  <sheetFormatPr defaultRowHeight="15" x14ac:dyDescent="0.25"/>
  <cols>
    <col min="1" max="1" width="9.140625" style="31"/>
    <col min="2" max="2" width="8.5703125" style="31" customWidth="1"/>
    <col min="3" max="3" width="9.140625" style="31"/>
    <col min="4" max="4" width="11.42578125" style="31" bestFit="1" customWidth="1"/>
    <col min="5" max="5" width="19.5703125" style="31" bestFit="1" customWidth="1"/>
    <col min="6" max="6" width="24.42578125" style="31" customWidth="1"/>
    <col min="7" max="7" width="13.7109375" style="31" customWidth="1"/>
    <col min="8" max="8" width="19.28515625" style="31" customWidth="1"/>
    <col min="9" max="9" width="10.5703125" style="31" customWidth="1"/>
    <col min="10" max="10" width="9.140625" style="31"/>
    <col min="11" max="11" width="15.5703125" style="31" customWidth="1"/>
    <col min="12" max="12" width="11.85546875" style="31" customWidth="1"/>
    <col min="13" max="13" width="14" style="31" hidden="1" customWidth="1"/>
    <col min="14" max="14" width="0.140625" style="31" customWidth="1"/>
    <col min="15" max="15" width="9.140625" style="31" customWidth="1"/>
    <col min="16" max="16" width="9.140625" style="31" hidden="1" customWidth="1"/>
    <col min="17" max="18" width="9.140625" style="31"/>
    <col min="19" max="19" width="14.85546875" style="31" hidden="1" customWidth="1"/>
    <col min="20" max="16384" width="9.140625" style="31"/>
  </cols>
  <sheetData>
    <row r="1" spans="2:14" ht="33.75" x14ac:dyDescent="0.5">
      <c r="B1" s="40" t="s">
        <v>133</v>
      </c>
      <c r="C1" s="40"/>
      <c r="D1" s="40"/>
      <c r="E1" s="40"/>
      <c r="F1" s="40"/>
      <c r="G1" s="40"/>
      <c r="H1" s="40"/>
      <c r="I1" s="40"/>
      <c r="J1" s="40"/>
      <c r="K1" s="40"/>
    </row>
    <row r="2" spans="2:14" ht="61.5" customHeight="1" x14ac:dyDescent="0.25">
      <c r="B2" s="41" t="s">
        <v>129</v>
      </c>
      <c r="C2" s="41"/>
      <c r="D2" s="41"/>
      <c r="E2" s="41"/>
      <c r="F2" s="41"/>
      <c r="G2" s="41"/>
      <c r="H2" s="41"/>
      <c r="I2" s="41"/>
      <c r="J2" s="41"/>
      <c r="K2" s="41"/>
    </row>
    <row r="3" spans="2:14" ht="23.25" x14ac:dyDescent="0.35">
      <c r="B3" s="42" t="s">
        <v>108</v>
      </c>
      <c r="C3" s="42"/>
      <c r="D3" s="42"/>
      <c r="E3" s="42"/>
      <c r="F3" s="42"/>
      <c r="G3" s="42"/>
      <c r="H3" s="42"/>
      <c r="I3" s="42"/>
      <c r="J3" s="42"/>
      <c r="K3" s="42"/>
    </row>
    <row r="4" spans="2:14" x14ac:dyDescent="0.25">
      <c r="B4" s="43" t="s">
        <v>109</v>
      </c>
      <c r="C4" s="43"/>
      <c r="D4" s="43"/>
      <c r="E4" s="43"/>
      <c r="F4" s="43"/>
      <c r="G4" s="43"/>
      <c r="H4" s="43"/>
      <c r="I4" s="43"/>
      <c r="J4" s="43"/>
      <c r="K4" s="43"/>
    </row>
    <row r="6" spans="2:14" x14ac:dyDescent="0.25">
      <c r="M6" s="31" t="s">
        <v>110</v>
      </c>
    </row>
    <row r="7" spans="2:14" ht="15.75" thickBot="1" x14ac:dyDescent="0.3">
      <c r="D7" s="49" t="s">
        <v>123</v>
      </c>
      <c r="E7" s="49"/>
      <c r="F7" s="38" t="s">
        <v>130</v>
      </c>
    </row>
    <row r="8" spans="2:14" x14ac:dyDescent="0.25">
      <c r="D8" s="33" t="s">
        <v>125</v>
      </c>
      <c r="E8" s="35">
        <v>0.9</v>
      </c>
    </row>
    <row r="9" spans="2:14" ht="15.75" thickBot="1" x14ac:dyDescent="0.3">
      <c r="D9" s="36" t="s">
        <v>124</v>
      </c>
      <c r="E9" s="37">
        <v>0.5</v>
      </c>
      <c r="M9" s="31" t="s">
        <v>126</v>
      </c>
      <c r="N9" s="31">
        <f>E8*E9</f>
        <v>0.45</v>
      </c>
    </row>
    <row r="10" spans="2:14" x14ac:dyDescent="0.25">
      <c r="M10" s="31" t="s">
        <v>127</v>
      </c>
      <c r="N10" s="31">
        <f>N9*2/3</f>
        <v>0.3</v>
      </c>
    </row>
    <row r="11" spans="2:14" x14ac:dyDescent="0.25">
      <c r="M11" s="31" t="s">
        <v>128</v>
      </c>
      <c r="N11" s="31">
        <f>0.2*N10</f>
        <v>0.06</v>
      </c>
    </row>
    <row r="13" spans="2:14" ht="15.75" thickBot="1" x14ac:dyDescent="0.3"/>
    <row r="14" spans="2:14" ht="23.25" x14ac:dyDescent="0.35">
      <c r="C14" s="46" t="s">
        <v>122</v>
      </c>
      <c r="D14" s="47"/>
      <c r="E14" s="47"/>
      <c r="F14" s="47"/>
      <c r="G14" s="48"/>
    </row>
    <row r="15" spans="2:14" ht="26.25" x14ac:dyDescent="0.4">
      <c r="C15" s="56" t="s">
        <v>119</v>
      </c>
      <c r="D15" s="57"/>
      <c r="E15" s="58"/>
      <c r="F15" s="59">
        <f>N11</f>
        <v>0.06</v>
      </c>
      <c r="G15" s="60"/>
    </row>
  </sheetData>
  <sheetProtection formatCells="0" formatColumns="0" formatRows="0" insertColumns="0" insertRows="0" insertHyperlinks="0" selectLockedCells="1" sort="0" autoFilter="0" pivotTables="0"/>
  <mergeCells count="8">
    <mergeCell ref="C15:E15"/>
    <mergeCell ref="F15:G15"/>
    <mergeCell ref="B1:K1"/>
    <mergeCell ref="B2:K2"/>
    <mergeCell ref="B3:K3"/>
    <mergeCell ref="B4:K4"/>
    <mergeCell ref="D7:E7"/>
    <mergeCell ref="C14:G14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P23" sqref="P23"/>
    </sheetView>
  </sheetViews>
  <sheetFormatPr defaultRowHeight="15" x14ac:dyDescent="0.25"/>
  <cols>
    <col min="1" max="1" width="9.140625" style="31" customWidth="1"/>
    <col min="2" max="16384" width="9.140625" style="31"/>
  </cols>
  <sheetData>
    <row r="14" spans="2:10" ht="15" customHeight="1" x14ac:dyDescent="0.25">
      <c r="B14" s="64" t="s">
        <v>134</v>
      </c>
      <c r="C14" s="64"/>
      <c r="D14" s="64"/>
      <c r="E14" s="64"/>
      <c r="F14" s="64"/>
      <c r="G14" s="64"/>
      <c r="H14" s="64"/>
      <c r="I14" s="64"/>
      <c r="J14" s="64"/>
    </row>
    <row r="15" spans="2:10" ht="15" customHeight="1" x14ac:dyDescent="0.25">
      <c r="B15" s="64"/>
      <c r="C15" s="64"/>
      <c r="D15" s="64"/>
      <c r="E15" s="64"/>
      <c r="F15" s="64"/>
      <c r="G15" s="64"/>
      <c r="H15" s="64"/>
      <c r="I15" s="64"/>
      <c r="J15" s="64"/>
    </row>
    <row r="16" spans="2:10" x14ac:dyDescent="0.25">
      <c r="B16" s="64"/>
      <c r="C16" s="64"/>
      <c r="D16" s="64"/>
      <c r="E16" s="64"/>
      <c r="F16" s="64"/>
      <c r="G16" s="64"/>
      <c r="H16" s="64"/>
      <c r="I16" s="64"/>
      <c r="J16" s="64"/>
    </row>
    <row r="17" spans="2:10" x14ac:dyDescent="0.25">
      <c r="C17" s="63" t="s">
        <v>135</v>
      </c>
      <c r="D17" s="63"/>
      <c r="E17" s="62" t="s">
        <v>136</v>
      </c>
      <c r="F17" s="62"/>
      <c r="G17" s="62"/>
      <c r="H17" s="62"/>
      <c r="I17" s="62"/>
      <c r="J17" s="62"/>
    </row>
    <row r="18" spans="2:10" x14ac:dyDescent="0.25">
      <c r="C18" s="63" t="s">
        <v>137</v>
      </c>
      <c r="D18" s="63"/>
      <c r="E18" s="62" t="s">
        <v>138</v>
      </c>
      <c r="F18" s="62"/>
      <c r="G18" s="62"/>
      <c r="H18" s="62"/>
      <c r="I18" s="62"/>
      <c r="J18" s="62"/>
    </row>
    <row r="19" spans="2:10" x14ac:dyDescent="0.25">
      <c r="C19" s="63" t="s">
        <v>139</v>
      </c>
      <c r="D19" s="63"/>
      <c r="E19" s="62" t="s">
        <v>140</v>
      </c>
      <c r="F19" s="62"/>
      <c r="G19" s="62"/>
      <c r="H19" s="62"/>
      <c r="I19" s="62"/>
      <c r="J19" s="62"/>
    </row>
    <row r="20" spans="2:10" x14ac:dyDescent="0.25">
      <c r="C20" s="63" t="s">
        <v>141</v>
      </c>
      <c r="D20" s="63"/>
      <c r="E20" s="62" t="s">
        <v>142</v>
      </c>
      <c r="F20" s="62"/>
      <c r="G20" s="62"/>
      <c r="H20" s="62"/>
      <c r="I20" s="62"/>
      <c r="J20" s="62"/>
    </row>
    <row r="21" spans="2:10" x14ac:dyDescent="0.25">
      <c r="C21" s="63" t="s">
        <v>143</v>
      </c>
      <c r="D21" s="63"/>
      <c r="E21" s="62" t="s">
        <v>144</v>
      </c>
      <c r="F21" s="62"/>
      <c r="G21" s="62"/>
      <c r="H21" s="62"/>
      <c r="I21" s="62"/>
      <c r="J21" s="62"/>
    </row>
    <row r="22" spans="2:10" x14ac:dyDescent="0.25">
      <c r="C22" s="63" t="s">
        <v>145</v>
      </c>
      <c r="D22" s="63"/>
      <c r="E22" s="62" t="s">
        <v>146</v>
      </c>
      <c r="F22" s="62"/>
      <c r="G22" s="62"/>
      <c r="H22" s="62"/>
      <c r="I22" s="62"/>
      <c r="J22" s="62"/>
    </row>
    <row r="24" spans="2:10" ht="15" customHeight="1" x14ac:dyDescent="0.25">
      <c r="B24" s="61" t="s">
        <v>147</v>
      </c>
      <c r="C24" s="61"/>
      <c r="D24" s="61"/>
      <c r="E24" s="61"/>
      <c r="F24" s="61"/>
      <c r="G24" s="61"/>
      <c r="H24" s="61"/>
      <c r="I24" s="61"/>
      <c r="J24" s="61"/>
    </row>
    <row r="25" spans="2:10" ht="15" customHeight="1" x14ac:dyDescent="0.25">
      <c r="B25" s="61"/>
      <c r="C25" s="61"/>
      <c r="D25" s="61"/>
      <c r="E25" s="61"/>
      <c r="F25" s="61"/>
      <c r="G25" s="61"/>
      <c r="H25" s="61"/>
      <c r="I25" s="61"/>
      <c r="J25" s="61"/>
    </row>
    <row r="26" spans="2:10" ht="15" customHeight="1" x14ac:dyDescent="0.25">
      <c r="B26" s="61"/>
      <c r="C26" s="61"/>
      <c r="D26" s="61"/>
      <c r="E26" s="61"/>
      <c r="F26" s="61"/>
      <c r="G26" s="61"/>
      <c r="H26" s="61"/>
      <c r="I26" s="61"/>
      <c r="J26" s="61"/>
    </row>
    <row r="27" spans="2:10" x14ac:dyDescent="0.25">
      <c r="B27" s="61"/>
      <c r="C27" s="61"/>
      <c r="D27" s="61"/>
      <c r="E27" s="61"/>
      <c r="F27" s="61"/>
      <c r="G27" s="61"/>
      <c r="H27" s="61"/>
      <c r="I27" s="61"/>
      <c r="J27" s="61"/>
    </row>
    <row r="34" spans="1:13" ht="15.75" x14ac:dyDescent="0.25">
      <c r="A34" s="39" t="s">
        <v>148</v>
      </c>
      <c r="B34" s="62" t="s">
        <v>149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</row>
    <row r="35" spans="1:13" ht="15.75" x14ac:dyDescent="0.25">
      <c r="A35" s="39"/>
    </row>
    <row r="36" spans="1:13" ht="15.75" x14ac:dyDescent="0.25">
      <c r="A36" s="39" t="s">
        <v>150</v>
      </c>
      <c r="B36" s="62" t="s">
        <v>151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</row>
  </sheetData>
  <sheetProtection algorithmName="SHA-512" hashValue="rfeIbBV7NLFdyIXPZC4s9kbWqVDMnr+LcrbThaX/ybpiDWZQoiUo+UEpF5IU1mFIatIU265ZUTsFRcOpmV9p1g==" saltValue="YBsPkQa+NHD1rGZ9QybrdA==" spinCount="100000" sheet="1" objects="1" scenarios="1"/>
  <mergeCells count="16">
    <mergeCell ref="C19:D19"/>
    <mergeCell ref="E19:J19"/>
    <mergeCell ref="B14:J16"/>
    <mergeCell ref="C17:D17"/>
    <mergeCell ref="E17:J17"/>
    <mergeCell ref="C18:D18"/>
    <mergeCell ref="E18:J18"/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79"/>
  <sheetViews>
    <sheetView workbookViewId="0">
      <selection activeCell="O28" sqref="O28"/>
    </sheetView>
  </sheetViews>
  <sheetFormatPr defaultRowHeight="15" x14ac:dyDescent="0.25"/>
  <cols>
    <col min="3" max="3" width="14.42578125" customWidth="1"/>
    <col min="4" max="4" width="9.28515625" customWidth="1"/>
    <col min="5" max="5" width="11.85546875" customWidth="1"/>
    <col min="6" max="6" width="10.28515625" customWidth="1"/>
    <col min="7" max="7" width="13.42578125" customWidth="1"/>
    <col min="8" max="8" width="11.5703125" customWidth="1"/>
    <col min="9" max="9" width="11" customWidth="1"/>
    <col min="10" max="10" width="10.42578125" customWidth="1"/>
    <col min="15" max="15" width="27.42578125" bestFit="1" customWidth="1"/>
    <col min="16" max="16" width="6.42578125" customWidth="1"/>
    <col min="17" max="19" width="9.140625" customWidth="1"/>
  </cols>
  <sheetData>
    <row r="1" spans="2:18" s="29" customFormat="1" ht="33.75" x14ac:dyDescent="0.5">
      <c r="B1" s="65" t="s">
        <v>106</v>
      </c>
      <c r="C1" s="65"/>
      <c r="D1" s="65"/>
      <c r="E1" s="65"/>
      <c r="F1" s="65"/>
      <c r="G1" s="65"/>
      <c r="H1" s="65"/>
      <c r="I1" s="65"/>
      <c r="J1" s="65"/>
      <c r="K1" s="65"/>
    </row>
    <row r="2" spans="2:18" s="29" customFormat="1" ht="37.5" customHeight="1" x14ac:dyDescent="0.25">
      <c r="B2" s="66" t="s">
        <v>107</v>
      </c>
      <c r="C2" s="66"/>
      <c r="D2" s="66"/>
      <c r="E2" s="66"/>
      <c r="F2" s="66"/>
      <c r="G2" s="66"/>
      <c r="H2" s="66"/>
      <c r="I2" s="66"/>
      <c r="J2" s="66"/>
      <c r="K2" s="66"/>
    </row>
    <row r="3" spans="2:18" s="29" customFormat="1" ht="23.25" x14ac:dyDescent="0.35">
      <c r="B3" s="67" t="s">
        <v>108</v>
      </c>
      <c r="C3" s="67"/>
      <c r="D3" s="67"/>
      <c r="E3" s="67"/>
      <c r="F3" s="67"/>
      <c r="G3" s="67"/>
      <c r="H3" s="67"/>
      <c r="I3" s="67"/>
      <c r="J3" s="67"/>
      <c r="K3" s="67"/>
    </row>
    <row r="4" spans="2:18" s="29" customFormat="1" x14ac:dyDescent="0.25">
      <c r="B4" s="68" t="s">
        <v>109</v>
      </c>
      <c r="C4" s="68"/>
      <c r="D4" s="68"/>
      <c r="E4" s="68"/>
      <c r="F4" s="68"/>
      <c r="G4" s="68"/>
      <c r="H4" s="68"/>
      <c r="I4" s="68"/>
      <c r="J4" s="68"/>
      <c r="K4" s="68"/>
    </row>
    <row r="9" spans="2:18" ht="15.75" thickBot="1" x14ac:dyDescent="0.3"/>
    <row r="10" spans="2:18" x14ac:dyDescent="0.25">
      <c r="B10" s="74" t="s">
        <v>75</v>
      </c>
      <c r="C10" s="75"/>
      <c r="D10" s="75"/>
      <c r="E10" s="76"/>
      <c r="F10" s="74" t="s">
        <v>76</v>
      </c>
      <c r="G10" s="75"/>
      <c r="H10" s="75"/>
      <c r="I10" s="75"/>
      <c r="J10" s="76"/>
      <c r="K10" s="83" t="s">
        <v>85</v>
      </c>
      <c r="L10" s="84"/>
      <c r="M10" s="84"/>
      <c r="N10" s="85"/>
      <c r="O10" s="74" t="s">
        <v>97</v>
      </c>
      <c r="P10" s="75"/>
      <c r="Q10" s="75"/>
      <c r="R10" s="76"/>
    </row>
    <row r="11" spans="2:18" x14ac:dyDescent="0.25">
      <c r="B11" s="77"/>
      <c r="C11" s="78"/>
      <c r="D11" s="78"/>
      <c r="E11" s="79"/>
      <c r="F11" s="77"/>
      <c r="G11" s="78"/>
      <c r="H11" s="78"/>
      <c r="I11" s="78"/>
      <c r="J11" s="79"/>
      <c r="K11" s="86"/>
      <c r="L11" s="87"/>
      <c r="M11" s="87"/>
      <c r="N11" s="88"/>
      <c r="O11" s="77"/>
      <c r="P11" s="78"/>
      <c r="Q11" s="78"/>
      <c r="R11" s="79"/>
    </row>
    <row r="12" spans="2:18" ht="26.25" customHeight="1" thickBot="1" x14ac:dyDescent="0.3">
      <c r="B12" s="80"/>
      <c r="C12" s="81"/>
      <c r="D12" s="81"/>
      <c r="E12" s="82"/>
      <c r="F12" s="80"/>
      <c r="G12" s="81"/>
      <c r="H12" s="81"/>
      <c r="I12" s="81"/>
      <c r="J12" s="82"/>
      <c r="K12" s="89"/>
      <c r="L12" s="90"/>
      <c r="M12" s="90"/>
      <c r="N12" s="91"/>
      <c r="O12" s="80"/>
      <c r="P12" s="81"/>
      <c r="Q12" s="81"/>
      <c r="R12" s="82"/>
    </row>
    <row r="13" spans="2:18" s="5" customFormat="1" ht="24" x14ac:dyDescent="0.25">
      <c r="C13" s="7" t="s">
        <v>0</v>
      </c>
      <c r="D13" s="8" t="s">
        <v>1</v>
      </c>
      <c r="E13" s="9"/>
      <c r="F13" s="8" t="s">
        <v>68</v>
      </c>
      <c r="G13" s="8" t="s">
        <v>69</v>
      </c>
      <c r="H13" s="8" t="s">
        <v>77</v>
      </c>
      <c r="I13" s="8" t="s">
        <v>78</v>
      </c>
      <c r="J13" s="8" t="s">
        <v>79</v>
      </c>
      <c r="L13" s="10" t="s">
        <v>80</v>
      </c>
      <c r="M13" s="10" t="s">
        <v>81</v>
      </c>
      <c r="O13" s="12" t="s">
        <v>86</v>
      </c>
      <c r="P13" s="12"/>
      <c r="Q13" s="13" t="s">
        <v>87</v>
      </c>
      <c r="R13" s="13" t="s">
        <v>88</v>
      </c>
    </row>
    <row r="14" spans="2:18" x14ac:dyDescent="0.25">
      <c r="C14" s="3" t="s">
        <v>2</v>
      </c>
      <c r="D14" s="4">
        <v>0.12</v>
      </c>
      <c r="E14" s="2"/>
      <c r="F14" s="6" t="s">
        <v>70</v>
      </c>
      <c r="G14" s="4">
        <v>1</v>
      </c>
      <c r="H14" s="6">
        <v>0.15</v>
      </c>
      <c r="I14" s="4">
        <v>0.4</v>
      </c>
      <c r="J14" s="6">
        <v>2</v>
      </c>
      <c r="L14" s="11" t="s">
        <v>82</v>
      </c>
      <c r="M14" s="11">
        <v>1</v>
      </c>
      <c r="O14" s="14" t="s">
        <v>89</v>
      </c>
      <c r="P14" s="14" t="s">
        <v>93</v>
      </c>
      <c r="Q14" s="15">
        <v>4.6600000000000003E-2</v>
      </c>
      <c r="R14" s="15">
        <v>0.9</v>
      </c>
    </row>
    <row r="15" spans="2:18" x14ac:dyDescent="0.25">
      <c r="C15" s="3" t="s">
        <v>6</v>
      </c>
      <c r="D15" s="4">
        <v>0.28000000000000003</v>
      </c>
      <c r="E15" s="2"/>
      <c r="F15" s="6" t="s">
        <v>71</v>
      </c>
      <c r="G15" s="4">
        <v>1.2</v>
      </c>
      <c r="H15" s="6">
        <v>0.15</v>
      </c>
      <c r="I15" s="4">
        <v>0.5</v>
      </c>
      <c r="J15" s="6">
        <v>2</v>
      </c>
      <c r="L15" s="11" t="s">
        <v>83</v>
      </c>
      <c r="M15" s="11">
        <v>1.25</v>
      </c>
      <c r="O15" s="16" t="s">
        <v>90</v>
      </c>
      <c r="P15" s="16" t="s">
        <v>94</v>
      </c>
      <c r="Q15" s="15">
        <v>7.2400000000000006E-2</v>
      </c>
      <c r="R15" s="15">
        <v>0.8</v>
      </c>
    </row>
    <row r="16" spans="2:18" x14ac:dyDescent="0.25">
      <c r="C16" s="3" t="s">
        <v>10</v>
      </c>
      <c r="D16" s="4">
        <v>0.12</v>
      </c>
      <c r="E16" s="2"/>
      <c r="F16" s="6" t="s">
        <v>72</v>
      </c>
      <c r="G16" s="4">
        <v>1.1499999999999999</v>
      </c>
      <c r="H16" s="6">
        <v>0.2</v>
      </c>
      <c r="I16" s="4">
        <v>0.6</v>
      </c>
      <c r="J16" s="6">
        <v>2</v>
      </c>
      <c r="L16" s="11" t="s">
        <v>84</v>
      </c>
      <c r="M16" s="11">
        <v>1.5</v>
      </c>
      <c r="O16" s="14" t="s">
        <v>91</v>
      </c>
      <c r="P16" s="14" t="s">
        <v>95</v>
      </c>
      <c r="Q16" s="15">
        <v>7.3099999999999998E-2</v>
      </c>
      <c r="R16" s="15">
        <v>0.75</v>
      </c>
    </row>
    <row r="17" spans="3:18" x14ac:dyDescent="0.25">
      <c r="C17" s="3" t="s">
        <v>14</v>
      </c>
      <c r="D17" s="4">
        <v>0.12</v>
      </c>
      <c r="E17" s="2"/>
      <c r="F17" s="6" t="s">
        <v>73</v>
      </c>
      <c r="G17" s="4">
        <v>1.35</v>
      </c>
      <c r="H17" s="6">
        <v>0.2</v>
      </c>
      <c r="I17" s="4">
        <v>0.8</v>
      </c>
      <c r="J17" s="6">
        <v>2</v>
      </c>
      <c r="O17" s="16" t="s">
        <v>92</v>
      </c>
      <c r="P17" s="16" t="s">
        <v>96</v>
      </c>
      <c r="Q17" s="15">
        <v>4.8800000000000003E-2</v>
      </c>
      <c r="R17" s="15">
        <v>0.75</v>
      </c>
    </row>
    <row r="18" spans="3:18" x14ac:dyDescent="0.25">
      <c r="C18" s="3" t="s">
        <v>18</v>
      </c>
      <c r="D18" s="4">
        <v>0.12</v>
      </c>
      <c r="E18" s="2"/>
      <c r="F18" s="6" t="s">
        <v>74</v>
      </c>
      <c r="G18" s="4">
        <v>1.4</v>
      </c>
      <c r="H18" s="6">
        <v>0.15</v>
      </c>
      <c r="I18" s="4">
        <v>0.5</v>
      </c>
      <c r="J18" s="6">
        <v>2</v>
      </c>
    </row>
    <row r="19" spans="3:18" x14ac:dyDescent="0.25">
      <c r="C19" s="3" t="s">
        <v>22</v>
      </c>
      <c r="D19" s="4">
        <v>0.28000000000000003</v>
      </c>
      <c r="E19" s="2"/>
    </row>
    <row r="20" spans="3:18" x14ac:dyDescent="0.25">
      <c r="C20" s="3" t="s">
        <v>26</v>
      </c>
      <c r="D20" s="4">
        <v>0.28000000000000003</v>
      </c>
      <c r="E20" s="2"/>
      <c r="F20" s="69" t="s">
        <v>100</v>
      </c>
      <c r="G20" s="69"/>
      <c r="H20" s="69"/>
      <c r="I20" s="69"/>
      <c r="J20" s="69"/>
    </row>
    <row r="21" spans="3:18" x14ac:dyDescent="0.25">
      <c r="C21" s="3" t="s">
        <v>30</v>
      </c>
      <c r="D21" s="4">
        <v>0.2</v>
      </c>
      <c r="E21" s="2"/>
      <c r="F21" s="69"/>
      <c r="G21" s="69"/>
      <c r="H21" s="69"/>
      <c r="I21" s="69"/>
      <c r="J21" s="69"/>
    </row>
    <row r="22" spans="3:18" x14ac:dyDescent="0.25">
      <c r="C22" s="3" t="s">
        <v>34</v>
      </c>
      <c r="D22" s="4">
        <v>0.12</v>
      </c>
      <c r="E22" s="2"/>
      <c r="F22" s="70"/>
      <c r="G22" s="70"/>
      <c r="H22" s="70"/>
      <c r="I22" s="70"/>
      <c r="J22" s="70"/>
    </row>
    <row r="23" spans="3:18" x14ac:dyDescent="0.25">
      <c r="C23" s="3" t="s">
        <v>38</v>
      </c>
      <c r="D23" s="4">
        <v>0.28000000000000003</v>
      </c>
      <c r="E23" s="2"/>
      <c r="F23" s="17" t="s">
        <v>101</v>
      </c>
      <c r="G23" s="17">
        <v>1</v>
      </c>
      <c r="H23" s="17">
        <v>2</v>
      </c>
      <c r="I23" s="17">
        <v>3</v>
      </c>
      <c r="J23" s="17">
        <v>4</v>
      </c>
    </row>
    <row r="24" spans="3:18" x14ac:dyDescent="0.25">
      <c r="C24" s="3" t="s">
        <v>42</v>
      </c>
      <c r="D24" s="4">
        <v>0.12</v>
      </c>
      <c r="E24" s="2"/>
      <c r="F24" s="18" t="s">
        <v>98</v>
      </c>
      <c r="G24" s="19">
        <v>0.3</v>
      </c>
      <c r="H24" s="20">
        <v>0.5</v>
      </c>
      <c r="I24" s="19">
        <v>0.7</v>
      </c>
      <c r="J24" s="20">
        <v>0.9</v>
      </c>
    </row>
    <row r="25" spans="3:18" x14ac:dyDescent="0.25">
      <c r="C25" s="3" t="s">
        <v>46</v>
      </c>
      <c r="D25" s="4">
        <v>0.2</v>
      </c>
      <c r="E25" s="2"/>
      <c r="F25" s="18" t="s">
        <v>99</v>
      </c>
      <c r="G25" s="19">
        <v>0.12</v>
      </c>
      <c r="H25" s="20">
        <v>0.2</v>
      </c>
      <c r="I25" s="19">
        <v>0.28000000000000003</v>
      </c>
      <c r="J25" s="20">
        <v>0.36</v>
      </c>
    </row>
    <row r="26" spans="3:18" x14ac:dyDescent="0.25">
      <c r="C26" s="3" t="s">
        <v>50</v>
      </c>
      <c r="D26" s="4">
        <v>0.28000000000000003</v>
      </c>
      <c r="E26" s="2"/>
      <c r="F26" s="1"/>
      <c r="G26" s="2"/>
      <c r="H26" s="1"/>
      <c r="I26" s="2"/>
      <c r="J26" s="1"/>
    </row>
    <row r="27" spans="3:18" x14ac:dyDescent="0.25">
      <c r="C27" s="3" t="s">
        <v>54</v>
      </c>
      <c r="D27" s="4">
        <v>0.2</v>
      </c>
      <c r="E27" s="2"/>
      <c r="F27" s="69" t="s">
        <v>103</v>
      </c>
      <c r="G27" s="69"/>
      <c r="H27" s="69"/>
      <c r="I27" s="69"/>
      <c r="J27" s="69"/>
    </row>
    <row r="28" spans="3:18" ht="15.75" thickBot="1" x14ac:dyDescent="0.3">
      <c r="C28" s="3" t="s">
        <v>58</v>
      </c>
      <c r="D28" s="4">
        <v>0.2</v>
      </c>
      <c r="E28" s="2"/>
      <c r="F28" s="71"/>
      <c r="G28" s="71"/>
      <c r="H28" s="71"/>
      <c r="I28" s="71"/>
      <c r="J28" s="71"/>
    </row>
    <row r="29" spans="3:18" ht="16.5" thickBot="1" x14ac:dyDescent="0.3">
      <c r="C29" s="3" t="s">
        <v>62</v>
      </c>
      <c r="D29" s="4">
        <v>0.2</v>
      </c>
      <c r="E29" s="2"/>
      <c r="F29" s="25" t="s">
        <v>102</v>
      </c>
      <c r="G29" s="26">
        <v>1</v>
      </c>
      <c r="H29" s="26">
        <v>2</v>
      </c>
      <c r="I29" s="26">
        <v>3</v>
      </c>
      <c r="J29" s="26">
        <v>4</v>
      </c>
    </row>
    <row r="30" spans="3:18" ht="16.5" thickBot="1" x14ac:dyDescent="0.3">
      <c r="C30" s="3" t="s">
        <v>65</v>
      </c>
      <c r="D30" s="4">
        <v>0.2</v>
      </c>
      <c r="E30" s="2"/>
      <c r="F30" s="23" t="s">
        <v>70</v>
      </c>
      <c r="G30" s="24">
        <v>1</v>
      </c>
      <c r="H30" s="24">
        <v>1</v>
      </c>
      <c r="I30" s="24">
        <v>1</v>
      </c>
      <c r="J30" s="24">
        <v>1</v>
      </c>
    </row>
    <row r="31" spans="3:18" ht="16.5" thickBot="1" x14ac:dyDescent="0.3">
      <c r="C31" s="3" t="s">
        <v>3</v>
      </c>
      <c r="D31" s="4">
        <v>0.28000000000000003</v>
      </c>
      <c r="F31" s="23" t="s">
        <v>71</v>
      </c>
      <c r="G31" s="24">
        <v>1.2</v>
      </c>
      <c r="H31" s="24">
        <v>1.2</v>
      </c>
      <c r="I31" s="24">
        <v>1.2</v>
      </c>
      <c r="J31" s="24">
        <v>1.2</v>
      </c>
    </row>
    <row r="32" spans="3:18" ht="16.5" thickBot="1" x14ac:dyDescent="0.3">
      <c r="C32" s="3" t="s">
        <v>7</v>
      </c>
      <c r="D32" s="4">
        <v>0.2</v>
      </c>
      <c r="F32" s="23" t="s">
        <v>72</v>
      </c>
      <c r="G32" s="24">
        <v>1.1499999999999999</v>
      </c>
      <c r="H32" s="24">
        <v>1.1499999999999999</v>
      </c>
      <c r="I32" s="24">
        <v>1.1499999999999999</v>
      </c>
      <c r="J32" s="24">
        <v>1.1499999999999999</v>
      </c>
    </row>
    <row r="33" spans="3:10" ht="16.5" thickBot="1" x14ac:dyDescent="0.3">
      <c r="C33" s="3" t="s">
        <v>11</v>
      </c>
      <c r="D33" s="4">
        <v>0.12</v>
      </c>
      <c r="F33" s="23" t="s">
        <v>73</v>
      </c>
      <c r="G33" s="24">
        <v>1.35</v>
      </c>
      <c r="H33" s="24">
        <v>1.35</v>
      </c>
      <c r="I33" s="24">
        <v>1.35</v>
      </c>
      <c r="J33" s="24">
        <v>1.35</v>
      </c>
    </row>
    <row r="34" spans="3:10" ht="16.5" thickBot="1" x14ac:dyDescent="0.3">
      <c r="C34" s="3" t="s">
        <v>15</v>
      </c>
      <c r="D34" s="4">
        <v>0.36</v>
      </c>
      <c r="F34" s="23" t="s">
        <v>74</v>
      </c>
      <c r="G34" s="24">
        <v>1.4</v>
      </c>
      <c r="H34" s="24">
        <v>1.4</v>
      </c>
      <c r="I34" s="24">
        <v>1.4</v>
      </c>
      <c r="J34" s="24">
        <v>1.4</v>
      </c>
    </row>
    <row r="35" spans="3:10" x14ac:dyDescent="0.25">
      <c r="C35" s="3" t="s">
        <v>19</v>
      </c>
      <c r="D35" s="4">
        <v>0.2</v>
      </c>
    </row>
    <row r="36" spans="3:10" x14ac:dyDescent="0.25">
      <c r="C36" s="3" t="s">
        <v>23</v>
      </c>
      <c r="D36" s="4">
        <v>0.36</v>
      </c>
      <c r="F36" s="72" t="s">
        <v>105</v>
      </c>
      <c r="G36" s="72"/>
      <c r="H36" s="72"/>
      <c r="I36" s="72"/>
      <c r="J36" s="72"/>
    </row>
    <row r="37" spans="3:10" ht="15.75" thickBot="1" x14ac:dyDescent="0.3">
      <c r="C37" s="3" t="s">
        <v>27</v>
      </c>
      <c r="D37" s="4">
        <v>0.12</v>
      </c>
      <c r="F37" s="73"/>
      <c r="G37" s="73"/>
      <c r="H37" s="73"/>
      <c r="I37" s="73"/>
      <c r="J37" s="73"/>
    </row>
    <row r="38" spans="3:10" ht="15.75" thickBot="1" x14ac:dyDescent="0.3">
      <c r="C38" s="3" t="s">
        <v>31</v>
      </c>
      <c r="D38" s="4">
        <v>0.12</v>
      </c>
      <c r="F38" s="27" t="s">
        <v>104</v>
      </c>
      <c r="G38" s="28">
        <v>1</v>
      </c>
      <c r="H38" s="28">
        <v>2</v>
      </c>
      <c r="I38" s="28">
        <v>3</v>
      </c>
      <c r="J38" s="28">
        <v>4</v>
      </c>
    </row>
    <row r="39" spans="3:10" ht="15.75" thickBot="1" x14ac:dyDescent="0.3">
      <c r="C39" s="3" t="s">
        <v>35</v>
      </c>
      <c r="D39" s="4">
        <v>0.12</v>
      </c>
      <c r="F39" s="21" t="s">
        <v>70</v>
      </c>
      <c r="G39" s="22">
        <v>1</v>
      </c>
      <c r="H39" s="22">
        <v>1</v>
      </c>
      <c r="I39" s="22">
        <v>1</v>
      </c>
      <c r="J39" s="22">
        <v>1</v>
      </c>
    </row>
    <row r="40" spans="3:10" ht="15.75" thickBot="1" x14ac:dyDescent="0.3">
      <c r="C40" s="3" t="s">
        <v>39</v>
      </c>
      <c r="D40" s="4">
        <v>0.28000000000000003</v>
      </c>
      <c r="F40" s="21" t="s">
        <v>71</v>
      </c>
      <c r="G40" s="22">
        <v>1.5</v>
      </c>
      <c r="H40" s="22">
        <v>1.5</v>
      </c>
      <c r="I40" s="22">
        <v>1.5</v>
      </c>
      <c r="J40" s="22">
        <v>1.5</v>
      </c>
    </row>
    <row r="41" spans="3:10" ht="15.75" thickBot="1" x14ac:dyDescent="0.3">
      <c r="C41" s="3" t="s">
        <v>43</v>
      </c>
      <c r="D41" s="4">
        <v>0.12</v>
      </c>
      <c r="F41" s="21" t="s">
        <v>72</v>
      </c>
      <c r="G41" s="22">
        <v>1.7250000000000001</v>
      </c>
      <c r="H41" s="22">
        <v>1.7250000000000001</v>
      </c>
      <c r="I41" s="22">
        <v>1.7250000000000001</v>
      </c>
      <c r="J41" s="22">
        <v>1.7250000000000001</v>
      </c>
    </row>
    <row r="42" spans="3:10" ht="15.75" thickBot="1" x14ac:dyDescent="0.3">
      <c r="C42" s="3" t="s">
        <v>47</v>
      </c>
      <c r="D42" s="4">
        <v>0.36</v>
      </c>
      <c r="F42" s="21" t="s">
        <v>73</v>
      </c>
      <c r="G42" s="22">
        <v>2.7</v>
      </c>
      <c r="H42" s="22">
        <v>2.7</v>
      </c>
      <c r="I42" s="22">
        <v>2.7</v>
      </c>
      <c r="J42" s="22">
        <v>2.7</v>
      </c>
    </row>
    <row r="43" spans="3:10" ht="15.75" thickBot="1" x14ac:dyDescent="0.3">
      <c r="C43" s="3" t="s">
        <v>51</v>
      </c>
      <c r="D43" s="4">
        <v>0.36</v>
      </c>
      <c r="F43" s="21" t="s">
        <v>74</v>
      </c>
      <c r="G43" s="22">
        <v>1.75</v>
      </c>
      <c r="H43" s="22">
        <v>1.75</v>
      </c>
      <c r="I43" s="22">
        <v>1.75</v>
      </c>
      <c r="J43" s="22">
        <v>1.75</v>
      </c>
    </row>
    <row r="44" spans="3:10" x14ac:dyDescent="0.25">
      <c r="C44" s="3" t="s">
        <v>55</v>
      </c>
      <c r="D44" s="4">
        <v>0.2</v>
      </c>
    </row>
    <row r="45" spans="3:10" x14ac:dyDescent="0.25">
      <c r="C45" s="3" t="s">
        <v>59</v>
      </c>
      <c r="D45" s="4">
        <v>0.2</v>
      </c>
    </row>
    <row r="46" spans="3:10" x14ac:dyDescent="0.25">
      <c r="C46" s="3" t="s">
        <v>63</v>
      </c>
      <c r="D46" s="4">
        <v>0.28000000000000003</v>
      </c>
    </row>
    <row r="47" spans="3:10" x14ac:dyDescent="0.25">
      <c r="C47" s="3" t="s">
        <v>66</v>
      </c>
      <c r="D47" s="4">
        <v>0.2</v>
      </c>
    </row>
    <row r="48" spans="3:10" x14ac:dyDescent="0.25">
      <c r="C48" s="3" t="s">
        <v>4</v>
      </c>
      <c r="D48" s="4">
        <v>0.12</v>
      </c>
    </row>
    <row r="49" spans="3:4" x14ac:dyDescent="0.25">
      <c r="C49" s="3" t="s">
        <v>8</v>
      </c>
      <c r="D49" s="4">
        <v>0.2</v>
      </c>
    </row>
    <row r="50" spans="3:4" x14ac:dyDescent="0.25">
      <c r="C50" s="3" t="s">
        <v>12</v>
      </c>
      <c r="D50" s="4">
        <v>0.36</v>
      </c>
    </row>
    <row r="51" spans="3:4" x14ac:dyDescent="0.25">
      <c r="C51" s="3" t="s">
        <v>16</v>
      </c>
      <c r="D51" s="4">
        <v>0.12</v>
      </c>
    </row>
    <row r="52" spans="3:4" x14ac:dyDescent="0.25">
      <c r="C52" s="3" t="s">
        <v>20</v>
      </c>
      <c r="D52" s="4">
        <v>0.12</v>
      </c>
    </row>
    <row r="53" spans="3:4" x14ac:dyDescent="0.25">
      <c r="C53" s="3" t="s">
        <v>24</v>
      </c>
      <c r="D53" s="4">
        <v>0.2</v>
      </c>
    </row>
    <row r="54" spans="3:4" x14ac:dyDescent="0.25">
      <c r="C54" s="3" t="s">
        <v>28</v>
      </c>
      <c r="D54" s="4">
        <v>0.36</v>
      </c>
    </row>
    <row r="55" spans="3:4" x14ac:dyDescent="0.25">
      <c r="C55" s="3" t="s">
        <v>32</v>
      </c>
      <c r="D55" s="4">
        <v>0.12</v>
      </c>
    </row>
    <row r="56" spans="3:4" ht="15" customHeight="1" x14ac:dyDescent="0.25">
      <c r="C56" s="3" t="s">
        <v>36</v>
      </c>
      <c r="D56" s="4">
        <v>0.2</v>
      </c>
    </row>
    <row r="57" spans="3:4" x14ac:dyDescent="0.25">
      <c r="C57" s="3" t="s">
        <v>40</v>
      </c>
      <c r="D57" s="4">
        <v>0.28000000000000003</v>
      </c>
    </row>
    <row r="58" spans="3:4" x14ac:dyDescent="0.25">
      <c r="C58" s="3" t="s">
        <v>44</v>
      </c>
      <c r="D58" s="4">
        <v>0.2</v>
      </c>
    </row>
    <row r="59" spans="3:4" x14ac:dyDescent="0.25">
      <c r="C59" s="3" t="s">
        <v>48</v>
      </c>
      <c r="D59" s="4">
        <v>0.2</v>
      </c>
    </row>
    <row r="60" spans="3:4" x14ac:dyDescent="0.25">
      <c r="C60" s="3" t="s">
        <v>52</v>
      </c>
      <c r="D60" s="4">
        <v>0.36</v>
      </c>
    </row>
    <row r="61" spans="3:4" x14ac:dyDescent="0.25">
      <c r="C61" s="3" t="s">
        <v>56</v>
      </c>
      <c r="D61" s="4">
        <v>0.12</v>
      </c>
    </row>
    <row r="62" spans="3:4" x14ac:dyDescent="0.25">
      <c r="C62" s="3" t="s">
        <v>60</v>
      </c>
      <c r="D62" s="4">
        <v>0.2</v>
      </c>
    </row>
    <row r="63" spans="3:4" x14ac:dyDescent="0.25">
      <c r="C63" s="3" t="s">
        <v>64</v>
      </c>
      <c r="D63" s="4">
        <v>0.2</v>
      </c>
    </row>
    <row r="64" spans="3:4" x14ac:dyDescent="0.25">
      <c r="C64" s="3" t="s">
        <v>67</v>
      </c>
      <c r="D64" s="4">
        <v>0.2</v>
      </c>
    </row>
    <row r="65" spans="3:4" x14ac:dyDescent="0.25">
      <c r="C65" s="3" t="s">
        <v>5</v>
      </c>
      <c r="D65" s="4">
        <v>0.12</v>
      </c>
    </row>
    <row r="66" spans="3:4" x14ac:dyDescent="0.25">
      <c r="C66" s="3" t="s">
        <v>9</v>
      </c>
      <c r="D66" s="4">
        <v>0.12</v>
      </c>
    </row>
    <row r="67" spans="3:4" x14ac:dyDescent="0.25">
      <c r="C67" s="3" t="s">
        <v>13</v>
      </c>
      <c r="D67" s="4">
        <v>0.2</v>
      </c>
    </row>
    <row r="68" spans="3:4" x14ac:dyDescent="0.25">
      <c r="C68" s="3" t="s">
        <v>17</v>
      </c>
      <c r="D68" s="4">
        <v>0.12</v>
      </c>
    </row>
    <row r="69" spans="3:4" x14ac:dyDescent="0.25">
      <c r="C69" s="3" t="s">
        <v>21</v>
      </c>
      <c r="D69" s="4">
        <v>0.28000000000000003</v>
      </c>
    </row>
    <row r="70" spans="3:4" x14ac:dyDescent="0.25">
      <c r="C70" s="3" t="s">
        <v>25</v>
      </c>
      <c r="D70" s="4">
        <v>0.28000000000000003</v>
      </c>
    </row>
    <row r="71" spans="3:4" x14ac:dyDescent="0.25">
      <c r="C71" s="3" t="s">
        <v>29</v>
      </c>
      <c r="D71" s="4">
        <v>0.12</v>
      </c>
    </row>
    <row r="72" spans="3:4" x14ac:dyDescent="0.25">
      <c r="C72" s="3" t="s">
        <v>33</v>
      </c>
      <c r="D72" s="4">
        <v>0.2</v>
      </c>
    </row>
    <row r="73" spans="3:4" x14ac:dyDescent="0.25">
      <c r="C73" s="3" t="s">
        <v>37</v>
      </c>
      <c r="D73" s="4">
        <v>0.36</v>
      </c>
    </row>
    <row r="74" spans="3:4" x14ac:dyDescent="0.25">
      <c r="C74" s="3" t="s">
        <v>41</v>
      </c>
      <c r="D74" s="4">
        <v>0.28000000000000003</v>
      </c>
    </row>
    <row r="75" spans="3:4" x14ac:dyDescent="0.25">
      <c r="C75" s="3" t="s">
        <v>45</v>
      </c>
      <c r="D75" s="4">
        <v>0.36</v>
      </c>
    </row>
    <row r="76" spans="3:4" x14ac:dyDescent="0.25">
      <c r="C76" s="3" t="s">
        <v>49</v>
      </c>
      <c r="D76" s="4">
        <v>0.36</v>
      </c>
    </row>
    <row r="77" spans="3:4" x14ac:dyDescent="0.25">
      <c r="C77" s="3" t="s">
        <v>53</v>
      </c>
      <c r="D77" s="4">
        <v>0.36</v>
      </c>
    </row>
    <row r="78" spans="3:4" x14ac:dyDescent="0.25">
      <c r="C78" s="3" t="s">
        <v>57</v>
      </c>
      <c r="D78" s="4">
        <v>0.28000000000000003</v>
      </c>
    </row>
    <row r="79" spans="3:4" x14ac:dyDescent="0.25">
      <c r="C79" s="3" t="s">
        <v>61</v>
      </c>
      <c r="D79" s="4">
        <v>0.2</v>
      </c>
    </row>
  </sheetData>
  <sheetProtection password="CB35" sheet="1" objects="1" scenarios="1" selectLockedCells="1" selectUnlockedCells="1"/>
  <mergeCells count="11">
    <mergeCell ref="F27:J28"/>
    <mergeCell ref="F36:J37"/>
    <mergeCell ref="O10:R12"/>
    <mergeCell ref="B10:E12"/>
    <mergeCell ref="F10:J12"/>
    <mergeCell ref="K10:N12"/>
    <mergeCell ref="B1:K1"/>
    <mergeCell ref="B2:K2"/>
    <mergeCell ref="B3:K3"/>
    <mergeCell ref="B4:K4"/>
    <mergeCell ref="F20:J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Automatic</vt:lpstr>
      <vt:lpstr>Manual</vt:lpstr>
      <vt:lpstr>Video &amp; Instruction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Hedaetullah</dc:creator>
  <cp:lastModifiedBy>SM Hedaetullah</cp:lastModifiedBy>
  <dcterms:created xsi:type="dcterms:W3CDTF">2015-06-05T18:17:20Z</dcterms:created>
  <dcterms:modified xsi:type="dcterms:W3CDTF">2025-08-28T16:54:26Z</dcterms:modified>
</cp:coreProperties>
</file>