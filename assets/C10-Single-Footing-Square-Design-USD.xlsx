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activeTab="1"/>
  </bookViews>
  <sheets>
    <sheet name="Video &amp; Instruction " sheetId="2" r:id="rId1"/>
    <sheet name="V1.1 (Updated 08-09-2023)" sheetId="1" r:id="rId2"/>
  </sheets>
  <externalReferences>
    <externalReference r:id="rId3"/>
  </externalReferences>
  <definedNames>
    <definedName name="framesystem">[1]Sheet3!$B$39:$B$45</definedName>
  </definedNames>
  <calcPr calcId="162913"/>
</workbook>
</file>

<file path=xl/calcChain.xml><?xml version="1.0" encoding="utf-8"?>
<calcChain xmlns="http://schemas.openxmlformats.org/spreadsheetml/2006/main">
  <c r="L15" i="1" l="1"/>
  <c r="E44" i="1"/>
  <c r="E43" i="1"/>
  <c r="E38" i="1"/>
  <c r="J41" i="1"/>
  <c r="J40" i="1"/>
  <c r="H41" i="1" l="1"/>
  <c r="H38" i="1"/>
  <c r="H37" i="1"/>
  <c r="E30" i="1"/>
  <c r="E31" i="1"/>
  <c r="E34" i="1" s="1"/>
  <c r="E35" i="1" s="1"/>
  <c r="E29" i="1"/>
  <c r="E26" i="1"/>
  <c r="E27" i="1" s="1"/>
  <c r="E28" i="1" s="1"/>
  <c r="G23" i="1" s="1"/>
  <c r="L16" i="1"/>
  <c r="E41" i="1" l="1"/>
  <c r="J42" i="1" s="1"/>
  <c r="E33" i="1"/>
  <c r="E32" i="1" s="1"/>
  <c r="E37" i="1"/>
  <c r="E39" i="1"/>
  <c r="D8" i="1"/>
  <c r="D7" i="1"/>
  <c r="E36" i="1" l="1"/>
  <c r="E8" i="1"/>
  <c r="E7" i="1"/>
  <c r="E42" i="1"/>
  <c r="H24" i="1" l="1"/>
  <c r="E45" i="1"/>
  <c r="E46" i="1" l="1"/>
  <c r="V12" i="1" s="1"/>
  <c r="E47" i="1"/>
  <c r="V13" i="1" s="1"/>
</calcChain>
</file>

<file path=xl/sharedStrings.xml><?xml version="1.0" encoding="utf-8"?>
<sst xmlns="http://schemas.openxmlformats.org/spreadsheetml/2006/main" count="109" uniqueCount="82">
  <si>
    <t>Materials Properties:</t>
  </si>
  <si>
    <t>Converted Data</t>
  </si>
  <si>
    <t>Main Data</t>
  </si>
  <si>
    <t>psi</t>
  </si>
  <si>
    <t>f'c =</t>
  </si>
  <si>
    <t xml:space="preserve">fy = </t>
  </si>
  <si>
    <t>Given data(PSI)</t>
  </si>
  <si>
    <t>ft</t>
  </si>
  <si>
    <t>in</t>
  </si>
  <si>
    <t>psf</t>
  </si>
  <si>
    <t>Main Bar=</t>
  </si>
  <si>
    <t>Distributed Bar=</t>
  </si>
  <si>
    <t>Main Bar Area=</t>
  </si>
  <si>
    <t xml:space="preserve">Distributed Bar= </t>
  </si>
  <si>
    <t>By Engr Hedaetullah &amp; Nj Disha</t>
  </si>
  <si>
    <t>Dead Load (DL)=</t>
  </si>
  <si>
    <t>Live Load (LL)=</t>
  </si>
  <si>
    <t>mm Ø</t>
  </si>
  <si>
    <t>Bottom Clear Cover ,C/C =</t>
  </si>
  <si>
    <t>Column Size, C1 =</t>
  </si>
  <si>
    <t>Column Size, C2 =</t>
  </si>
  <si>
    <t>Average  Unit Weight (Concrete+Soil) qe=</t>
  </si>
  <si>
    <t>Pressure of Maretials at the base of the footing=</t>
  </si>
  <si>
    <t>Depth of the Footing Base Form EGL, H=</t>
  </si>
  <si>
    <t>Available B.C. to Carry the Column Service Load</t>
  </si>
  <si>
    <t>Allowable Soil Pressure (BC), Qa=</t>
  </si>
  <si>
    <t>Ksf</t>
  </si>
  <si>
    <t>Required Footing Area, A req=</t>
  </si>
  <si>
    <t>Kips</t>
  </si>
  <si>
    <t>Trail Effective Thickness/Depth, d =</t>
  </si>
  <si>
    <t>sqft</t>
  </si>
  <si>
    <t>Trial Length, L=</t>
  </si>
  <si>
    <t>Approximate L or B</t>
  </si>
  <si>
    <t>Trial width, B=</t>
  </si>
  <si>
    <t>Furnishing Footing Area=</t>
  </si>
  <si>
    <t>Upward Pressure by factor Column load =</t>
  </si>
  <si>
    <t>Length of the critical perimeter, bo=</t>
  </si>
  <si>
    <t>Shear Force acting on this perimeter, Vu1=</t>
  </si>
  <si>
    <t>Punching Shear Check</t>
  </si>
  <si>
    <t>Nominal Shear, Vc=</t>
  </si>
  <si>
    <t>Vu=</t>
  </si>
  <si>
    <t>One Way - Beam Shear Check</t>
  </si>
  <si>
    <t>for B Dir</t>
  </si>
  <si>
    <t>for L Dir</t>
  </si>
  <si>
    <t>Shear Force acting on this perimeter, Vu2=</t>
  </si>
  <si>
    <t>M_L=</t>
  </si>
  <si>
    <t>Bending Moment Mu=</t>
  </si>
  <si>
    <t>Kips-in</t>
  </si>
  <si>
    <t>a</t>
  </si>
  <si>
    <t>b</t>
  </si>
  <si>
    <t>c</t>
  </si>
  <si>
    <t>a=</t>
  </si>
  <si>
    <t>As=</t>
  </si>
  <si>
    <t>in^2</t>
  </si>
  <si>
    <t>Approximate a=</t>
  </si>
  <si>
    <t>Moment &amp; Rebar Calculation</t>
  </si>
  <si>
    <t>As (min)=</t>
  </si>
  <si>
    <t>Not less than, As (min)=</t>
  </si>
  <si>
    <t>Controlling Value of Rebar, As =</t>
  </si>
  <si>
    <t>in c/c</t>
  </si>
  <si>
    <t>Specing Calucation (Short Dir) Sp=</t>
  </si>
  <si>
    <t>Specing Calucation (Long Dir) Sp=</t>
  </si>
  <si>
    <t>www.ceta-ac.com</t>
  </si>
  <si>
    <r>
      <t xml:space="preserve">This is the product of </t>
    </r>
    <r>
      <rPr>
        <b/>
        <sz val="26"/>
        <color rgb="FFFF0000"/>
        <rFont val="Calibri"/>
        <family val="2"/>
        <scheme val="minor"/>
      </rPr>
      <t>qLearnify</t>
    </r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</si>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</sst>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"/>
    <numFmt numFmtId="166" formatCode="0.0000"/>
    <numFmt numFmtId="167" formatCode="0.00\ &quot;in&quot;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theme="10"/>
      <name val="Calibri"/>
      <family val="2"/>
      <scheme val="minor"/>
    </font>
    <font>
      <sz val="10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2" fillId="0" borderId="0"/>
  </cellStyleXfs>
  <cellXfs count="50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right"/>
      <protection hidden="1"/>
    </xf>
    <xf numFmtId="0" fontId="0" fillId="0" borderId="0" xfId="0" applyAlignment="1" applyProtection="1">
      <alignment horizontal="right" vertical="center"/>
      <protection hidden="1"/>
    </xf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165" fontId="2" fillId="0" borderId="0" xfId="0" applyNumberFormat="1" applyFont="1" applyProtection="1">
      <protection hidden="1"/>
    </xf>
    <xf numFmtId="2" fontId="0" fillId="0" borderId="1" xfId="0" applyNumberFormat="1" applyBorder="1" applyProtection="1">
      <protection hidden="1"/>
    </xf>
    <xf numFmtId="0" fontId="0" fillId="0" borderId="1" xfId="0" applyBorder="1" applyProtection="1">
      <protection hidden="1"/>
    </xf>
    <xf numFmtId="164" fontId="0" fillId="0" borderId="1" xfId="0" applyNumberFormat="1" applyBorder="1" applyProtection="1">
      <protection hidden="1"/>
    </xf>
    <xf numFmtId="164" fontId="7" fillId="0" borderId="1" xfId="0" applyNumberFormat="1" applyFont="1" applyBorder="1" applyProtection="1">
      <protection hidden="1"/>
    </xf>
    <xf numFmtId="166" fontId="0" fillId="0" borderId="0" xfId="0" applyNumberFormat="1" applyAlignment="1" applyProtection="1">
      <alignment horizontal="center"/>
      <protection hidden="1"/>
    </xf>
    <xf numFmtId="2" fontId="0" fillId="0" borderId="3" xfId="0" applyNumberFormat="1" applyBorder="1" applyProtection="1">
      <protection hidden="1"/>
    </xf>
    <xf numFmtId="0" fontId="0" fillId="0" borderId="4" xfId="0" applyBorder="1" applyProtection="1">
      <protection hidden="1"/>
    </xf>
    <xf numFmtId="2" fontId="2" fillId="0" borderId="0" xfId="0" applyNumberFormat="1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11" fontId="2" fillId="0" borderId="0" xfId="0" applyNumberFormat="1" applyFont="1" applyProtection="1">
      <protection hidden="1"/>
    </xf>
    <xf numFmtId="167" fontId="5" fillId="4" borderId="0" xfId="0" applyNumberFormat="1" applyFont="1" applyFill="1" applyProtection="1">
      <protection hidden="1"/>
    </xf>
    <xf numFmtId="0" fontId="14" fillId="0" borderId="0" xfId="2" applyFont="1" applyProtection="1">
      <protection hidden="1"/>
    </xf>
    <xf numFmtId="0" fontId="5" fillId="3" borderId="1" xfId="0" applyFont="1" applyFill="1" applyBorder="1" applyAlignment="1" applyProtection="1">
      <alignment horizontal="right"/>
      <protection locked="0" hidden="1"/>
    </xf>
    <xf numFmtId="0" fontId="5" fillId="3" borderId="1" xfId="0" applyFont="1" applyFill="1" applyBorder="1" applyProtection="1">
      <protection locked="0" hidden="1"/>
    </xf>
    <xf numFmtId="166" fontId="5" fillId="3" borderId="1" xfId="0" applyNumberFormat="1" applyFont="1" applyFill="1" applyBorder="1" applyProtection="1">
      <protection locked="0" hidden="1"/>
    </xf>
    <xf numFmtId="0" fontId="17" fillId="0" borderId="0" xfId="0" applyFont="1" applyProtection="1"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9" fillId="0" borderId="0" xfId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1" fillId="5" borderId="0" xfId="1" applyFont="1" applyFill="1" applyAlignment="1" applyProtection="1">
      <alignment horizontal="center"/>
      <protection hidden="1"/>
    </xf>
    <xf numFmtId="0" fontId="13" fillId="5" borderId="0" xfId="2" applyFont="1" applyFill="1" applyAlignment="1" applyProtection="1">
      <alignment horizontal="center"/>
      <protection hidden="1"/>
    </xf>
    <xf numFmtId="0" fontId="0" fillId="0" borderId="3" xfId="0" applyBorder="1" applyAlignment="1" applyProtection="1">
      <alignment horizontal="right"/>
      <protection hidden="1"/>
    </xf>
    <xf numFmtId="0" fontId="0" fillId="0" borderId="7" xfId="0" applyBorder="1" applyAlignment="1" applyProtection="1">
      <alignment horizontal="right"/>
      <protection hidden="1"/>
    </xf>
    <xf numFmtId="0" fontId="0" fillId="0" borderId="4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2" xfId="0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right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2" fontId="8" fillId="2" borderId="3" xfId="0" applyNumberFormat="1" applyFont="1" applyFill="1" applyBorder="1" applyAlignment="1" applyProtection="1">
      <alignment horizontal="center"/>
      <protection hidden="1"/>
    </xf>
    <xf numFmtId="2" fontId="8" fillId="2" borderId="4" xfId="0" applyNumberFormat="1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right"/>
      <protection hidden="1"/>
    </xf>
  </cellXfs>
  <cellStyles count="3">
    <cellStyle name="Hyperlink" xfId="1" builtinId="8"/>
    <cellStyle name="Normal" xfId="0" builtinId="0"/>
    <cellStyle name="Normal_ConcreteColumn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8D152-027A-4101-8D10-7932210ED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D0251A98-D0F0-4B2F-8335-67C78305D950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105650" y="2500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242486</xdr:colOff>
      <xdr:row>5</xdr:row>
      <xdr:rowOff>343862</xdr:rowOff>
    </xdr:from>
    <xdr:to>
      <xdr:col>10</xdr:col>
      <xdr:colOff>571500</xdr:colOff>
      <xdr:row>19</xdr:row>
      <xdr:rowOff>142640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476B353-C9EA-22F9-FA85-88CED7062C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53" t="1576" r="1334" b="3324"/>
        <a:stretch/>
      </xdr:blipFill>
      <xdr:spPr>
        <a:xfrm>
          <a:off x="4799832" y="1435574"/>
          <a:ext cx="2732245" cy="2656278"/>
        </a:xfrm>
        <a:prstGeom prst="rect">
          <a:avLst/>
        </a:prstGeom>
      </xdr:spPr>
    </xdr:pic>
    <xdr:clientData/>
  </xdr:twoCellAnchor>
  <xdr:twoCellAnchor editAs="oneCell">
    <xdr:from>
      <xdr:col>12</xdr:col>
      <xdr:colOff>29308</xdr:colOff>
      <xdr:row>4</xdr:row>
      <xdr:rowOff>60691</xdr:rowOff>
    </xdr:from>
    <xdr:to>
      <xdr:col>21</xdr:col>
      <xdr:colOff>1</xdr:colOff>
      <xdr:row>18</xdr:row>
      <xdr:rowOff>65942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1A59D0-8BCF-442E-FB8E-2D0164CFA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40000"/>
                  </a14:imgEffect>
                </a14:imgLayer>
              </a14:imgProps>
            </a:ext>
          </a:extLst>
        </a:blip>
        <a:srcRect l="3855" r="3477" b="2865"/>
        <a:stretch/>
      </xdr:blipFill>
      <xdr:spPr>
        <a:xfrm>
          <a:off x="8206154" y="961903"/>
          <a:ext cx="3377712" cy="2862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ta-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M8" sqref="M8"/>
    </sheetView>
  </sheetViews>
  <sheetFormatPr defaultRowHeight="15" x14ac:dyDescent="0.25"/>
  <cols>
    <col min="1" max="1" width="9.140625" style="1" customWidth="1"/>
    <col min="2" max="16384" width="9.140625" style="1"/>
  </cols>
  <sheetData>
    <row r="14" spans="2:10" ht="15" customHeight="1" x14ac:dyDescent="0.25">
      <c r="B14" s="31" t="s">
        <v>64</v>
      </c>
      <c r="C14" s="31"/>
      <c r="D14" s="31"/>
      <c r="E14" s="31"/>
      <c r="F14" s="31"/>
      <c r="G14" s="31"/>
      <c r="H14" s="31"/>
      <c r="I14" s="31"/>
      <c r="J14" s="31"/>
    </row>
    <row r="15" spans="2:10" ht="15" customHeight="1" x14ac:dyDescent="0.25">
      <c r="B15" s="31"/>
      <c r="C15" s="31"/>
      <c r="D15" s="31"/>
      <c r="E15" s="31"/>
      <c r="F15" s="31"/>
      <c r="G15" s="31"/>
      <c r="H15" s="31"/>
      <c r="I15" s="31"/>
      <c r="J15" s="31"/>
    </row>
    <row r="16" spans="2:10" x14ac:dyDescent="0.25">
      <c r="B16" s="31"/>
      <c r="C16" s="31"/>
      <c r="D16" s="31"/>
      <c r="E16" s="31"/>
      <c r="F16" s="31"/>
      <c r="G16" s="31"/>
      <c r="H16" s="31"/>
      <c r="I16" s="31"/>
      <c r="J16" s="31"/>
    </row>
    <row r="17" spans="2:10" x14ac:dyDescent="0.25">
      <c r="C17" s="30" t="s">
        <v>65</v>
      </c>
      <c r="D17" s="30"/>
      <c r="E17" s="29" t="s">
        <v>66</v>
      </c>
      <c r="F17" s="29"/>
      <c r="G17" s="29"/>
      <c r="H17" s="29"/>
      <c r="I17" s="29"/>
      <c r="J17" s="29"/>
    </row>
    <row r="18" spans="2:10" x14ac:dyDescent="0.25">
      <c r="C18" s="30" t="s">
        <v>67</v>
      </c>
      <c r="D18" s="30"/>
      <c r="E18" s="29" t="s">
        <v>68</v>
      </c>
      <c r="F18" s="29"/>
      <c r="G18" s="29"/>
      <c r="H18" s="29"/>
      <c r="I18" s="29"/>
      <c r="J18" s="29"/>
    </row>
    <row r="19" spans="2:10" x14ac:dyDescent="0.25">
      <c r="C19" s="30" t="s">
        <v>69</v>
      </c>
      <c r="D19" s="30"/>
      <c r="E19" s="29" t="s">
        <v>70</v>
      </c>
      <c r="F19" s="29"/>
      <c r="G19" s="29"/>
      <c r="H19" s="29"/>
      <c r="I19" s="29"/>
      <c r="J19" s="29"/>
    </row>
    <row r="20" spans="2:10" x14ac:dyDescent="0.25">
      <c r="C20" s="30" t="s">
        <v>71</v>
      </c>
      <c r="D20" s="30"/>
      <c r="E20" s="29" t="s">
        <v>72</v>
      </c>
      <c r="F20" s="29"/>
      <c r="G20" s="29"/>
      <c r="H20" s="29"/>
      <c r="I20" s="29"/>
      <c r="J20" s="29"/>
    </row>
    <row r="21" spans="2:10" x14ac:dyDescent="0.25">
      <c r="C21" s="30" t="s">
        <v>73</v>
      </c>
      <c r="D21" s="30"/>
      <c r="E21" s="29" t="s">
        <v>74</v>
      </c>
      <c r="F21" s="29"/>
      <c r="G21" s="29"/>
      <c r="H21" s="29"/>
      <c r="I21" s="29"/>
      <c r="J21" s="29"/>
    </row>
    <row r="22" spans="2:10" x14ac:dyDescent="0.25">
      <c r="C22" s="30" t="s">
        <v>75</v>
      </c>
      <c r="D22" s="30"/>
      <c r="E22" s="29" t="s">
        <v>76</v>
      </c>
      <c r="F22" s="29"/>
      <c r="G22" s="29"/>
      <c r="H22" s="29"/>
      <c r="I22" s="29"/>
      <c r="J22" s="29"/>
    </row>
    <row r="24" spans="2:10" ht="15" customHeight="1" x14ac:dyDescent="0.25">
      <c r="B24" s="28" t="s">
        <v>77</v>
      </c>
      <c r="C24" s="28"/>
      <c r="D24" s="28"/>
      <c r="E24" s="28"/>
      <c r="F24" s="28"/>
      <c r="G24" s="28"/>
      <c r="H24" s="28"/>
      <c r="I24" s="28"/>
      <c r="J24" s="28"/>
    </row>
    <row r="25" spans="2:10" ht="15" customHeight="1" x14ac:dyDescent="0.25">
      <c r="B25" s="28"/>
      <c r="C25" s="28"/>
      <c r="D25" s="28"/>
      <c r="E25" s="28"/>
      <c r="F25" s="28"/>
      <c r="G25" s="28"/>
      <c r="H25" s="28"/>
      <c r="I25" s="28"/>
      <c r="J25" s="28"/>
    </row>
    <row r="26" spans="2:10" ht="15" customHeight="1" x14ac:dyDescent="0.2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25">
      <c r="B27" s="28"/>
      <c r="C27" s="28"/>
      <c r="D27" s="28"/>
      <c r="E27" s="28"/>
      <c r="F27" s="28"/>
      <c r="G27" s="28"/>
      <c r="H27" s="28"/>
      <c r="I27" s="28"/>
      <c r="J27" s="28"/>
    </row>
    <row r="34" spans="1:13" ht="15.75" x14ac:dyDescent="0.25">
      <c r="A34" s="27" t="s">
        <v>78</v>
      </c>
      <c r="B34" s="29" t="s">
        <v>79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ht="15.75" x14ac:dyDescent="0.25">
      <c r="A35" s="27"/>
    </row>
    <row r="36" spans="1:13" ht="15.75" x14ac:dyDescent="0.25">
      <c r="A36" s="27" t="s">
        <v>80</v>
      </c>
      <c r="B36" s="29" t="s">
        <v>81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abSelected="1" topLeftCell="A10" zoomScale="130" zoomScaleNormal="130" workbookViewId="0">
      <selection activeCell="E22" sqref="E22"/>
    </sheetView>
  </sheetViews>
  <sheetFormatPr defaultRowHeight="15" x14ac:dyDescent="0.25"/>
  <cols>
    <col min="1" max="1" width="1.85546875" style="1" customWidth="1"/>
    <col min="2" max="2" width="24.28515625" style="1" bestFit="1" customWidth="1"/>
    <col min="3" max="3" width="11.7109375" style="1" customWidth="1"/>
    <col min="4" max="4" width="12.28515625" style="1" customWidth="1"/>
    <col min="5" max="5" width="11" style="1" customWidth="1"/>
    <col min="6" max="6" width="7.140625" style="1" bestFit="1" customWidth="1"/>
    <col min="7" max="7" width="8.140625" style="1" bestFit="1" customWidth="1"/>
    <col min="8" max="9" width="9.140625" style="1"/>
    <col min="10" max="10" width="9.7109375" style="1" bestFit="1" customWidth="1"/>
    <col min="11" max="13" width="9.140625" style="1"/>
    <col min="14" max="14" width="5.28515625" style="1" customWidth="1"/>
    <col min="15" max="16" width="9.140625" style="1"/>
    <col min="17" max="17" width="3.140625" style="1" customWidth="1"/>
    <col min="18" max="18" width="3" style="1" customWidth="1"/>
    <col min="19" max="19" width="4.28515625" style="1" customWidth="1"/>
    <col min="20" max="20" width="3.5703125" style="1" customWidth="1"/>
    <col min="21" max="21" width="4.42578125" style="1" customWidth="1"/>
    <col min="22" max="16384" width="9.140625" style="1"/>
  </cols>
  <sheetData>
    <row r="1" spans="1:22" ht="28.5" customHeight="1" x14ac:dyDescent="0.5">
      <c r="A1" s="32" t="s">
        <v>63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22" ht="27.75" customHeight="1" x14ac:dyDescent="0.5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22" s="23" customFormat="1" ht="36" x14ac:dyDescent="0.55000000000000004">
      <c r="A3" s="34" t="s">
        <v>62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22" x14ac:dyDescent="0.25">
      <c r="B5" s="39" t="s">
        <v>0</v>
      </c>
      <c r="C5" s="39"/>
      <c r="D5" s="39"/>
    </row>
    <row r="6" spans="1:22" ht="30" x14ac:dyDescent="0.25">
      <c r="B6" s="2"/>
      <c r="C6" s="3" t="s">
        <v>6</v>
      </c>
      <c r="D6" s="3" t="s">
        <v>1</v>
      </c>
      <c r="E6" s="4" t="s">
        <v>2</v>
      </c>
    </row>
    <row r="7" spans="1:22" x14ac:dyDescent="0.25">
      <c r="B7" s="5"/>
      <c r="C7" s="6"/>
      <c r="D7" s="6">
        <f>0.4*E10</f>
        <v>29000</v>
      </c>
      <c r="E7" s="7">
        <f>IF(C7&gt;0,C7,IF(D7&gt;0,D7))</f>
        <v>29000</v>
      </c>
      <c r="F7" s="13" t="s">
        <v>3</v>
      </c>
    </row>
    <row r="8" spans="1:22" x14ac:dyDescent="0.25">
      <c r="C8" s="6"/>
      <c r="D8" s="6">
        <f>0.45*E9</f>
        <v>1260</v>
      </c>
      <c r="E8" s="7">
        <f t="shared" ref="E8" si="0">IF(C8&gt;0,C8,IF(D8&gt;0,D8))</f>
        <v>1260</v>
      </c>
      <c r="F8" s="13" t="s">
        <v>3</v>
      </c>
    </row>
    <row r="9" spans="1:22" x14ac:dyDescent="0.25">
      <c r="B9" s="6"/>
      <c r="C9" s="8"/>
      <c r="D9" s="6" t="s">
        <v>4</v>
      </c>
      <c r="E9" s="24">
        <v>2800</v>
      </c>
      <c r="F9" s="13" t="s">
        <v>3</v>
      </c>
    </row>
    <row r="10" spans="1:22" x14ac:dyDescent="0.25">
      <c r="B10" s="6"/>
      <c r="C10" s="6"/>
      <c r="D10" s="6" t="s">
        <v>5</v>
      </c>
      <c r="E10" s="24">
        <v>72500</v>
      </c>
      <c r="F10" s="13" t="s">
        <v>3</v>
      </c>
    </row>
    <row r="11" spans="1:22" x14ac:dyDescent="0.25">
      <c r="B11" s="30" t="s">
        <v>15</v>
      </c>
      <c r="C11" s="30"/>
      <c r="D11" s="40"/>
      <c r="E11" s="24">
        <v>230</v>
      </c>
      <c r="F11" s="13" t="s">
        <v>28</v>
      </c>
    </row>
    <row r="12" spans="1:22" x14ac:dyDescent="0.25">
      <c r="B12" s="41" t="s">
        <v>16</v>
      </c>
      <c r="C12" s="41"/>
      <c r="D12" s="41"/>
      <c r="E12" s="24">
        <v>110</v>
      </c>
      <c r="F12" s="13" t="s">
        <v>28</v>
      </c>
      <c r="V12" s="1" t="str">
        <f>CONCATENATE(E18,"mm"," ","Ø"," ","@",E46," ","c/c")</f>
        <v>16mm Ø @5.25 c/c</v>
      </c>
    </row>
    <row r="13" spans="1:22" x14ac:dyDescent="0.25">
      <c r="B13" s="41" t="s">
        <v>25</v>
      </c>
      <c r="C13" s="41"/>
      <c r="D13" s="42"/>
      <c r="E13" s="24">
        <v>0.9</v>
      </c>
      <c r="F13" s="13" t="s">
        <v>26</v>
      </c>
      <c r="V13" s="1" t="str">
        <f>CONCATENATE(E19,"mm"," ","Ø"," ","@",E47," ","c/c")</f>
        <v>16mm Ø @5.25 c/c</v>
      </c>
    </row>
    <row r="14" spans="1:22" s="9" customFormat="1" x14ac:dyDescent="0.25">
      <c r="B14" s="30" t="s">
        <v>23</v>
      </c>
      <c r="C14" s="30"/>
      <c r="D14" s="40"/>
      <c r="E14" s="25">
        <v>0</v>
      </c>
      <c r="F14" s="14" t="s">
        <v>7</v>
      </c>
    </row>
    <row r="15" spans="1:22" x14ac:dyDescent="0.25">
      <c r="B15" s="30" t="s">
        <v>19</v>
      </c>
      <c r="C15" s="30"/>
      <c r="D15" s="40"/>
      <c r="E15" s="25">
        <v>10</v>
      </c>
      <c r="F15" s="13" t="s">
        <v>8</v>
      </c>
      <c r="K15" s="10" t="s">
        <v>12</v>
      </c>
      <c r="L15" s="22">
        <f>_xlfn.CEILING.MATH(E20+E21+(E18/25.4),0.25)</f>
        <v>24.75</v>
      </c>
    </row>
    <row r="16" spans="1:22" x14ac:dyDescent="0.25">
      <c r="B16" s="30" t="s">
        <v>20</v>
      </c>
      <c r="C16" s="30"/>
      <c r="D16" s="40"/>
      <c r="E16" s="25">
        <v>18</v>
      </c>
      <c r="F16" s="13" t="s">
        <v>8</v>
      </c>
      <c r="K16" s="10" t="s">
        <v>13</v>
      </c>
      <c r="L16" s="11">
        <f>(PI()/4)*(E19/8)^2</f>
        <v>3.1415926535897931</v>
      </c>
    </row>
    <row r="17" spans="2:12" x14ac:dyDescent="0.25">
      <c r="B17" s="41" t="s">
        <v>21</v>
      </c>
      <c r="C17" s="41"/>
      <c r="D17" s="42"/>
      <c r="E17" s="25">
        <v>125</v>
      </c>
      <c r="F17" s="13" t="s">
        <v>9</v>
      </c>
      <c r="K17" s="10"/>
      <c r="L17" s="11"/>
    </row>
    <row r="18" spans="2:12" x14ac:dyDescent="0.25">
      <c r="B18" s="30" t="s">
        <v>10</v>
      </c>
      <c r="C18" s="30"/>
      <c r="D18" s="30"/>
      <c r="E18" s="25">
        <v>16</v>
      </c>
      <c r="F18" s="15" t="s">
        <v>17</v>
      </c>
      <c r="K18" s="10"/>
      <c r="L18" s="11"/>
    </row>
    <row r="19" spans="2:12" x14ac:dyDescent="0.25">
      <c r="B19" s="30" t="s">
        <v>11</v>
      </c>
      <c r="C19" s="30"/>
      <c r="D19" s="30"/>
      <c r="E19" s="25">
        <v>16</v>
      </c>
      <c r="F19" s="15" t="s">
        <v>17</v>
      </c>
      <c r="K19" s="10"/>
      <c r="L19" s="11"/>
    </row>
    <row r="20" spans="2:12" x14ac:dyDescent="0.25">
      <c r="B20" s="30" t="s">
        <v>29</v>
      </c>
      <c r="C20" s="30"/>
      <c r="D20" s="40"/>
      <c r="E20" s="25">
        <v>21</v>
      </c>
      <c r="F20" s="13" t="s">
        <v>8</v>
      </c>
    </row>
    <row r="21" spans="2:12" x14ac:dyDescent="0.25">
      <c r="B21" s="30" t="s">
        <v>18</v>
      </c>
      <c r="C21" s="30"/>
      <c r="D21" s="40"/>
      <c r="E21" s="25">
        <v>3</v>
      </c>
      <c r="F21" s="13" t="s">
        <v>8</v>
      </c>
    </row>
    <row r="22" spans="2:12" x14ac:dyDescent="0.25">
      <c r="B22" s="30" t="s">
        <v>31</v>
      </c>
      <c r="C22" s="30"/>
      <c r="D22" s="30"/>
      <c r="E22" s="25">
        <v>19.5</v>
      </c>
      <c r="F22" s="13" t="s">
        <v>7</v>
      </c>
      <c r="G22" s="43" t="s">
        <v>32</v>
      </c>
      <c r="H22" s="43"/>
    </row>
    <row r="23" spans="2:12" x14ac:dyDescent="0.25">
      <c r="B23" s="30" t="s">
        <v>33</v>
      </c>
      <c r="C23" s="30"/>
      <c r="D23" s="30"/>
      <c r="E23" s="25">
        <v>19.5</v>
      </c>
      <c r="F23" s="13" t="s">
        <v>7</v>
      </c>
      <c r="G23" s="43">
        <f>SQRT(E28)</f>
        <v>19.436506316151</v>
      </c>
      <c r="H23" s="43"/>
    </row>
    <row r="24" spans="2:12" x14ac:dyDescent="0.25">
      <c r="B24" s="6"/>
      <c r="C24" s="6"/>
      <c r="D24" s="6" t="s">
        <v>51</v>
      </c>
      <c r="E24" s="26">
        <v>0.75</v>
      </c>
      <c r="F24" s="45" t="s">
        <v>54</v>
      </c>
      <c r="G24" s="46"/>
      <c r="H24" s="16">
        <f>E42*E10/(0.85*E9*E23*12)</f>
        <v>1.1719237237364717</v>
      </c>
    </row>
    <row r="26" spans="2:12" x14ac:dyDescent="0.25">
      <c r="B26" s="44" t="s">
        <v>22</v>
      </c>
      <c r="C26" s="44"/>
      <c r="D26" s="44"/>
      <c r="E26" s="12">
        <f>E14*E17</f>
        <v>0</v>
      </c>
      <c r="F26" s="13" t="s">
        <v>9</v>
      </c>
    </row>
    <row r="27" spans="2:12" x14ac:dyDescent="0.25">
      <c r="B27" s="44" t="s">
        <v>24</v>
      </c>
      <c r="C27" s="44"/>
      <c r="D27" s="44"/>
      <c r="E27" s="12">
        <f>E13*1000-E26</f>
        <v>900</v>
      </c>
      <c r="F27" s="13" t="s">
        <v>9</v>
      </c>
    </row>
    <row r="28" spans="2:12" x14ac:dyDescent="0.25">
      <c r="B28" s="44" t="s">
        <v>27</v>
      </c>
      <c r="C28" s="44"/>
      <c r="D28" s="44"/>
      <c r="E28" s="12">
        <f>(E11+E12)*1000/E27</f>
        <v>377.77777777777777</v>
      </c>
      <c r="F28" s="13" t="s">
        <v>30</v>
      </c>
    </row>
    <row r="29" spans="2:12" x14ac:dyDescent="0.25">
      <c r="B29" s="44" t="s">
        <v>34</v>
      </c>
      <c r="C29" s="44"/>
      <c r="D29" s="44"/>
      <c r="E29" s="12">
        <f>E22*E23</f>
        <v>380.25</v>
      </c>
      <c r="F29" s="13" t="s">
        <v>30</v>
      </c>
      <c r="H29" s="16"/>
    </row>
    <row r="30" spans="2:12" x14ac:dyDescent="0.25">
      <c r="B30" s="44" t="s">
        <v>35</v>
      </c>
      <c r="C30" s="44"/>
      <c r="D30" s="44"/>
      <c r="E30" s="12">
        <f>(1.2*E11+1.6*E12)/(E22*E23)</f>
        <v>1.1886916502301117</v>
      </c>
      <c r="F30" s="13" t="s">
        <v>26</v>
      </c>
    </row>
    <row r="31" spans="2:12" x14ac:dyDescent="0.25">
      <c r="B31" s="44" t="s">
        <v>36</v>
      </c>
      <c r="C31" s="44"/>
      <c r="D31" s="44"/>
      <c r="E31" s="12">
        <f>((E15+E20)*2)+((E16+E20)*2)</f>
        <v>140</v>
      </c>
      <c r="F31" s="13" t="s">
        <v>8</v>
      </c>
    </row>
    <row r="32" spans="2:12" x14ac:dyDescent="0.25">
      <c r="B32" s="49" t="s">
        <v>38</v>
      </c>
      <c r="C32" s="49"/>
      <c r="D32" s="49"/>
      <c r="E32" s="47" t="str">
        <f>IF(E35&gt;E33,"Satisfied","Not Satisfied")</f>
        <v>Satisfied</v>
      </c>
      <c r="F32" s="48"/>
    </row>
    <row r="33" spans="2:10" x14ac:dyDescent="0.25">
      <c r="B33" s="44" t="s">
        <v>37</v>
      </c>
      <c r="C33" s="44"/>
      <c r="D33" s="44"/>
      <c r="E33" s="12">
        <f>E30*((E22*E23)-((E15+E20)/12)*((E16+E20)/12))</f>
        <v>442.01994301994301</v>
      </c>
      <c r="F33" s="13" t="s">
        <v>28</v>
      </c>
    </row>
    <row r="34" spans="2:10" x14ac:dyDescent="0.25">
      <c r="B34" s="44" t="s">
        <v>39</v>
      </c>
      <c r="C34" s="44"/>
      <c r="D34" s="44"/>
      <c r="E34" s="12">
        <f>4*SQRT(E9)*E31*E20/1000</f>
        <v>622.28070836239169</v>
      </c>
      <c r="F34" s="13" t="s">
        <v>28</v>
      </c>
    </row>
    <row r="35" spans="2:10" x14ac:dyDescent="0.25">
      <c r="B35" s="44" t="s">
        <v>40</v>
      </c>
      <c r="C35" s="44"/>
      <c r="D35" s="44"/>
      <c r="E35" s="12">
        <f>0.75*E34</f>
        <v>466.7105312717938</v>
      </c>
      <c r="F35" s="13" t="s">
        <v>28</v>
      </c>
    </row>
    <row r="36" spans="2:10" x14ac:dyDescent="0.25">
      <c r="B36" s="49" t="s">
        <v>41</v>
      </c>
      <c r="C36" s="49"/>
      <c r="D36" s="49"/>
      <c r="E36" s="47" t="str">
        <f>IF(E39&gt;E37,"Satisfied","Not Satisfied")</f>
        <v>Satisfied</v>
      </c>
      <c r="F36" s="48"/>
      <c r="G36" s="10"/>
      <c r="H36" s="10"/>
      <c r="I36" s="10"/>
      <c r="J36" s="10"/>
    </row>
    <row r="37" spans="2:10" x14ac:dyDescent="0.25">
      <c r="B37" s="44" t="s">
        <v>44</v>
      </c>
      <c r="C37" s="44"/>
      <c r="D37" s="44"/>
      <c r="E37" s="12">
        <f>E30*H37*E23</f>
        <v>175.7777777777778</v>
      </c>
      <c r="F37" s="13" t="s">
        <v>28</v>
      </c>
      <c r="G37" s="10" t="s">
        <v>43</v>
      </c>
      <c r="H37" s="19">
        <f>E22-((E22/2)+(E15/(2*12))+E20/12)</f>
        <v>7.5833333333333339</v>
      </c>
      <c r="I37" s="10"/>
      <c r="J37" s="10"/>
    </row>
    <row r="38" spans="2:10" x14ac:dyDescent="0.25">
      <c r="B38" s="44" t="s">
        <v>39</v>
      </c>
      <c r="C38" s="44"/>
      <c r="D38" s="44"/>
      <c r="E38" s="12">
        <f>2*SQRT(E9)*E23*12*E20/1000</f>
        <v>520.04887770285586</v>
      </c>
      <c r="F38" s="13" t="s">
        <v>28</v>
      </c>
      <c r="G38" s="10" t="s">
        <v>42</v>
      </c>
      <c r="H38" s="19">
        <f>E23-((E23/2)+(E16/(2*12))+E20/12)</f>
        <v>7.25</v>
      </c>
      <c r="I38" s="10"/>
      <c r="J38" s="10"/>
    </row>
    <row r="39" spans="2:10" x14ac:dyDescent="0.25">
      <c r="B39" s="44" t="s">
        <v>40</v>
      </c>
      <c r="C39" s="44"/>
      <c r="D39" s="44"/>
      <c r="E39" s="12">
        <f>0.75*E38</f>
        <v>390.0366582771419</v>
      </c>
      <c r="F39" s="13" t="s">
        <v>28</v>
      </c>
      <c r="G39" s="10"/>
      <c r="H39" s="10"/>
      <c r="I39" s="10"/>
      <c r="J39" s="10"/>
    </row>
    <row r="40" spans="2:10" x14ac:dyDescent="0.25">
      <c r="B40" s="49" t="s">
        <v>55</v>
      </c>
      <c r="C40" s="49"/>
      <c r="D40" s="49"/>
      <c r="E40" s="47"/>
      <c r="F40" s="48"/>
      <c r="G40" s="10"/>
      <c r="H40" s="10"/>
      <c r="I40" s="20" t="s">
        <v>48</v>
      </c>
      <c r="J40" s="21">
        <f>0.9*E10*E10</f>
        <v>4730625000</v>
      </c>
    </row>
    <row r="41" spans="2:10" x14ac:dyDescent="0.25">
      <c r="B41" s="44" t="s">
        <v>46</v>
      </c>
      <c r="C41" s="44"/>
      <c r="D41" s="44"/>
      <c r="E41" s="12">
        <f>E30*E23*H41*H41*12/2</f>
        <v>12115.145299145301</v>
      </c>
      <c r="F41" s="13" t="s">
        <v>47</v>
      </c>
      <c r="G41" s="10" t="s">
        <v>45</v>
      </c>
      <c r="H41" s="19">
        <f>(E22/2)-(E15/(2*12))</f>
        <v>9.3333333333333339</v>
      </c>
      <c r="I41" s="20" t="s">
        <v>49</v>
      </c>
      <c r="J41" s="21">
        <f>-(1.7*0.9*E9*E10*E20*12)</f>
        <v>-78268680000</v>
      </c>
    </row>
    <row r="42" spans="2:10" x14ac:dyDescent="0.25">
      <c r="B42" s="44" t="s">
        <v>52</v>
      </c>
      <c r="C42" s="44"/>
      <c r="D42" s="44"/>
      <c r="E42" s="12">
        <f>E41*1000/(0.9*E10*(E20-(E24/2)))</f>
        <v>9.0023139341147012</v>
      </c>
      <c r="F42" s="13" t="s">
        <v>53</v>
      </c>
      <c r="G42" s="10"/>
      <c r="H42" s="10"/>
      <c r="I42" s="20" t="s">
        <v>50</v>
      </c>
      <c r="J42" s="21">
        <f>1.7*E9*12*E41*12</f>
        <v>8304205193.8461542</v>
      </c>
    </row>
    <row r="43" spans="2:10" x14ac:dyDescent="0.25">
      <c r="B43" s="44" t="s">
        <v>56</v>
      </c>
      <c r="C43" s="44"/>
      <c r="D43" s="44"/>
      <c r="E43" s="12">
        <f>3*SQRT(E9)*E23*12*E20/E10</f>
        <v>10.75963195247288</v>
      </c>
      <c r="F43" s="13" t="s">
        <v>53</v>
      </c>
      <c r="G43" s="10"/>
      <c r="H43" s="10"/>
      <c r="I43" s="10"/>
      <c r="J43" s="10"/>
    </row>
    <row r="44" spans="2:10" x14ac:dyDescent="0.25">
      <c r="B44" s="44" t="s">
        <v>57</v>
      </c>
      <c r="C44" s="44"/>
      <c r="D44" s="44"/>
      <c r="E44" s="12">
        <f>200*E23*12*E20/E10</f>
        <v>13.555862068965517</v>
      </c>
      <c r="F44" s="13" t="s">
        <v>53</v>
      </c>
    </row>
    <row r="45" spans="2:10" x14ac:dyDescent="0.25">
      <c r="B45" s="44" t="s">
        <v>58</v>
      </c>
      <c r="C45" s="44"/>
      <c r="D45" s="44"/>
      <c r="E45" s="12">
        <f>MAX(E42:E44)</f>
        <v>13.555862068965517</v>
      </c>
      <c r="F45" s="13" t="s">
        <v>53</v>
      </c>
    </row>
    <row r="46" spans="2:10" x14ac:dyDescent="0.25">
      <c r="B46" s="36" t="s">
        <v>61</v>
      </c>
      <c r="C46" s="37"/>
      <c r="D46" s="38"/>
      <c r="E46" s="17">
        <f>_xlfn.FLOOR.MATH((((E23*12)-(E21*2))/((E45/((3.1416/4)*(E18/25.4)^2))-1)),0.25)</f>
        <v>5.25</v>
      </c>
      <c r="F46" s="18" t="s">
        <v>59</v>
      </c>
    </row>
    <row r="47" spans="2:10" x14ac:dyDescent="0.25">
      <c r="B47" s="36" t="s">
        <v>60</v>
      </c>
      <c r="C47" s="37"/>
      <c r="D47" s="38"/>
      <c r="E47" s="17">
        <f>_xlfn.FLOOR.MATH((((E23*12)-(E21*2))/((E45/((3.1416/4)*(E19/25.4)^2))-1)),0.25)</f>
        <v>5.25</v>
      </c>
      <c r="F47" s="18" t="s">
        <v>59</v>
      </c>
    </row>
  </sheetData>
  <sheetProtection algorithmName="SHA-512" hashValue="KJ8verCnjO7fbh8e5zGzzSWkAdX8rSzl1iw/+SNPB0IzsKiVjBea7122n9msgzRBp+aWbFQJ9m3Vu5RqHTUrGA==" saltValue="/9W9pxWyoFEjqRfCDuv5rw==" spinCount="100000" sheet="1" selectLockedCells="1"/>
  <mergeCells count="45">
    <mergeCell ref="B45:D45"/>
    <mergeCell ref="B46:D46"/>
    <mergeCell ref="B41:D41"/>
    <mergeCell ref="B42:D42"/>
    <mergeCell ref="B43:D43"/>
    <mergeCell ref="B44:D44"/>
    <mergeCell ref="E40:F40"/>
    <mergeCell ref="B34:D34"/>
    <mergeCell ref="B35:D35"/>
    <mergeCell ref="E32:F32"/>
    <mergeCell ref="B36:D36"/>
    <mergeCell ref="E36:F36"/>
    <mergeCell ref="B33:D33"/>
    <mergeCell ref="B37:D37"/>
    <mergeCell ref="B38:D38"/>
    <mergeCell ref="B39:D39"/>
    <mergeCell ref="B40:D40"/>
    <mergeCell ref="B32:D32"/>
    <mergeCell ref="B31:D31"/>
    <mergeCell ref="B27:D27"/>
    <mergeCell ref="B28:D28"/>
    <mergeCell ref="B23:D23"/>
    <mergeCell ref="B22:D22"/>
    <mergeCell ref="G22:H22"/>
    <mergeCell ref="G23:H23"/>
    <mergeCell ref="B29:D29"/>
    <mergeCell ref="B30:D30"/>
    <mergeCell ref="B26:D26"/>
    <mergeCell ref="F24:G24"/>
    <mergeCell ref="A1:N1"/>
    <mergeCell ref="A2:N2"/>
    <mergeCell ref="A3:N3"/>
    <mergeCell ref="B47:D47"/>
    <mergeCell ref="B19:D19"/>
    <mergeCell ref="B5:D5"/>
    <mergeCell ref="B11:D11"/>
    <mergeCell ref="B12:D12"/>
    <mergeCell ref="B18:D18"/>
    <mergeCell ref="B13:D13"/>
    <mergeCell ref="B14:D14"/>
    <mergeCell ref="B15:D15"/>
    <mergeCell ref="B16:D16"/>
    <mergeCell ref="B20:D20"/>
    <mergeCell ref="B21:D21"/>
    <mergeCell ref="B17:D17"/>
  </mergeCells>
  <phoneticPr fontId="6" type="noConversion"/>
  <hyperlinks>
    <hyperlink ref="A3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 &amp; Instruction </vt:lpstr>
      <vt:lpstr>V1.1 (Updated 08-09-2023)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2025-03-24T12:49:19Z</dcterms:modified>
</cp:coreProperties>
</file>