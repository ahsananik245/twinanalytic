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 activeTab="1"/>
  </bookViews>
  <sheets>
    <sheet name="Video &amp; Instruction " sheetId="6" r:id="rId1"/>
    <sheet name="V1.3 (Updated 03-2025)" sheetId="1" r:id="rId2"/>
    <sheet name="Slab Min Thickness Calculation" sheetId="5" state="hidden" r:id="rId3"/>
    <sheet name="Coefficients For  N M" sheetId="3" state="hidden" r:id="rId4"/>
    <sheet name="Coefficients For DL P M " sheetId="2" state="hidden" r:id="rId5"/>
    <sheet name="Coefficients For LL P M " sheetId="4" state="hidden" r:id="rId6"/>
  </sheets>
  <externalReferences>
    <externalReference r:id="rId7"/>
  </externalReferences>
  <definedNames>
    <definedName name="framesystem">[1]Sheet3!$B$39:$B$45</definedName>
  </definedNames>
  <calcPr calcId="162913"/>
</workbook>
</file>

<file path=xl/calcChain.xml><?xml version="1.0" encoding="utf-8"?>
<calcChain xmlns="http://schemas.openxmlformats.org/spreadsheetml/2006/main">
  <c r="C16" i="1" l="1"/>
  <c r="G15" i="1"/>
  <c r="C8" i="5" l="1"/>
  <c r="C7" i="5"/>
  <c r="D12" i="5" s="1"/>
  <c r="C4" i="5"/>
  <c r="C5" i="5"/>
  <c r="D19" i="5"/>
  <c r="D20" i="5"/>
  <c r="C6" i="5"/>
  <c r="D11" i="5" s="1"/>
  <c r="D23" i="5" l="1"/>
  <c r="D18" i="5"/>
  <c r="D22" i="5" s="1"/>
  <c r="D16" i="5" l="1"/>
  <c r="D14" i="5"/>
  <c r="D28" i="5" s="1"/>
  <c r="D17" i="5" l="1"/>
  <c r="D27" i="5"/>
  <c r="D21" i="5" l="1"/>
  <c r="D26" i="5" s="1"/>
  <c r="D29" i="5" s="1"/>
  <c r="D30" i="5"/>
  <c r="G33" i="5" s="1"/>
  <c r="R11" i="4"/>
  <c r="Q11" i="3"/>
  <c r="R11" i="2"/>
  <c r="E32" i="1"/>
  <c r="E33" i="1" s="1"/>
  <c r="Q9" i="3" s="1"/>
  <c r="D18" i="1"/>
  <c r="D5" i="1"/>
  <c r="D4" i="1"/>
  <c r="G32" i="5" l="1"/>
  <c r="D35" i="5" s="1"/>
  <c r="F24" i="1" s="1"/>
  <c r="E29" i="5"/>
  <c r="Q12" i="3" a="1"/>
  <c r="Q12" i="3" s="1"/>
  <c r="G35" i="1" s="1"/>
  <c r="R9" i="2"/>
  <c r="R12" i="2" s="1" a="1"/>
  <c r="R12" i="2" s="1"/>
  <c r="I35" i="1" s="1"/>
  <c r="R9" i="4"/>
  <c r="R12" i="4" s="1" a="1"/>
  <c r="R12" i="4" s="1"/>
  <c r="L35" i="1" s="1"/>
  <c r="E34" i="1"/>
  <c r="M18" i="1" l="1"/>
  <c r="H24" i="1"/>
  <c r="D29" i="1" s="1"/>
  <c r="C46" i="1" s="1"/>
  <c r="R10" i="2"/>
  <c r="R13" i="2" s="1" a="1"/>
  <c r="R13" i="2" s="1"/>
  <c r="K35" i="1" s="1"/>
  <c r="R10" i="4"/>
  <c r="R13" i="4" s="1" a="1"/>
  <c r="R13" i="4" s="1"/>
  <c r="M35" i="1" s="1"/>
  <c r="Q10" i="3"/>
  <c r="Q13" i="3" s="1" a="1"/>
  <c r="Q13" i="3" s="1"/>
  <c r="H35" i="1" s="1"/>
  <c r="M56" i="1" l="1"/>
  <c r="D30" i="1"/>
  <c r="C45" i="1" s="1"/>
  <c r="C42" i="1"/>
  <c r="D55" i="1"/>
  <c r="E5" i="1"/>
  <c r="E4" i="1"/>
  <c r="C41" i="1" l="1"/>
  <c r="C19" i="1"/>
  <c r="C18" i="1"/>
  <c r="D26" i="1" l="1"/>
  <c r="D27" i="1" s="1"/>
  <c r="C20" i="1"/>
  <c r="C21" i="1" s="1"/>
  <c r="C65" i="1" l="1"/>
  <c r="C64" i="1"/>
  <c r="C59" i="1"/>
  <c r="C22" i="1"/>
  <c r="C49" i="1" l="1"/>
  <c r="G60" i="1"/>
  <c r="C50" i="1"/>
  <c r="C70" i="1" s="1"/>
  <c r="C60" i="1"/>
  <c r="G57" i="1" s="1"/>
  <c r="E44" i="1"/>
  <c r="E41" i="1"/>
  <c r="C72" i="1" l="1"/>
  <c r="F40" i="1"/>
  <c r="G43" i="1" s="1"/>
  <c r="F26" i="1" s="1"/>
  <c r="I60" i="1"/>
  <c r="I57" i="1"/>
  <c r="I43" i="1" l="1"/>
  <c r="L69" i="1"/>
  <c r="R65" i="1" s="1"/>
  <c r="S65" i="1" s="1"/>
  <c r="T65" i="1" s="1"/>
  <c r="L70" i="1" s="1"/>
  <c r="G69" i="1"/>
  <c r="R63" i="1" s="1"/>
  <c r="S63" i="1" s="1"/>
  <c r="T63" i="1" s="1"/>
  <c r="G70" i="1" s="1"/>
  <c r="G65" i="1"/>
  <c r="R62" i="1" s="1"/>
  <c r="S62" i="1" s="1"/>
  <c r="T62" i="1" s="1"/>
  <c r="G66" i="1" s="1"/>
  <c r="L65" i="1"/>
  <c r="R64" i="1" s="1"/>
  <c r="S64" i="1" s="1"/>
  <c r="T64" i="1" s="1"/>
  <c r="L66" i="1" s="1"/>
</calcChain>
</file>

<file path=xl/sharedStrings.xml><?xml version="1.0" encoding="utf-8"?>
<sst xmlns="http://schemas.openxmlformats.org/spreadsheetml/2006/main" count="365" uniqueCount="169">
  <si>
    <t>Materials Properties:</t>
  </si>
  <si>
    <t>Converted Data</t>
  </si>
  <si>
    <t>Main Data</t>
  </si>
  <si>
    <t>psi</t>
  </si>
  <si>
    <t>f'c =</t>
  </si>
  <si>
    <t xml:space="preserve">fy = </t>
  </si>
  <si>
    <t>Given data(PSI)</t>
  </si>
  <si>
    <t>ft</t>
  </si>
  <si>
    <t>Longer  Direction length ,B =</t>
  </si>
  <si>
    <t>Shorter  Direction length ,A =</t>
  </si>
  <si>
    <t>Thickness=</t>
  </si>
  <si>
    <r>
      <t xml:space="preserve">in       </t>
    </r>
    <r>
      <rPr>
        <sz val="11"/>
        <color theme="1"/>
        <rFont val="Symbol"/>
        <family val="1"/>
        <charset val="2"/>
      </rPr>
      <t>»</t>
    </r>
  </si>
  <si>
    <t>in</t>
  </si>
  <si>
    <t>psf</t>
  </si>
  <si>
    <t xml:space="preserve">Load Form Wall  </t>
  </si>
  <si>
    <t>Length=</t>
  </si>
  <si>
    <t>Hight=</t>
  </si>
  <si>
    <t xml:space="preserve">ft </t>
  </si>
  <si>
    <t>Live Load ,L.L=</t>
  </si>
  <si>
    <t>Dead Load,DL=</t>
  </si>
  <si>
    <t>Total Load, W =</t>
  </si>
  <si>
    <t>Moment Coefficient Ratio, m =</t>
  </si>
  <si>
    <t>CA DL</t>
  </si>
  <si>
    <t>CA LL</t>
  </si>
  <si>
    <t>CA neg</t>
  </si>
  <si>
    <t>CB neg</t>
  </si>
  <si>
    <t xml:space="preserve">CB DL </t>
  </si>
  <si>
    <t>CB LL</t>
  </si>
  <si>
    <t>Final Value of moment coefficient</t>
  </si>
  <si>
    <t>Moment  Calculation</t>
  </si>
  <si>
    <r>
      <t>M</t>
    </r>
    <r>
      <rPr>
        <sz val="8"/>
        <color theme="1"/>
        <rFont val="Calibri"/>
        <family val="2"/>
        <scheme val="minor"/>
      </rPr>
      <t>Bneg</t>
    </r>
    <r>
      <rPr>
        <sz val="12"/>
        <color theme="1"/>
        <rFont val="Calibri"/>
        <family val="2"/>
        <scheme val="minor"/>
      </rPr>
      <t>=</t>
    </r>
  </si>
  <si>
    <t>lb-ft</t>
  </si>
  <si>
    <r>
      <t>M</t>
    </r>
    <r>
      <rPr>
        <sz val="8"/>
        <color theme="1"/>
        <rFont val="Calibri"/>
        <family val="2"/>
        <scheme val="minor"/>
      </rPr>
      <t>BPos</t>
    </r>
    <r>
      <rPr>
        <sz val="12"/>
        <color theme="1"/>
        <rFont val="Calibri"/>
        <family val="2"/>
        <scheme val="minor"/>
      </rPr>
      <t>=</t>
    </r>
  </si>
  <si>
    <r>
      <t>M</t>
    </r>
    <r>
      <rPr>
        <sz val="8"/>
        <color theme="1"/>
        <rFont val="Calibri"/>
        <family val="2"/>
        <scheme val="minor"/>
      </rPr>
      <t>Aneg</t>
    </r>
    <r>
      <rPr>
        <sz val="12"/>
        <color theme="1"/>
        <rFont val="Calibri"/>
        <family val="2"/>
        <scheme val="minor"/>
      </rPr>
      <t>=</t>
    </r>
  </si>
  <si>
    <r>
      <t>M</t>
    </r>
    <r>
      <rPr>
        <sz val="8"/>
        <color theme="1"/>
        <rFont val="Calibri"/>
        <family val="2"/>
        <scheme val="minor"/>
      </rPr>
      <t>APos</t>
    </r>
    <r>
      <rPr>
        <sz val="12"/>
        <color theme="1"/>
        <rFont val="Calibri"/>
        <family val="2"/>
        <scheme val="minor"/>
      </rPr>
      <t>=</t>
    </r>
  </si>
  <si>
    <t>For Longer Direction (B),</t>
  </si>
  <si>
    <t>For Shorter Direction(A),</t>
  </si>
  <si>
    <t>Momenrt for Discontinous End,</t>
  </si>
  <si>
    <t>Depth Check</t>
  </si>
  <si>
    <t>n=</t>
  </si>
  <si>
    <t>r=</t>
  </si>
  <si>
    <t>k=</t>
  </si>
  <si>
    <t>j=</t>
  </si>
  <si>
    <t>R=</t>
  </si>
  <si>
    <t>Max Moment,</t>
  </si>
  <si>
    <t>M max=</t>
  </si>
  <si>
    <r>
      <t xml:space="preserve">d </t>
    </r>
    <r>
      <rPr>
        <sz val="8"/>
        <color theme="1"/>
        <rFont val="Calibri"/>
        <family val="2"/>
        <scheme val="minor"/>
      </rPr>
      <t>(provided)</t>
    </r>
    <r>
      <rPr>
        <sz val="11"/>
        <color theme="1"/>
        <rFont val="Calibri"/>
        <family val="2"/>
        <scheme val="minor"/>
      </rPr>
      <t>=</t>
    </r>
  </si>
  <si>
    <t>Number of provided Bar=</t>
  </si>
  <si>
    <t>Reinforcement Calculation:</t>
  </si>
  <si>
    <t>Shorter--&gt;</t>
  </si>
  <si>
    <t>Longer--&gt;</t>
  </si>
  <si>
    <t>For Shorter Direction</t>
  </si>
  <si>
    <t>As neg=</t>
  </si>
  <si>
    <t>in^2</t>
  </si>
  <si>
    <t>As pos=</t>
  </si>
  <si>
    <t>For Longer Direction</t>
  </si>
  <si>
    <t>d(requred)=</t>
  </si>
  <si>
    <t>At Discontinious End</t>
  </si>
  <si>
    <t>As neg A=</t>
  </si>
  <si>
    <t>As neg B=</t>
  </si>
  <si>
    <t>Speacing Calculation for mid-span:</t>
  </si>
  <si>
    <t>For Shorter Direction:</t>
  </si>
  <si>
    <r>
      <rPr>
        <sz val="14"/>
        <color theme="1"/>
        <rFont val="Calibri"/>
        <family val="2"/>
        <scheme val="minor"/>
      </rPr>
      <t>S</t>
    </r>
    <r>
      <rPr>
        <sz val="9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=</t>
    </r>
  </si>
  <si>
    <t>For longer Direction:</t>
  </si>
  <si>
    <t>Extra top calculation:</t>
  </si>
  <si>
    <t>For Short Direction:</t>
  </si>
  <si>
    <t>As Provided=</t>
  </si>
  <si>
    <t>Extra Top</t>
  </si>
  <si>
    <t>(continuous End)</t>
  </si>
  <si>
    <t>Nos</t>
  </si>
  <si>
    <t>For Longer Direction:</t>
  </si>
  <si>
    <t>(Dis-continuous End)</t>
  </si>
  <si>
    <t>Minmum Reinforcement=</t>
  </si>
  <si>
    <r>
      <rPr>
        <b/>
        <sz val="26"/>
        <color rgb="FF00B050"/>
        <rFont val="Calibri"/>
        <family val="2"/>
        <scheme val="minor"/>
      </rPr>
      <t>Input the provided value In</t>
    </r>
    <r>
      <rPr>
        <b/>
        <sz val="26"/>
        <color theme="1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Blue Box</t>
    </r>
  </si>
  <si>
    <t>Max Speacing: 2 t =</t>
  </si>
  <si>
    <t>Case 1</t>
  </si>
  <si>
    <t>Case 2</t>
  </si>
  <si>
    <t>Case 3</t>
  </si>
  <si>
    <t>Case 4</t>
  </si>
  <si>
    <t>Case 5</t>
  </si>
  <si>
    <t>Case 6</t>
  </si>
  <si>
    <t>Case 7</t>
  </si>
  <si>
    <t>Case 8</t>
  </si>
  <si>
    <t>Case 9</t>
  </si>
  <si>
    <t>Ca,dl</t>
  </si>
  <si>
    <t>Cb,dl</t>
  </si>
  <si>
    <t>Ca,neg</t>
  </si>
  <si>
    <t>Cb,neg</t>
  </si>
  <si>
    <t>Ca,ll</t>
  </si>
  <si>
    <t>Cb,ll</t>
  </si>
  <si>
    <t>m</t>
  </si>
  <si>
    <t>m for Ca=</t>
  </si>
  <si>
    <t>m for Cb=</t>
  </si>
  <si>
    <t>SDL (FF)=</t>
  </si>
  <si>
    <r>
      <rPr>
        <sz val="9"/>
        <color rgb="FFC00000"/>
        <rFont val="Calibri"/>
        <family val="2"/>
        <scheme val="minor"/>
      </rPr>
      <t xml:space="preserve">This Is Devoloped By, </t>
    </r>
    <r>
      <rPr>
        <sz val="11"/>
        <color rgb="FFC00000"/>
        <rFont val="Calibri"/>
        <family val="2"/>
        <scheme val="minor"/>
      </rPr>
      <t>Engr Hedaetullah                 Dept. Of Civil Engg.    TEC(RU)  +8801763603339</t>
    </r>
  </si>
  <si>
    <t>Select your Slab Case-</t>
  </si>
  <si>
    <t>Ca (m)</t>
  </si>
  <si>
    <t>Cb (m)</t>
  </si>
  <si>
    <t>Case</t>
  </si>
  <si>
    <t>† A crosshatched edge indicates that the slab continues across, or is fixed at the support; an unmarked edge indicates a support at which torsional resistance is negligible.</t>
  </si>
  <si>
    <t>#</t>
  </si>
  <si>
    <t>(clear span measured in long direction face to face of column or face to face of beam )</t>
  </si>
  <si>
    <t>(clear span measured in short direction face to face of column or face to face of beam )</t>
  </si>
  <si>
    <t>fy=</t>
  </si>
  <si>
    <t>Yield Stress</t>
  </si>
  <si>
    <t>Slab Thickness (Trail)=</t>
  </si>
  <si>
    <r>
      <t>Width of Beam (b</t>
    </r>
    <r>
      <rPr>
        <sz val="8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)=</t>
    </r>
  </si>
  <si>
    <r>
      <t>Higth of Beam (b</t>
    </r>
    <r>
      <rPr>
        <sz val="8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)=</t>
    </r>
  </si>
  <si>
    <t>bw=</t>
  </si>
  <si>
    <t>=</t>
  </si>
  <si>
    <r>
      <t xml:space="preserve">For Edge Beam, </t>
    </r>
    <r>
      <rPr>
        <b/>
        <sz val="11"/>
        <rFont val="Calibri"/>
        <family val="2"/>
        <scheme val="minor"/>
      </rPr>
      <t>I</t>
    </r>
    <r>
      <rPr>
        <b/>
        <vertAlign val="subscript"/>
        <sz val="11"/>
        <rFont val="Calibri"/>
        <family val="2"/>
        <scheme val="minor"/>
      </rPr>
      <t>b</t>
    </r>
  </si>
  <si>
    <r>
      <t>in</t>
    </r>
    <r>
      <rPr>
        <vertAlign val="superscript"/>
        <sz val="11"/>
        <color theme="1"/>
        <rFont val="Calibri"/>
        <family val="2"/>
        <scheme val="minor"/>
      </rPr>
      <t>4</t>
    </r>
  </si>
  <si>
    <r>
      <t xml:space="preserve">For Interior Beam, </t>
    </r>
    <r>
      <rPr>
        <b/>
        <sz val="11"/>
        <rFont val="Calibri"/>
        <family val="2"/>
        <scheme val="minor"/>
      </rPr>
      <t>I</t>
    </r>
    <r>
      <rPr>
        <b/>
        <vertAlign val="subscript"/>
        <sz val="11"/>
        <rFont val="Calibri"/>
        <family val="2"/>
        <scheme val="minor"/>
      </rPr>
      <t>b</t>
    </r>
  </si>
  <si>
    <t>Slab, L</t>
  </si>
  <si>
    <t>Slab, S</t>
  </si>
  <si>
    <t>X</t>
  </si>
  <si>
    <t>Slab, thickness(trial)</t>
  </si>
  <si>
    <t>Relative Stiffness, α</t>
  </si>
  <si>
    <r>
      <t>E</t>
    </r>
    <r>
      <rPr>
        <b/>
        <vertAlign val="subscript"/>
        <sz val="12"/>
        <color rgb="FF000000"/>
        <rFont val="Calibri"/>
        <family val="2"/>
        <scheme val="minor"/>
      </rPr>
      <t>cb</t>
    </r>
    <r>
      <rPr>
        <b/>
        <sz val="12"/>
        <color rgb="FF000000"/>
        <rFont val="Calibri"/>
        <family val="2"/>
        <scheme val="minor"/>
      </rPr>
      <t>I</t>
    </r>
    <r>
      <rPr>
        <b/>
        <vertAlign val="subscript"/>
        <sz val="12"/>
        <color rgb="FF000000"/>
        <rFont val="Calibri"/>
        <family val="2"/>
        <scheme val="minor"/>
      </rPr>
      <t>b</t>
    </r>
    <r>
      <rPr>
        <b/>
        <sz val="12"/>
        <color rgb="FF000000"/>
        <rFont val="Calibri"/>
        <family val="2"/>
        <scheme val="minor"/>
      </rPr>
      <t xml:space="preserve"> / E</t>
    </r>
    <r>
      <rPr>
        <b/>
        <vertAlign val="subscript"/>
        <sz val="12"/>
        <color rgb="FF000000"/>
        <rFont val="Calibri"/>
        <family val="2"/>
        <scheme val="minor"/>
      </rPr>
      <t>cs</t>
    </r>
    <r>
      <rPr>
        <b/>
        <sz val="12"/>
        <color rgb="FF000000"/>
        <rFont val="Calibri"/>
        <family val="2"/>
        <scheme val="minor"/>
      </rPr>
      <t>I</t>
    </r>
    <r>
      <rPr>
        <b/>
        <vertAlign val="subscript"/>
        <sz val="12"/>
        <color rgb="FF000000"/>
        <rFont val="Calibri"/>
        <family val="2"/>
        <scheme val="minor"/>
      </rPr>
      <t xml:space="preserve">s </t>
    </r>
  </si>
  <si>
    <t xml:space="preserve"> For Slab(L)     α1</t>
  </si>
  <si>
    <t>For Slab(S)      α2</t>
  </si>
  <si>
    <t>For Slab(X)      α3</t>
  </si>
  <si>
    <t>So,Average  α</t>
  </si>
  <si>
    <t>β</t>
  </si>
  <si>
    <r>
      <t>If, α&lt;2 then h</t>
    </r>
    <r>
      <rPr>
        <vertAlign val="subscript"/>
        <sz val="11"/>
        <color theme="1"/>
        <rFont val="Calibri"/>
        <family val="2"/>
        <scheme val="minor"/>
      </rPr>
      <t>min</t>
    </r>
  </si>
  <si>
    <r>
      <t>If,α&gt;2 then h</t>
    </r>
    <r>
      <rPr>
        <vertAlign val="subscript"/>
        <sz val="11"/>
        <color theme="1"/>
        <rFont val="Calibri"/>
        <family val="2"/>
        <scheme val="minor"/>
      </rPr>
      <t>min</t>
    </r>
  </si>
  <si>
    <r>
      <t>L</t>
    </r>
    <r>
      <rPr>
        <b/>
        <sz val="9"/>
        <color theme="1"/>
        <rFont val="Calibri"/>
        <family val="2"/>
        <scheme val="minor"/>
      </rPr>
      <t>b</t>
    </r>
    <r>
      <rPr>
        <b/>
        <sz val="11"/>
        <color theme="1"/>
        <rFont val="Calibri"/>
        <family val="2"/>
        <scheme val="minor"/>
      </rPr>
      <t>=</t>
    </r>
  </si>
  <si>
    <r>
      <rPr>
        <b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a=</t>
    </r>
  </si>
  <si>
    <t>Width of Beam</t>
  </si>
  <si>
    <t>Depth of Beam</t>
  </si>
  <si>
    <r>
      <t>Width of Beam (b</t>
    </r>
    <r>
      <rPr>
        <sz val="9"/>
        <color theme="1"/>
        <rFont val="Calibri"/>
        <family val="2"/>
        <scheme val="minor"/>
      </rPr>
      <t>w)</t>
    </r>
  </si>
  <si>
    <r>
      <t>Depth of Beam(b</t>
    </r>
    <r>
      <rPr>
        <sz val="9"/>
        <color theme="1"/>
        <rFont val="Calibri"/>
        <family val="2"/>
        <scheme val="minor"/>
      </rPr>
      <t>h)</t>
    </r>
  </si>
  <si>
    <r>
      <t xml:space="preserve">(As </t>
    </r>
    <r>
      <rPr>
        <b/>
        <sz val="11"/>
        <color rgb="FF0070C0"/>
        <rFont val="Calibri"/>
        <family val="2"/>
        <scheme val="minor"/>
      </rPr>
      <t>L</t>
    </r>
    <r>
      <rPr>
        <sz val="11"/>
        <color rgb="FF0070C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beam)</t>
    </r>
  </si>
  <si>
    <r>
      <t xml:space="preserve">(As </t>
    </r>
    <r>
      <rPr>
        <b/>
        <sz val="11"/>
        <color rgb="FF0070C0"/>
        <rFont val="Calibri"/>
        <family val="2"/>
        <scheme val="minor"/>
      </rPr>
      <t>T</t>
    </r>
    <r>
      <rPr>
        <sz val="11"/>
        <color rgb="FF0070C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beam)</t>
    </r>
  </si>
  <si>
    <r>
      <t>1.5*(bh</t>
    </r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/12)</t>
    </r>
  </si>
  <si>
    <r>
      <t>2*(bh</t>
    </r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/12)</t>
    </r>
  </si>
  <si>
    <t xml:space="preserve"> Half of the Continuous Panel X=</t>
  </si>
  <si>
    <r>
      <rPr>
        <sz val="12"/>
        <color theme="0"/>
        <rFont val="Calibri"/>
        <family val="2"/>
        <scheme val="minor"/>
      </rPr>
      <t>b</t>
    </r>
    <r>
      <rPr>
        <sz val="8"/>
        <color theme="0"/>
        <rFont val="Calibri"/>
        <family val="2"/>
        <scheme val="minor"/>
      </rPr>
      <t>h</t>
    </r>
    <r>
      <rPr>
        <sz val="11"/>
        <color theme="0"/>
        <rFont val="Calibri"/>
        <family val="2"/>
        <scheme val="minor"/>
      </rPr>
      <t>=</t>
    </r>
  </si>
  <si>
    <r>
      <t>I</t>
    </r>
    <r>
      <rPr>
        <b/>
        <vertAlign val="subscript"/>
        <sz val="12"/>
        <color theme="0"/>
        <rFont val="Calibri"/>
        <family val="2"/>
        <scheme val="minor"/>
      </rPr>
      <t>s1</t>
    </r>
  </si>
  <si>
    <r>
      <t>in</t>
    </r>
    <r>
      <rPr>
        <vertAlign val="superscript"/>
        <sz val="11"/>
        <color theme="0"/>
        <rFont val="Calibri"/>
        <family val="2"/>
        <scheme val="minor"/>
      </rPr>
      <t>4</t>
    </r>
  </si>
  <si>
    <r>
      <t>I</t>
    </r>
    <r>
      <rPr>
        <b/>
        <vertAlign val="subscript"/>
        <sz val="12"/>
        <color theme="0"/>
        <rFont val="Calibri"/>
        <family val="2"/>
        <scheme val="minor"/>
      </rPr>
      <t>s2</t>
    </r>
    <r>
      <rPr>
        <sz val="11"/>
        <color theme="1"/>
        <rFont val="Calibri"/>
        <family val="2"/>
        <scheme val="minor"/>
      </rPr>
      <t/>
    </r>
  </si>
  <si>
    <r>
      <rPr>
        <sz val="12"/>
        <color theme="0"/>
        <rFont val="Calibri"/>
        <family val="2"/>
        <scheme val="minor"/>
      </rPr>
      <t xml:space="preserve">For Edge (X)    </t>
    </r>
    <r>
      <rPr>
        <b/>
        <sz val="12"/>
        <color theme="0"/>
        <rFont val="Calibri"/>
        <family val="2"/>
        <scheme val="minor"/>
      </rPr>
      <t>I</t>
    </r>
    <r>
      <rPr>
        <b/>
        <vertAlign val="subscript"/>
        <sz val="12"/>
        <color theme="0"/>
        <rFont val="Calibri"/>
        <family val="2"/>
        <scheme val="minor"/>
      </rPr>
      <t>s3</t>
    </r>
    <r>
      <rPr>
        <sz val="11"/>
        <color theme="1"/>
        <rFont val="Calibri"/>
        <family val="2"/>
        <scheme val="minor"/>
      </rPr>
      <t/>
    </r>
  </si>
  <si>
    <r>
      <t>I</t>
    </r>
    <r>
      <rPr>
        <b/>
        <vertAlign val="subscript"/>
        <sz val="12"/>
        <color theme="0"/>
        <rFont val="Calibri"/>
        <family val="2"/>
        <scheme val="minor"/>
      </rPr>
      <t>b</t>
    </r>
    <r>
      <rPr>
        <b/>
        <sz val="12"/>
        <color theme="0"/>
        <rFont val="Calibri"/>
        <family val="2"/>
        <scheme val="minor"/>
      </rPr>
      <t xml:space="preserve"> / I</t>
    </r>
    <r>
      <rPr>
        <b/>
        <vertAlign val="subscript"/>
        <sz val="12"/>
        <color theme="0"/>
        <rFont val="Calibri"/>
        <family val="2"/>
        <scheme val="minor"/>
      </rPr>
      <t xml:space="preserve">s </t>
    </r>
  </si>
  <si>
    <r>
      <t>So,  h</t>
    </r>
    <r>
      <rPr>
        <vertAlign val="subscript"/>
        <sz val="11"/>
        <color theme="0"/>
        <rFont val="Calibri"/>
        <family val="2"/>
        <scheme val="minor"/>
      </rPr>
      <t>min</t>
    </r>
  </si>
  <si>
    <t>Final Thickness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</si>
  <si>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</si>
  <si>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</si>
  <si>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</si>
  <si>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</si>
  <si>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</si>
  <si>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</si>
  <si>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</si>
  <si>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</si>
  <si>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</si>
  <si>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</si>
  <si>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</si>
  <si>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</si>
  <si>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</si>
  <si>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</si>
  <si>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</si>
  <si>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</si>
  <si>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</si>
  <si>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</si>
  <si>
    <t>nos</t>
  </si>
  <si>
    <t>All Nos</t>
  </si>
  <si>
    <t>req A</t>
  </si>
  <si>
    <t>req B</t>
  </si>
  <si>
    <t>Dis A</t>
  </si>
  <si>
    <t>Dis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</si>
</sst>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.000000"/>
    <numFmt numFmtId="165" formatCode="0.0000"/>
    <numFmt numFmtId="166" formatCode="0.000"/>
  </numFmts>
  <fonts count="4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B05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9"/>
      <color rgb="FF231F20"/>
      <name val="Calibri"/>
      <family val="2"/>
      <scheme val="minor"/>
    </font>
    <font>
      <sz val="2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vertAlign val="subscript"/>
      <sz val="12"/>
      <color rgb="FF000000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vertAlign val="subscript"/>
      <sz val="12"/>
      <color theme="0"/>
      <name val="Calibri"/>
      <family val="2"/>
      <scheme val="minor"/>
    </font>
    <font>
      <vertAlign val="superscript"/>
      <sz val="11"/>
      <color theme="0"/>
      <name val="Calibri"/>
      <family val="2"/>
      <scheme val="minor"/>
    </font>
    <font>
      <vertAlign val="subscript"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00"/>
      </left>
      <right/>
      <top style="medium">
        <color rgb="FFFFFF00"/>
      </top>
      <bottom/>
      <diagonal/>
    </border>
    <border>
      <left/>
      <right/>
      <top style="medium">
        <color rgb="FFFFFF00"/>
      </top>
      <bottom/>
      <diagonal/>
    </border>
    <border>
      <left/>
      <right style="medium">
        <color rgb="FFFFFF00"/>
      </right>
      <top style="medium">
        <color rgb="FFFFFF00"/>
      </top>
      <bottom/>
      <diagonal/>
    </border>
    <border>
      <left style="medium">
        <color rgb="FFFFFF00"/>
      </left>
      <right/>
      <top/>
      <bottom/>
      <diagonal/>
    </border>
    <border>
      <left/>
      <right style="medium">
        <color rgb="FFFFFF00"/>
      </right>
      <top/>
      <bottom/>
      <diagonal/>
    </border>
    <border>
      <left style="medium">
        <color rgb="FFFFFF00"/>
      </left>
      <right/>
      <top/>
      <bottom style="medium">
        <color rgb="FFFFFF00"/>
      </bottom>
      <diagonal/>
    </border>
    <border>
      <left/>
      <right/>
      <top/>
      <bottom style="medium">
        <color rgb="FFFFFF00"/>
      </bottom>
      <diagonal/>
    </border>
    <border>
      <left/>
      <right style="medium">
        <color rgb="FFFFFF00"/>
      </right>
      <top/>
      <bottom style="medium">
        <color rgb="FFFFFF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17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Protection="1">
      <protection locked="0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0" borderId="0" xfId="0" applyProtection="1">
      <protection hidden="1"/>
    </xf>
    <xf numFmtId="0" fontId="18" fillId="0" borderId="0" xfId="0" applyFont="1" applyProtection="1">
      <protection hidden="1"/>
    </xf>
    <xf numFmtId="0" fontId="0" fillId="6" borderId="0" xfId="0" applyFill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16" fillId="6" borderId="1" xfId="0" applyFont="1" applyFill="1" applyBorder="1" applyAlignment="1" applyProtection="1">
      <alignment horizontal="right"/>
      <protection hidden="1"/>
    </xf>
    <xf numFmtId="0" fontId="4" fillId="0" borderId="0" xfId="0" applyFont="1" applyProtection="1"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28" fillId="0" borderId="0" xfId="0" applyFont="1" applyAlignment="1" applyProtection="1">
      <alignment horizontal="center"/>
      <protection hidden="1"/>
    </xf>
    <xf numFmtId="0" fontId="16" fillId="0" borderId="0" xfId="0" applyFont="1" applyAlignment="1" applyProtection="1">
      <alignment horizontal="right"/>
      <protection hidden="1"/>
    </xf>
    <xf numFmtId="0" fontId="16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right"/>
      <protection hidden="1"/>
    </xf>
    <xf numFmtId="0" fontId="16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33" fillId="0" borderId="0" xfId="0" applyFont="1" applyAlignment="1" applyProtection="1">
      <alignment horizontal="right"/>
      <protection hidden="1"/>
    </xf>
    <xf numFmtId="0" fontId="2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right"/>
      <protection hidden="1"/>
    </xf>
    <xf numFmtId="0" fontId="33" fillId="0" borderId="0" xfId="0" applyFont="1" applyAlignment="1" applyProtection="1">
      <alignment horizontal="left"/>
      <protection hidden="1"/>
    </xf>
    <xf numFmtId="0" fontId="18" fillId="5" borderId="1" xfId="0" applyFont="1" applyFill="1" applyBorder="1" applyProtection="1">
      <protection hidden="1"/>
    </xf>
    <xf numFmtId="0" fontId="26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right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2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2" fontId="16" fillId="0" borderId="0" xfId="0" applyNumberFormat="1" applyFont="1" applyAlignment="1" applyProtection="1">
      <alignment horizontal="center"/>
      <protection hidden="1"/>
    </xf>
    <xf numFmtId="2" fontId="0" fillId="0" borderId="0" xfId="0" applyNumberFormat="1" applyAlignment="1" applyProtection="1">
      <alignment horizontal="center"/>
      <protection hidden="1"/>
    </xf>
    <xf numFmtId="2" fontId="4" fillId="0" borderId="0" xfId="0" applyNumberFormat="1" applyFont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0" fillId="5" borderId="1" xfId="0" applyFill="1" applyBorder="1" applyAlignment="1" applyProtection="1">
      <alignment horizontal="center"/>
      <protection hidden="1"/>
    </xf>
    <xf numFmtId="0" fontId="0" fillId="6" borderId="1" xfId="0" applyFill="1" applyBorder="1" applyAlignment="1" applyProtection="1">
      <alignment horizontal="center"/>
      <protection hidden="1"/>
    </xf>
    <xf numFmtId="0" fontId="14" fillId="0" borderId="28" xfId="0" applyFont="1" applyBorder="1" applyAlignment="1" applyProtection="1">
      <alignment horizontal="center" vertical="center" wrapText="1"/>
      <protection hidden="1"/>
    </xf>
    <xf numFmtId="0" fontId="14" fillId="0" borderId="31" xfId="0" applyFont="1" applyBorder="1" applyAlignment="1" applyProtection="1">
      <alignment horizontal="center" vertical="center" wrapText="1"/>
      <protection hidden="1"/>
    </xf>
    <xf numFmtId="0" fontId="14" fillId="0" borderId="31" xfId="0" applyFont="1" applyBorder="1" applyAlignment="1" applyProtection="1">
      <alignment horizontal="left" vertical="center" wrapText="1" indent="1"/>
      <protection hidden="1"/>
    </xf>
    <xf numFmtId="0" fontId="0" fillId="0" borderId="0" xfId="0" applyAlignment="1" applyProtection="1">
      <alignment horizontal="center" wrapText="1"/>
      <protection hidden="1"/>
    </xf>
    <xf numFmtId="0" fontId="1" fillId="0" borderId="0" xfId="0" applyFont="1" applyAlignment="1" applyProtection="1">
      <alignment horizontal="center" wrapText="1"/>
      <protection hidden="1"/>
    </xf>
    <xf numFmtId="0" fontId="0" fillId="0" borderId="0" xfId="0" applyAlignment="1" applyProtection="1">
      <alignment horizontal="left"/>
      <protection hidden="1"/>
    </xf>
    <xf numFmtId="0" fontId="1" fillId="0" borderId="1" xfId="0" applyFont="1" applyBorder="1" applyAlignment="1" applyProtection="1">
      <alignment horizontal="right"/>
      <protection hidden="1"/>
    </xf>
    <xf numFmtId="164" fontId="0" fillId="0" borderId="0" xfId="0" applyNumberFormat="1" applyProtection="1">
      <protection hidden="1"/>
    </xf>
    <xf numFmtId="1" fontId="4" fillId="0" borderId="0" xfId="0" applyNumberFormat="1" applyFont="1" applyProtection="1">
      <protection hidden="1"/>
    </xf>
    <xf numFmtId="2" fontId="4" fillId="0" borderId="0" xfId="0" applyNumberFormat="1" applyFont="1" applyProtection="1">
      <protection hidden="1"/>
    </xf>
    <xf numFmtId="166" fontId="4" fillId="0" borderId="0" xfId="0" applyNumberFormat="1" applyFont="1" applyProtection="1">
      <protection hidden="1"/>
    </xf>
    <xf numFmtId="165" fontId="4" fillId="0" borderId="0" xfId="0" applyNumberFormat="1" applyFont="1" applyProtection="1">
      <protection hidden="1"/>
    </xf>
    <xf numFmtId="0" fontId="9" fillId="0" borderId="0" xfId="0" applyFont="1" applyAlignment="1" applyProtection="1">
      <alignment horizontal="center" vertical="top" wrapText="1"/>
      <protection hidden="1"/>
    </xf>
    <xf numFmtId="0" fontId="0" fillId="0" borderId="0" xfId="0" applyAlignment="1" applyProtection="1">
      <alignment vertical="center"/>
      <protection hidden="1"/>
    </xf>
    <xf numFmtId="0" fontId="1" fillId="0" borderId="0" xfId="0" applyFont="1" applyAlignment="1" applyProtection="1">
      <alignment horizontal="center"/>
      <protection hidden="1"/>
    </xf>
    <xf numFmtId="165" fontId="0" fillId="0" borderId="0" xfId="0" applyNumberFormat="1" applyAlignment="1" applyProtection="1">
      <alignment horizontal="right" vertical="center"/>
      <protection hidden="1"/>
    </xf>
    <xf numFmtId="43" fontId="0" fillId="0" borderId="3" xfId="1" applyFont="1" applyBorder="1" applyAlignment="1" applyProtection="1">
      <alignment horizontal="left"/>
      <protection hidden="1"/>
    </xf>
    <xf numFmtId="164" fontId="0" fillId="0" borderId="3" xfId="0" applyNumberFormat="1" applyBorder="1" applyProtection="1">
      <protection hidden="1"/>
    </xf>
    <xf numFmtId="0" fontId="0" fillId="0" borderId="3" xfId="0" applyBorder="1" applyAlignment="1" applyProtection="1">
      <alignment wrapText="1"/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165" fontId="16" fillId="0" borderId="0" xfId="0" applyNumberFormat="1" applyFont="1" applyAlignment="1" applyProtection="1">
      <alignment horizontal="right"/>
      <protection hidden="1"/>
    </xf>
    <xf numFmtId="2" fontId="0" fillId="0" borderId="0" xfId="0" applyNumberFormat="1" applyProtection="1"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165" fontId="4" fillId="0" borderId="8" xfId="0" applyNumberFormat="1" applyFont="1" applyBorder="1" applyProtection="1">
      <protection hidden="1"/>
    </xf>
    <xf numFmtId="0" fontId="0" fillId="0" borderId="8" xfId="0" applyBorder="1" applyProtection="1">
      <protection hidden="1"/>
    </xf>
    <xf numFmtId="165" fontId="0" fillId="0" borderId="8" xfId="0" applyNumberFormat="1" applyBorder="1" applyProtection="1">
      <protection hidden="1"/>
    </xf>
    <xf numFmtId="0" fontId="0" fillId="0" borderId="9" xfId="0" applyBorder="1" applyProtection="1">
      <protection hidden="1"/>
    </xf>
    <xf numFmtId="0" fontId="0" fillId="0" borderId="12" xfId="0" applyBorder="1" applyProtection="1"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4" xfId="0" applyBorder="1" applyProtection="1">
      <protection hidden="1"/>
    </xf>
    <xf numFmtId="0" fontId="0" fillId="0" borderId="15" xfId="0" applyBorder="1" applyProtection="1">
      <protection hidden="1"/>
    </xf>
    <xf numFmtId="2" fontId="0" fillId="0" borderId="16" xfId="0" applyNumberFormat="1" applyBorder="1" applyProtection="1">
      <protection hidden="1"/>
    </xf>
    <xf numFmtId="0" fontId="0" fillId="0" borderId="17" xfId="0" applyBorder="1" applyProtection="1">
      <protection hidden="1"/>
    </xf>
    <xf numFmtId="0" fontId="0" fillId="0" borderId="13" xfId="0" applyBorder="1" applyProtection="1">
      <protection hidden="1"/>
    </xf>
    <xf numFmtId="2" fontId="4" fillId="3" borderId="0" xfId="0" applyNumberFormat="1" applyFont="1" applyFill="1" applyProtection="1">
      <protection hidden="1"/>
    </xf>
    <xf numFmtId="0" fontId="0" fillId="0" borderId="22" xfId="0" applyBorder="1" applyProtection="1">
      <protection hidden="1"/>
    </xf>
    <xf numFmtId="0" fontId="7" fillId="0" borderId="23" xfId="0" applyFont="1" applyBorder="1" applyProtection="1">
      <protection hidden="1"/>
    </xf>
    <xf numFmtId="2" fontId="0" fillId="0" borderId="24" xfId="0" applyNumberFormat="1" applyBorder="1" applyProtection="1">
      <protection hidden="1"/>
    </xf>
    <xf numFmtId="0" fontId="0" fillId="0" borderId="25" xfId="0" applyBorder="1" applyProtection="1">
      <protection hidden="1"/>
    </xf>
    <xf numFmtId="0" fontId="4" fillId="3" borderId="13" xfId="0" applyFont="1" applyFill="1" applyBorder="1" applyProtection="1">
      <protection hidden="1"/>
    </xf>
    <xf numFmtId="166" fontId="0" fillId="0" borderId="16" xfId="0" applyNumberFormat="1" applyBorder="1" applyProtection="1">
      <protection hidden="1"/>
    </xf>
    <xf numFmtId="0" fontId="0" fillId="0" borderId="21" xfId="0" applyBorder="1" applyProtection="1">
      <protection hidden="1"/>
    </xf>
    <xf numFmtId="0" fontId="0" fillId="3" borderId="0" xfId="0" applyFill="1" applyProtection="1">
      <protection hidden="1"/>
    </xf>
    <xf numFmtId="0" fontId="0" fillId="0" borderId="26" xfId="0" applyBorder="1" applyProtection="1">
      <protection hidden="1"/>
    </xf>
    <xf numFmtId="0" fontId="0" fillId="0" borderId="27" xfId="0" applyBorder="1" applyProtection="1">
      <protection hidden="1"/>
    </xf>
    <xf numFmtId="0" fontId="0" fillId="4" borderId="0" xfId="0" applyFill="1" applyProtection="1">
      <protection hidden="1"/>
    </xf>
    <xf numFmtId="0" fontId="0" fillId="0" borderId="20" xfId="0" applyBorder="1" applyProtection="1">
      <protection hidden="1"/>
    </xf>
    <xf numFmtId="166" fontId="0" fillId="0" borderId="0" xfId="0" applyNumberFormat="1" applyProtection="1">
      <protection hidden="1"/>
    </xf>
    <xf numFmtId="0" fontId="0" fillId="0" borderId="23" xfId="0" applyBorder="1" applyProtection="1">
      <protection hidden="1"/>
    </xf>
    <xf numFmtId="166" fontId="0" fillId="0" borderId="24" xfId="0" applyNumberFormat="1" applyBorder="1" applyProtection="1">
      <protection hidden="1"/>
    </xf>
    <xf numFmtId="0" fontId="0" fillId="0" borderId="24" xfId="0" applyBorder="1" applyAlignment="1" applyProtection="1">
      <alignment vertical="center"/>
      <protection hidden="1"/>
    </xf>
    <xf numFmtId="165" fontId="0" fillId="0" borderId="0" xfId="0" applyNumberFormat="1" applyProtection="1">
      <protection hidden="1"/>
    </xf>
    <xf numFmtId="2" fontId="0" fillId="2" borderId="0" xfId="0" applyNumberFormat="1" applyFill="1" applyProtection="1">
      <protection hidden="1"/>
    </xf>
    <xf numFmtId="2" fontId="0" fillId="2" borderId="24" xfId="0" applyNumberFormat="1" applyFill="1" applyBorder="1" applyProtection="1">
      <protection hidden="1"/>
    </xf>
    <xf numFmtId="0" fontId="0" fillId="0" borderId="24" xfId="0" applyBorder="1" applyProtection="1">
      <protection hidden="1"/>
    </xf>
    <xf numFmtId="165" fontId="0" fillId="0" borderId="24" xfId="0" applyNumberFormat="1" applyBorder="1" applyProtection="1">
      <protection hidden="1"/>
    </xf>
    <xf numFmtId="0" fontId="16" fillId="6" borderId="1" xfId="0" applyFont="1" applyFill="1" applyBorder="1" applyAlignment="1" applyProtection="1">
      <alignment horizontal="right"/>
      <protection locked="0"/>
    </xf>
    <xf numFmtId="0" fontId="16" fillId="6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0" fillId="6" borderId="1" xfId="0" applyFill="1" applyBorder="1" applyProtection="1">
      <protection locked="0"/>
    </xf>
    <xf numFmtId="0" fontId="40" fillId="0" borderId="0" xfId="0" applyFont="1" applyProtection="1">
      <protection hidden="1"/>
    </xf>
    <xf numFmtId="165" fontId="0" fillId="2" borderId="0" xfId="0" applyNumberFormat="1" applyFill="1" applyProtection="1">
      <protection locked="0" hidden="1"/>
    </xf>
    <xf numFmtId="165" fontId="0" fillId="2" borderId="24" xfId="0" applyNumberFormat="1" applyFill="1" applyBorder="1" applyProtection="1">
      <protection locked="0" hidden="1"/>
    </xf>
    <xf numFmtId="0" fontId="0" fillId="0" borderId="0" xfId="0" applyAlignment="1" applyProtection="1">
      <alignment horizontal="right"/>
      <protection hidden="1"/>
    </xf>
    <xf numFmtId="0" fontId="37" fillId="0" borderId="0" xfId="2" applyAlignment="1" applyProtection="1">
      <alignment horizontal="left"/>
      <protection hidden="1"/>
    </xf>
    <xf numFmtId="0" fontId="38" fillId="0" borderId="0" xfId="0" applyFont="1" applyAlignment="1" applyProtection="1">
      <alignment horizontal="center" vertical="center" wrapText="1"/>
      <protection hidden="1"/>
    </xf>
    <xf numFmtId="0" fontId="39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right" vertical="center"/>
      <protection hidden="1"/>
    </xf>
    <xf numFmtId="0" fontId="0" fillId="0" borderId="14" xfId="0" applyBorder="1" applyAlignment="1" applyProtection="1">
      <alignment horizontal="right" vertical="center"/>
      <protection hidden="1"/>
    </xf>
    <xf numFmtId="0" fontId="0" fillId="0" borderId="37" xfId="0" applyBorder="1" applyAlignment="1" applyProtection="1">
      <alignment vertical="center"/>
      <protection hidden="1"/>
    </xf>
    <xf numFmtId="0" fontId="0" fillId="0" borderId="39" xfId="0" applyBorder="1" applyAlignment="1" applyProtection="1">
      <alignment vertical="center"/>
      <protection hidden="1"/>
    </xf>
    <xf numFmtId="0" fontId="0" fillId="0" borderId="14" xfId="0" applyBorder="1" applyAlignment="1" applyProtection="1">
      <alignment horizontal="right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/>
      <protection hidden="1"/>
    </xf>
    <xf numFmtId="0" fontId="0" fillId="2" borderId="21" xfId="0" applyFill="1" applyBorder="1" applyAlignment="1" applyProtection="1">
      <alignment horizontal="center"/>
      <protection hidden="1"/>
    </xf>
    <xf numFmtId="0" fontId="0" fillId="2" borderId="22" xfId="0" applyFill="1" applyBorder="1" applyAlignment="1" applyProtection="1">
      <alignment horizontal="center"/>
      <protection hidden="1"/>
    </xf>
    <xf numFmtId="0" fontId="0" fillId="0" borderId="26" xfId="0" applyBorder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0" fontId="10" fillId="2" borderId="20" xfId="0" applyFont="1" applyFill="1" applyBorder="1" applyAlignment="1" applyProtection="1">
      <alignment horizontal="center" vertical="center" wrapText="1"/>
      <protection hidden="1"/>
    </xf>
    <xf numFmtId="0" fontId="10" fillId="2" borderId="21" xfId="0" applyFont="1" applyFill="1" applyBorder="1" applyAlignment="1" applyProtection="1">
      <alignment horizontal="center" vertical="center" wrapText="1"/>
      <protection hidden="1"/>
    </xf>
    <xf numFmtId="0" fontId="10" fillId="2" borderId="22" xfId="0" applyFont="1" applyFill="1" applyBorder="1" applyAlignment="1" applyProtection="1">
      <alignment horizontal="center" vertical="center" wrapText="1"/>
      <protection hidden="1"/>
    </xf>
    <xf numFmtId="0" fontId="10" fillId="2" borderId="26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27" xfId="0" applyFont="1" applyFill="1" applyBorder="1" applyAlignment="1" applyProtection="1">
      <alignment horizontal="center" vertical="center" wrapText="1"/>
      <protection hidden="1"/>
    </xf>
    <xf numFmtId="0" fontId="10" fillId="2" borderId="23" xfId="0" applyFont="1" applyFill="1" applyBorder="1" applyAlignment="1" applyProtection="1">
      <alignment horizontal="center" vertical="center" wrapText="1"/>
      <protection hidden="1"/>
    </xf>
    <xf numFmtId="0" fontId="10" fillId="2" borderId="24" xfId="0" applyFont="1" applyFill="1" applyBorder="1" applyAlignment="1" applyProtection="1">
      <alignment horizontal="center" vertical="center" wrapText="1"/>
      <protection hidden="1"/>
    </xf>
    <xf numFmtId="0" fontId="10" fillId="2" borderId="25" xfId="0" applyFont="1" applyFill="1" applyBorder="1" applyAlignment="1" applyProtection="1">
      <alignment horizontal="center" vertical="center" wrapText="1"/>
      <protection hidden="1"/>
    </xf>
    <xf numFmtId="0" fontId="0" fillId="4" borderId="0" xfId="0" applyFill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0" fillId="0" borderId="21" xfId="0" applyBorder="1" applyAlignment="1" applyProtection="1">
      <alignment horizontal="center"/>
      <protection hidden="1"/>
    </xf>
    <xf numFmtId="0" fontId="0" fillId="4" borderId="20" xfId="0" applyFill="1" applyBorder="1" applyAlignment="1" applyProtection="1">
      <alignment horizontal="center"/>
      <protection hidden="1"/>
    </xf>
    <xf numFmtId="0" fontId="0" fillId="4" borderId="21" xfId="0" applyFill="1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left"/>
      <protection hidden="1"/>
    </xf>
    <xf numFmtId="0" fontId="0" fillId="0" borderId="14" xfId="0" applyBorder="1" applyAlignment="1" applyProtection="1">
      <alignment horizontal="left"/>
      <protection hidden="1"/>
    </xf>
    <xf numFmtId="0" fontId="0" fillId="0" borderId="18" xfId="0" applyBorder="1" applyAlignment="1" applyProtection="1">
      <alignment horizontal="center" vertical="center"/>
      <protection hidden="1"/>
    </xf>
    <xf numFmtId="0" fontId="0" fillId="0" borderId="19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center"/>
      <protection hidden="1"/>
    </xf>
    <xf numFmtId="0" fontId="15" fillId="0" borderId="29" xfId="0" applyFont="1" applyBorder="1" applyAlignment="1" applyProtection="1">
      <alignment vertical="center" wrapText="1"/>
      <protection hidden="1"/>
    </xf>
    <xf numFmtId="0" fontId="15" fillId="0" borderId="30" xfId="0" applyFont="1" applyBorder="1" applyAlignment="1" applyProtection="1">
      <alignment vertical="center" wrapText="1"/>
      <protection hidden="1"/>
    </xf>
    <xf numFmtId="0" fontId="11" fillId="2" borderId="0" xfId="0" applyFont="1" applyFill="1" applyAlignment="1" applyProtection="1">
      <alignment horizontal="center"/>
      <protection hidden="1"/>
    </xf>
    <xf numFmtId="0" fontId="9" fillId="2" borderId="20" xfId="0" applyFont="1" applyFill="1" applyBorder="1" applyAlignment="1" applyProtection="1">
      <alignment horizontal="center" vertical="top" wrapText="1"/>
      <protection hidden="1"/>
    </xf>
    <xf numFmtId="0" fontId="9" fillId="2" borderId="22" xfId="0" applyFont="1" applyFill="1" applyBorder="1" applyAlignment="1" applyProtection="1">
      <alignment horizontal="center" vertical="top" wrapText="1"/>
      <protection hidden="1"/>
    </xf>
    <xf numFmtId="0" fontId="9" fillId="2" borderId="26" xfId="0" applyFont="1" applyFill="1" applyBorder="1" applyAlignment="1" applyProtection="1">
      <alignment horizontal="center" vertical="top" wrapText="1"/>
      <protection hidden="1"/>
    </xf>
    <xf numFmtId="0" fontId="9" fillId="2" borderId="27" xfId="0" applyFont="1" applyFill="1" applyBorder="1" applyAlignment="1" applyProtection="1">
      <alignment horizontal="center" vertical="top" wrapText="1"/>
      <protection hidden="1"/>
    </xf>
    <xf numFmtId="0" fontId="9" fillId="2" borderId="23" xfId="0" applyFont="1" applyFill="1" applyBorder="1" applyAlignment="1" applyProtection="1">
      <alignment horizontal="center" vertical="top" wrapText="1"/>
      <protection hidden="1"/>
    </xf>
    <xf numFmtId="0" fontId="9" fillId="2" borderId="25" xfId="0" applyFont="1" applyFill="1" applyBorder="1" applyAlignment="1" applyProtection="1">
      <alignment horizontal="center" vertical="top" wrapText="1"/>
      <protection hidden="1"/>
    </xf>
    <xf numFmtId="0" fontId="0" fillId="2" borderId="10" xfId="0" applyFill="1" applyBorder="1" applyAlignment="1" applyProtection="1">
      <alignment horizontal="center"/>
      <protection hidden="1"/>
    </xf>
    <xf numFmtId="0" fontId="0" fillId="2" borderId="11" xfId="0" applyFill="1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right"/>
      <protection hidden="1"/>
    </xf>
    <xf numFmtId="0" fontId="0" fillId="0" borderId="3" xfId="0" applyBorder="1" applyAlignment="1" applyProtection="1">
      <alignment horizontal="right"/>
      <protection hidden="1"/>
    </xf>
    <xf numFmtId="2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 wrapText="1"/>
      <protection hidden="1"/>
    </xf>
    <xf numFmtId="0" fontId="0" fillId="0" borderId="21" xfId="0" applyBorder="1" applyAlignment="1" applyProtection="1">
      <alignment horizontal="center" wrapText="1"/>
      <protection hidden="1"/>
    </xf>
    <xf numFmtId="0" fontId="0" fillId="0" borderId="22" xfId="0" applyBorder="1" applyAlignment="1" applyProtection="1">
      <alignment horizontal="center" wrapText="1"/>
      <protection hidden="1"/>
    </xf>
    <xf numFmtId="0" fontId="0" fillId="0" borderId="23" xfId="0" applyBorder="1" applyAlignment="1" applyProtection="1">
      <alignment horizontal="center" wrapText="1"/>
      <protection hidden="1"/>
    </xf>
    <xf numFmtId="0" fontId="0" fillId="0" borderId="24" xfId="0" applyBorder="1" applyAlignment="1" applyProtection="1">
      <alignment horizontal="center" wrapText="1"/>
      <protection hidden="1"/>
    </xf>
    <xf numFmtId="0" fontId="0" fillId="0" borderId="25" xfId="0" applyBorder="1" applyAlignment="1" applyProtection="1">
      <alignment horizontal="center" wrapText="1"/>
      <protection hidden="1"/>
    </xf>
    <xf numFmtId="0" fontId="0" fillId="7" borderId="34" xfId="0" applyFill="1" applyBorder="1" applyAlignment="1" applyProtection="1">
      <alignment horizontal="center"/>
      <protection hidden="1"/>
    </xf>
    <xf numFmtId="0" fontId="0" fillId="7" borderId="35" xfId="0" applyFill="1" applyBorder="1" applyAlignment="1" applyProtection="1">
      <alignment horizontal="center"/>
      <protection hidden="1"/>
    </xf>
    <xf numFmtId="2" fontId="0" fillId="0" borderId="36" xfId="0" applyNumberFormat="1" applyBorder="1" applyAlignment="1" applyProtection="1">
      <alignment horizontal="center" vertical="center"/>
      <protection locked="0" hidden="1"/>
    </xf>
    <xf numFmtId="2" fontId="0" fillId="0" borderId="38" xfId="0" applyNumberFormat="1" applyBorder="1" applyAlignment="1" applyProtection="1">
      <alignment horizontal="center" vertical="center"/>
      <protection locked="0" hidden="1"/>
    </xf>
    <xf numFmtId="0" fontId="0" fillId="0" borderId="32" xfId="0" applyBorder="1" applyAlignment="1" applyProtection="1">
      <alignment horizontal="center"/>
      <protection hidden="1"/>
    </xf>
    <xf numFmtId="0" fontId="0" fillId="0" borderId="33" xfId="0" applyBorder="1" applyAlignment="1" applyProtection="1">
      <alignment horizontal="center"/>
      <protection hidden="1"/>
    </xf>
    <xf numFmtId="0" fontId="0" fillId="6" borderId="1" xfId="0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hidden="1"/>
    </xf>
  </cellXfs>
  <cellStyles count="3">
    <cellStyle name="Comma" xfId="1" builtinId="3"/>
    <cellStyle name="Hyperlink" xfId="2" builtinId="8"/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microsoft.com/office/2007/relationships/hdphoto" Target="../media/hdphoto1.wdp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jpeg"/><Relationship Id="rId5" Type="http://schemas.microsoft.com/office/2007/relationships/hdphoto" Target="../media/hdphoto2.wdp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7D4782-D959-49B4-9835-E5F127836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74610BDF-95DB-43F7-BB31-83588F32D5C1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28575</xdr:colOff>
      <xdr:row>22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105650" y="2500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6</xdr:col>
      <xdr:colOff>63498</xdr:colOff>
      <xdr:row>2</xdr:row>
      <xdr:rowOff>137580</xdr:rowOff>
    </xdr:from>
    <xdr:to>
      <xdr:col>6</xdr:col>
      <xdr:colOff>501648</xdr:colOff>
      <xdr:row>3</xdr:row>
      <xdr:rowOff>52913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6165" y="772580"/>
          <a:ext cx="438150" cy="29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148162</xdr:colOff>
      <xdr:row>2</xdr:row>
      <xdr:rowOff>127006</xdr:rowOff>
    </xdr:from>
    <xdr:to>
      <xdr:col>7</xdr:col>
      <xdr:colOff>586312</xdr:colOff>
      <xdr:row>3</xdr:row>
      <xdr:rowOff>32814</xdr:rowOff>
    </xdr:to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4662" y="762006"/>
          <a:ext cx="438150" cy="286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74844</xdr:colOff>
      <xdr:row>2</xdr:row>
      <xdr:rowOff>149672</xdr:rowOff>
    </xdr:from>
    <xdr:to>
      <xdr:col>8</xdr:col>
      <xdr:colOff>503469</xdr:colOff>
      <xdr:row>3</xdr:row>
      <xdr:rowOff>51701</xdr:rowOff>
    </xdr:to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5" y="782404"/>
          <a:ext cx="428625" cy="283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88446</xdr:colOff>
      <xdr:row>2</xdr:row>
      <xdr:rowOff>149669</xdr:rowOff>
    </xdr:from>
    <xdr:to>
      <xdr:col>9</xdr:col>
      <xdr:colOff>526596</xdr:colOff>
      <xdr:row>3</xdr:row>
      <xdr:rowOff>61223</xdr:rowOff>
    </xdr:to>
    <xdr:pic>
      <xdr:nvPicPr>
        <xdr:cNvPr id="7" name="image4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6178" y="782401"/>
          <a:ext cx="438150" cy="2925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74840</xdr:colOff>
      <xdr:row>2</xdr:row>
      <xdr:rowOff>156477</xdr:rowOff>
    </xdr:from>
    <xdr:to>
      <xdr:col>10</xdr:col>
      <xdr:colOff>512990</xdr:colOff>
      <xdr:row>3</xdr:row>
      <xdr:rowOff>68031</xdr:rowOff>
    </xdr:to>
    <xdr:pic>
      <xdr:nvPicPr>
        <xdr:cNvPr id="8" name="image5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4894" y="789209"/>
          <a:ext cx="438150" cy="2925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88448</xdr:colOff>
      <xdr:row>2</xdr:row>
      <xdr:rowOff>183691</xdr:rowOff>
    </xdr:from>
    <xdr:to>
      <xdr:col>11</xdr:col>
      <xdr:colOff>517073</xdr:colOff>
      <xdr:row>3</xdr:row>
      <xdr:rowOff>85720</xdr:rowOff>
    </xdr:to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0823" y="816423"/>
          <a:ext cx="428625" cy="283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68040</xdr:colOff>
      <xdr:row>2</xdr:row>
      <xdr:rowOff>176887</xdr:rowOff>
    </xdr:from>
    <xdr:to>
      <xdr:col>12</xdr:col>
      <xdr:colOff>506190</xdr:colOff>
      <xdr:row>3</xdr:row>
      <xdr:rowOff>78916</xdr:rowOff>
    </xdr:to>
    <xdr:pic>
      <xdr:nvPicPr>
        <xdr:cNvPr id="10" name="image7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2736" y="809619"/>
          <a:ext cx="438150" cy="283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61235</xdr:colOff>
      <xdr:row>2</xdr:row>
      <xdr:rowOff>163280</xdr:rowOff>
    </xdr:from>
    <xdr:to>
      <xdr:col>13</xdr:col>
      <xdr:colOff>499385</xdr:colOff>
      <xdr:row>3</xdr:row>
      <xdr:rowOff>74834</xdr:rowOff>
    </xdr:to>
    <xdr:pic>
      <xdr:nvPicPr>
        <xdr:cNvPr id="11" name="image8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3" y="796012"/>
          <a:ext cx="438150" cy="2925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68037</xdr:colOff>
      <xdr:row>2</xdr:row>
      <xdr:rowOff>163280</xdr:rowOff>
    </xdr:from>
    <xdr:to>
      <xdr:col>14</xdr:col>
      <xdr:colOff>506187</xdr:colOff>
      <xdr:row>3</xdr:row>
      <xdr:rowOff>74834</xdr:rowOff>
    </xdr:to>
    <xdr:pic>
      <xdr:nvPicPr>
        <xdr:cNvPr id="12" name="image9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7376" y="796012"/>
          <a:ext cx="438150" cy="2925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604257</xdr:colOff>
      <xdr:row>5</xdr:row>
      <xdr:rowOff>51954</xdr:rowOff>
    </xdr:from>
    <xdr:to>
      <xdr:col>19</xdr:col>
      <xdr:colOff>8659</xdr:colOff>
      <xdr:row>28</xdr:row>
      <xdr:rowOff>7696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396" t="12070" b="11895"/>
        <a:stretch/>
      </xdr:blipFill>
      <xdr:spPr>
        <a:xfrm rot="16200000">
          <a:off x="8290621" y="1180545"/>
          <a:ext cx="4441151" cy="50068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180975</xdr:colOff>
      <xdr:row>1</xdr:row>
      <xdr:rowOff>28575</xdr:rowOff>
    </xdr:from>
    <xdr:to>
      <xdr:col>21</xdr:col>
      <xdr:colOff>393065</xdr:colOff>
      <xdr:row>12</xdr:row>
      <xdr:rowOff>46355</xdr:rowOff>
    </xdr:to>
    <xdr:pic>
      <xdr:nvPicPr>
        <xdr:cNvPr id="2" name="Picture 1" descr="Moment of Inertial Calculation of Two Way Slab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6375" y="219075"/>
          <a:ext cx="5088890" cy="21228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1209675</xdr:colOff>
      <xdr:row>30</xdr:row>
      <xdr:rowOff>133350</xdr:rowOff>
    </xdr:from>
    <xdr:to>
      <xdr:col>4</xdr:col>
      <xdr:colOff>466059</xdr:colOff>
      <xdr:row>32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6248400"/>
          <a:ext cx="1628109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1200151</xdr:colOff>
      <xdr:row>32</xdr:row>
      <xdr:rowOff>65761</xdr:rowOff>
    </xdr:from>
    <xdr:to>
      <xdr:col>4</xdr:col>
      <xdr:colOff>219075</xdr:colOff>
      <xdr:row>33</xdr:row>
      <xdr:rowOff>47395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19351" y="6885661"/>
          <a:ext cx="1390649" cy="581709"/>
        </a:xfrm>
        <a:prstGeom prst="rect">
          <a:avLst/>
        </a:prstGeom>
      </xdr:spPr>
    </xdr:pic>
    <xdr:clientData/>
  </xdr:twoCellAnchor>
  <xdr:twoCellAnchor editAs="oneCell">
    <xdr:from>
      <xdr:col>13</xdr:col>
      <xdr:colOff>504825</xdr:colOff>
      <xdr:row>14</xdr:row>
      <xdr:rowOff>9525</xdr:rowOff>
    </xdr:from>
    <xdr:to>
      <xdr:col>20</xdr:col>
      <xdr:colOff>223899</xdr:colOff>
      <xdr:row>30</xdr:row>
      <xdr:rowOff>183096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396" t="12070" b="11895"/>
        <a:stretch/>
      </xdr:blipFill>
      <xdr:spPr>
        <a:xfrm rot="16200000">
          <a:off x="10007364" y="2537061"/>
          <a:ext cx="3535896" cy="39862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Learnify/All%20Excel%20file/A.%20Wind%20and%20Earthquake%20load/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 Analysis"/>
      <sheetName val="Video &amp; Instruction 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M36"/>
  <sheetViews>
    <sheetView showGridLines="0" topLeftCell="A4" workbookViewId="0">
      <selection activeCell="P23" sqref="P23"/>
    </sheetView>
  </sheetViews>
  <sheetFormatPr defaultRowHeight="15" x14ac:dyDescent="0.25"/>
  <cols>
    <col min="1" max="1" width="9.140625" style="6" customWidth="1"/>
    <col min="2" max="16384" width="9.140625" style="6"/>
  </cols>
  <sheetData>
    <row r="14" spans="2:10" ht="15" customHeight="1" x14ac:dyDescent="0.25">
      <c r="B14" s="107" t="s">
        <v>145</v>
      </c>
      <c r="C14" s="107"/>
      <c r="D14" s="107"/>
      <c r="E14" s="107"/>
      <c r="F14" s="107"/>
      <c r="G14" s="107"/>
      <c r="H14" s="107"/>
      <c r="I14" s="107"/>
      <c r="J14" s="107"/>
    </row>
    <row r="15" spans="2:10" ht="15" customHeight="1" x14ac:dyDescent="0.25">
      <c r="B15" s="107"/>
      <c r="C15" s="107"/>
      <c r="D15" s="107"/>
      <c r="E15" s="107"/>
      <c r="F15" s="107"/>
      <c r="G15" s="107"/>
      <c r="H15" s="107"/>
      <c r="I15" s="107"/>
      <c r="J15" s="107"/>
    </row>
    <row r="16" spans="2:10" x14ac:dyDescent="0.25">
      <c r="B16" s="107"/>
      <c r="C16" s="107"/>
      <c r="D16" s="107"/>
      <c r="E16" s="107"/>
      <c r="F16" s="107"/>
      <c r="G16" s="107"/>
      <c r="H16" s="107"/>
      <c r="I16" s="107"/>
      <c r="J16" s="107"/>
    </row>
    <row r="17" spans="2:10" x14ac:dyDescent="0.25">
      <c r="C17" s="105" t="s">
        <v>146</v>
      </c>
      <c r="D17" s="105"/>
      <c r="E17" s="106" t="s">
        <v>147</v>
      </c>
      <c r="F17" s="106"/>
      <c r="G17" s="106"/>
      <c r="H17" s="106"/>
      <c r="I17" s="106"/>
      <c r="J17" s="106"/>
    </row>
    <row r="18" spans="2:10" x14ac:dyDescent="0.25">
      <c r="C18" s="105" t="s">
        <v>148</v>
      </c>
      <c r="D18" s="105"/>
      <c r="E18" s="106" t="s">
        <v>149</v>
      </c>
      <c r="F18" s="106"/>
      <c r="G18" s="106"/>
      <c r="H18" s="106"/>
      <c r="I18" s="106"/>
      <c r="J18" s="106"/>
    </row>
    <row r="19" spans="2:10" x14ac:dyDescent="0.25">
      <c r="C19" s="105" t="s">
        <v>150</v>
      </c>
      <c r="D19" s="105"/>
      <c r="E19" s="106" t="s">
        <v>151</v>
      </c>
      <c r="F19" s="106"/>
      <c r="G19" s="106"/>
      <c r="H19" s="106"/>
      <c r="I19" s="106"/>
      <c r="J19" s="106"/>
    </row>
    <row r="20" spans="2:10" x14ac:dyDescent="0.25">
      <c r="C20" s="105" t="s">
        <v>152</v>
      </c>
      <c r="D20" s="105"/>
      <c r="E20" s="106" t="s">
        <v>153</v>
      </c>
      <c r="F20" s="106"/>
      <c r="G20" s="106"/>
      <c r="H20" s="106"/>
      <c r="I20" s="106"/>
      <c r="J20" s="106"/>
    </row>
    <row r="21" spans="2:10" x14ac:dyDescent="0.25">
      <c r="C21" s="105" t="s">
        <v>154</v>
      </c>
      <c r="D21" s="105"/>
      <c r="E21" s="106" t="s">
        <v>155</v>
      </c>
      <c r="F21" s="106"/>
      <c r="G21" s="106"/>
      <c r="H21" s="106"/>
      <c r="I21" s="106"/>
      <c r="J21" s="106"/>
    </row>
    <row r="22" spans="2:10" x14ac:dyDescent="0.25">
      <c r="C22" s="105" t="s">
        <v>156</v>
      </c>
      <c r="D22" s="105"/>
      <c r="E22" s="106" t="s">
        <v>157</v>
      </c>
      <c r="F22" s="106"/>
      <c r="G22" s="106"/>
      <c r="H22" s="106"/>
      <c r="I22" s="106"/>
      <c r="J22" s="106"/>
    </row>
    <row r="24" spans="2:10" ht="15" customHeight="1" x14ac:dyDescent="0.25">
      <c r="B24" s="108" t="s">
        <v>158</v>
      </c>
      <c r="C24" s="108"/>
      <c r="D24" s="108"/>
      <c r="E24" s="108"/>
      <c r="F24" s="108"/>
      <c r="G24" s="108"/>
      <c r="H24" s="108"/>
      <c r="I24" s="108"/>
      <c r="J24" s="108"/>
    </row>
    <row r="25" spans="2:10" ht="15" customHeight="1" x14ac:dyDescent="0.25">
      <c r="B25" s="108"/>
      <c r="C25" s="108"/>
      <c r="D25" s="108"/>
      <c r="E25" s="108"/>
      <c r="F25" s="108"/>
      <c r="G25" s="108"/>
      <c r="H25" s="108"/>
      <c r="I25" s="108"/>
      <c r="J25" s="108"/>
    </row>
    <row r="26" spans="2:10" ht="15" customHeight="1" x14ac:dyDescent="0.25">
      <c r="B26" s="108"/>
      <c r="C26" s="108"/>
      <c r="D26" s="108"/>
      <c r="E26" s="108"/>
      <c r="F26" s="108"/>
      <c r="G26" s="108"/>
      <c r="H26" s="108"/>
      <c r="I26" s="108"/>
      <c r="J26" s="108"/>
    </row>
    <row r="27" spans="2:10" x14ac:dyDescent="0.25">
      <c r="B27" s="108"/>
      <c r="C27" s="108"/>
      <c r="D27" s="108"/>
      <c r="E27" s="108"/>
      <c r="F27" s="108"/>
      <c r="G27" s="108"/>
      <c r="H27" s="108"/>
      <c r="I27" s="108"/>
      <c r="J27" s="108"/>
    </row>
    <row r="34" spans="1:13" ht="15.75" x14ac:dyDescent="0.25">
      <c r="A34" s="102" t="s">
        <v>159</v>
      </c>
      <c r="B34" s="106" t="s">
        <v>160</v>
      </c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</row>
    <row r="35" spans="1:13" ht="15.75" x14ac:dyDescent="0.25">
      <c r="A35" s="102"/>
    </row>
    <row r="36" spans="1:13" ht="15.75" x14ac:dyDescent="0.25">
      <c r="A36" s="102" t="s">
        <v>161</v>
      </c>
      <c r="B36" s="106" t="s">
        <v>162</v>
      </c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</row>
  </sheetData>
  <sheetProtection algorithmName="SHA-512" hashValue="rfeIbBV7NLFdyIXPZC4s9kbWqVDMnr+LcrbThaX/ybpiDWZQoiUo+UEpF5IU1mFIatIU265ZUTsFRcOpmV9p1g==" saltValue="YBsPkQa+NHD1rGZ9QybrdA==" spinCount="100000" sheet="1" objects="1" scenarios="1"/>
  <mergeCells count="16"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  <mergeCell ref="C19:D19"/>
    <mergeCell ref="E19:J19"/>
    <mergeCell ref="B14:J16"/>
    <mergeCell ref="C17:D17"/>
    <mergeCell ref="E17:J17"/>
    <mergeCell ref="C18:D18"/>
    <mergeCell ref="E18:J18"/>
  </mergeCells>
  <hyperlinks>
    <hyperlink ref="E17" r:id="rId1"/>
    <hyperlink ref="E18" r:id="rId2"/>
    <hyperlink ref="E19" r:id="rId3"/>
    <hyperlink ref="E21" r:id="rId4"/>
    <hyperlink ref="E22" r:id="rId5"/>
    <hyperlink ref="B36" r:id="rId6"/>
    <hyperlink ref="B34" r:id="rId7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72"/>
  <sheetViews>
    <sheetView tabSelected="1" topLeftCell="A54" zoomScale="110" zoomScaleNormal="110" workbookViewId="0">
      <selection activeCell="I60" sqref="I60"/>
    </sheetView>
  </sheetViews>
  <sheetFormatPr defaultRowHeight="15" x14ac:dyDescent="0.25"/>
  <cols>
    <col min="1" max="1" width="1.85546875" style="6" customWidth="1"/>
    <col min="2" max="3" width="11.7109375" style="6" customWidth="1"/>
    <col min="4" max="4" width="13.42578125" style="6" customWidth="1"/>
    <col min="5" max="5" width="8.7109375" style="6" customWidth="1"/>
    <col min="6" max="6" width="12.5703125" style="6" bestFit="1" customWidth="1"/>
    <col min="7" max="7" width="10" style="6" customWidth="1"/>
    <col min="8" max="8" width="10.42578125" style="6" bestFit="1" customWidth="1"/>
    <col min="9" max="10" width="9.140625" style="6"/>
    <col min="11" max="11" width="12.5703125" style="6" bestFit="1" customWidth="1"/>
    <col min="12" max="13" width="9.140625" style="6"/>
    <col min="14" max="14" width="11.140625" style="6" customWidth="1"/>
    <col min="15" max="17" width="9.140625" style="6"/>
    <col min="18" max="18" width="18.28515625" style="6" bestFit="1" customWidth="1"/>
    <col min="19" max="16384" width="9.140625" style="6"/>
  </cols>
  <sheetData>
    <row r="1" spans="2:23" ht="34.5" thickBot="1" x14ac:dyDescent="0.55000000000000004">
      <c r="B1" s="142" t="s">
        <v>73</v>
      </c>
      <c r="C1" s="142"/>
      <c r="D1" s="142"/>
      <c r="E1" s="142"/>
      <c r="F1" s="142"/>
      <c r="G1" s="142"/>
      <c r="H1" s="142"/>
      <c r="I1" s="142"/>
      <c r="J1" s="142"/>
      <c r="K1" s="142"/>
    </row>
    <row r="2" spans="2:23" ht="15.75" thickBot="1" x14ac:dyDescent="0.3">
      <c r="B2" s="155" t="s">
        <v>0</v>
      </c>
      <c r="C2" s="155"/>
      <c r="D2" s="155"/>
      <c r="G2" s="39" t="s">
        <v>75</v>
      </c>
      <c r="H2" s="40" t="s">
        <v>76</v>
      </c>
      <c r="I2" s="41" t="s">
        <v>77</v>
      </c>
      <c r="J2" s="41" t="s">
        <v>78</v>
      </c>
      <c r="K2" s="40" t="s">
        <v>79</v>
      </c>
      <c r="L2" s="40" t="s">
        <v>80</v>
      </c>
      <c r="M2" s="40" t="s">
        <v>81</v>
      </c>
      <c r="N2" s="41" t="s">
        <v>82</v>
      </c>
      <c r="O2" s="40" t="s">
        <v>83</v>
      </c>
    </row>
    <row r="3" spans="2:23" ht="30" x14ac:dyDescent="0.25">
      <c r="B3" s="9"/>
      <c r="C3" s="42" t="s">
        <v>6</v>
      </c>
      <c r="D3" s="42" t="s">
        <v>1</v>
      </c>
      <c r="E3" s="43" t="s">
        <v>2</v>
      </c>
      <c r="G3" s="140"/>
      <c r="H3" s="140"/>
      <c r="I3" s="140"/>
      <c r="J3" s="140"/>
      <c r="K3" s="140"/>
      <c r="L3" s="140"/>
      <c r="M3" s="140"/>
      <c r="N3" s="140"/>
      <c r="O3" s="140"/>
    </row>
    <row r="4" spans="2:23" ht="15.75" thickBot="1" x14ac:dyDescent="0.3">
      <c r="B4" s="44"/>
      <c r="C4" s="19"/>
      <c r="D4" s="19">
        <f>0.4*E7</f>
        <v>24000</v>
      </c>
      <c r="E4" s="45">
        <f>IF(C4&gt;0,C4,IF(D4&gt;0,D4))</f>
        <v>24000</v>
      </c>
      <c r="F4" s="6" t="s">
        <v>3</v>
      </c>
      <c r="G4" s="141"/>
      <c r="H4" s="141"/>
      <c r="I4" s="141"/>
      <c r="J4" s="141"/>
      <c r="K4" s="141"/>
      <c r="L4" s="141"/>
      <c r="M4" s="141"/>
      <c r="N4" s="141"/>
      <c r="O4" s="141"/>
    </row>
    <row r="5" spans="2:23" x14ac:dyDescent="0.25">
      <c r="C5" s="19"/>
      <c r="D5" s="19">
        <f>0.45*E6</f>
        <v>1350</v>
      </c>
      <c r="E5" s="45">
        <f t="shared" ref="E5" si="0">IF(C5&gt;0,C5,IF(D5&gt;0,D5))</f>
        <v>1350</v>
      </c>
      <c r="F5" s="6" t="s">
        <v>3</v>
      </c>
      <c r="G5" s="156" t="s">
        <v>99</v>
      </c>
      <c r="H5" s="157"/>
      <c r="I5" s="157"/>
      <c r="J5" s="157"/>
      <c r="K5" s="157"/>
      <c r="L5" s="157"/>
      <c r="M5" s="157"/>
      <c r="N5" s="157"/>
      <c r="O5" s="158"/>
      <c r="R5" s="11"/>
      <c r="S5" s="11"/>
      <c r="T5" s="11"/>
      <c r="U5" s="11"/>
      <c r="V5" s="11"/>
      <c r="W5" s="11"/>
    </row>
    <row r="6" spans="2:23" ht="15.75" thickBot="1" x14ac:dyDescent="0.3">
      <c r="B6" s="19"/>
      <c r="C6" s="27"/>
      <c r="D6" s="19" t="s">
        <v>4</v>
      </c>
      <c r="E6" s="98">
        <v>3000</v>
      </c>
      <c r="F6" s="6" t="s">
        <v>3</v>
      </c>
      <c r="G6" s="159"/>
      <c r="H6" s="160"/>
      <c r="I6" s="160"/>
      <c r="J6" s="160"/>
      <c r="K6" s="160"/>
      <c r="L6" s="160"/>
      <c r="M6" s="160"/>
      <c r="N6" s="160"/>
      <c r="O6" s="161"/>
    </row>
    <row r="7" spans="2:23" x14ac:dyDescent="0.25">
      <c r="B7" s="19"/>
      <c r="C7" s="19"/>
      <c r="D7" s="19" t="s">
        <v>5</v>
      </c>
      <c r="E7" s="98">
        <v>60000</v>
      </c>
      <c r="F7" s="6" t="s">
        <v>3</v>
      </c>
    </row>
    <row r="8" spans="2:23" x14ac:dyDescent="0.25">
      <c r="B8" s="105" t="s">
        <v>93</v>
      </c>
      <c r="C8" s="105"/>
      <c r="D8" s="113"/>
      <c r="E8" s="98">
        <v>66.667000000000002</v>
      </c>
      <c r="F8" s="6" t="s">
        <v>13</v>
      </c>
      <c r="G8" s="155" t="s">
        <v>95</v>
      </c>
      <c r="H8" s="155"/>
      <c r="I8" s="101" t="s">
        <v>76</v>
      </c>
    </row>
    <row r="9" spans="2:23" x14ac:dyDescent="0.25">
      <c r="B9" s="109" t="s">
        <v>18</v>
      </c>
      <c r="C9" s="109"/>
      <c r="D9" s="109"/>
      <c r="E9" s="98">
        <v>60</v>
      </c>
      <c r="F9" s="6" t="s">
        <v>13</v>
      </c>
    </row>
    <row r="10" spans="2:23" x14ac:dyDescent="0.25">
      <c r="B10" s="27"/>
      <c r="C10" s="109" t="s">
        <v>106</v>
      </c>
      <c r="D10" s="110"/>
      <c r="E10" s="98">
        <v>10</v>
      </c>
      <c r="F10" s="6" t="s">
        <v>12</v>
      </c>
    </row>
    <row r="11" spans="2:23" x14ac:dyDescent="0.25">
      <c r="B11" s="27"/>
      <c r="C11" s="109" t="s">
        <v>107</v>
      </c>
      <c r="D11" s="110"/>
      <c r="E11" s="98">
        <v>15</v>
      </c>
      <c r="F11" s="6" t="s">
        <v>12</v>
      </c>
    </row>
    <row r="12" spans="2:23" x14ac:dyDescent="0.25">
      <c r="B12" s="105" t="s">
        <v>47</v>
      </c>
      <c r="C12" s="105"/>
      <c r="D12" s="105"/>
      <c r="E12" s="99">
        <v>3</v>
      </c>
      <c r="F12" s="46" t="s">
        <v>100</v>
      </c>
      <c r="G12" s="46"/>
      <c r="H12" s="46"/>
      <c r="I12" s="46"/>
    </row>
    <row r="13" spans="2:23" ht="15.75" thickBot="1" x14ac:dyDescent="0.3">
      <c r="B13" s="105" t="s">
        <v>136</v>
      </c>
      <c r="C13" s="105"/>
      <c r="D13" s="113"/>
      <c r="E13" s="99">
        <v>5.75</v>
      </c>
      <c r="F13" s="46" t="s">
        <v>7</v>
      </c>
      <c r="G13" s="46"/>
      <c r="H13" s="46"/>
      <c r="I13" s="46"/>
    </row>
    <row r="14" spans="2:23" ht="15" customHeight="1" x14ac:dyDescent="0.25">
      <c r="B14" s="105" t="s">
        <v>9</v>
      </c>
      <c r="C14" s="105"/>
      <c r="D14" s="113"/>
      <c r="E14" s="99">
        <v>13</v>
      </c>
      <c r="F14" s="46" t="s">
        <v>7</v>
      </c>
      <c r="G14" s="46"/>
      <c r="H14" s="46"/>
      <c r="I14" s="46"/>
      <c r="K14" s="143" t="s">
        <v>94</v>
      </c>
      <c r="L14" s="144"/>
    </row>
    <row r="15" spans="2:23" x14ac:dyDescent="0.25">
      <c r="B15" s="105" t="s">
        <v>8</v>
      </c>
      <c r="C15" s="105"/>
      <c r="D15" s="113"/>
      <c r="E15" s="99">
        <v>14</v>
      </c>
      <c r="F15" s="46" t="s">
        <v>7</v>
      </c>
      <c r="G15" s="115" t="str">
        <f>IF(E15/E14&lt;=2,"Two Way Slab Is Confirm.","One Way Slab Is Confirm. Change it.")</f>
        <v>Two Way Slab Is Confirm.</v>
      </c>
      <c r="H15" s="115"/>
      <c r="I15" s="115"/>
      <c r="J15" s="115"/>
      <c r="K15" s="145"/>
      <c r="L15" s="146"/>
    </row>
    <row r="16" spans="2:23" x14ac:dyDescent="0.25">
      <c r="B16" s="9"/>
      <c r="C16" s="114" t="str">
        <f>IF(E14&gt;E15,"You have Input Slab Length Incorrectly. Check it.","")</f>
        <v/>
      </c>
      <c r="D16" s="114"/>
      <c r="E16" s="114"/>
      <c r="F16" s="114"/>
      <c r="G16" s="114"/>
      <c r="H16" s="114"/>
      <c r="I16" s="114"/>
      <c r="K16" s="145"/>
      <c r="L16" s="146"/>
    </row>
    <row r="17" spans="2:20" ht="15.75" thickBot="1" x14ac:dyDescent="0.3">
      <c r="B17" s="9"/>
      <c r="C17" s="28"/>
      <c r="D17" s="28"/>
      <c r="E17" s="28"/>
      <c r="F17" s="28"/>
      <c r="G17" s="28"/>
      <c r="H17" s="28"/>
      <c r="I17" s="28"/>
      <c r="K17" s="145"/>
      <c r="L17" s="146"/>
    </row>
    <row r="18" spans="2:20" x14ac:dyDescent="0.25">
      <c r="B18" s="11" t="s">
        <v>39</v>
      </c>
      <c r="C18" s="47">
        <f>IF(D18&gt;15,15,IF(D18&gt;14,14,IF(D18&gt;13,13,IF(D18&gt;12,12,IF(D18&gt;11,11,IF(D18&gt;10,10,IF(D18&gt;9,9,IF(D18&gt;8,8,IF(D18&gt;7,7,IF(D18&gt;6,6,0))))))))))</f>
        <v>9</v>
      </c>
      <c r="D18" s="11">
        <f>(29*10^6)/(57000*SQRT(E6))</f>
        <v>9.2888620863449205</v>
      </c>
      <c r="E18" s="11"/>
      <c r="F18" s="11"/>
      <c r="G18" s="11"/>
      <c r="H18" s="11"/>
      <c r="I18" s="11"/>
      <c r="J18" s="11"/>
      <c r="K18" s="145"/>
      <c r="L18" s="146"/>
      <c r="M18" s="120" t="str">
        <f>IF(F24="What!","How Dare You That You Have Change My Indentity! [This Program Is Being Crushed!]","Enjoy This Softwere But Please Don’t Change Anything Except 'Blue BOX' ")</f>
        <v xml:space="preserve">Enjoy This Softwere But Please Don’t Change Anything Except 'Blue BOX' </v>
      </c>
      <c r="N18" s="121"/>
      <c r="O18" s="121"/>
      <c r="P18" s="121"/>
      <c r="Q18" s="121"/>
      <c r="R18" s="121"/>
      <c r="S18" s="121"/>
      <c r="T18" s="122"/>
    </row>
    <row r="19" spans="2:20" ht="15" customHeight="1" x14ac:dyDescent="0.25">
      <c r="B19" s="11" t="s">
        <v>40</v>
      </c>
      <c r="C19" s="48">
        <f>(0.4*E7)/(0.45*E6)</f>
        <v>17.777777777777779</v>
      </c>
      <c r="D19" s="114" t="s">
        <v>14</v>
      </c>
      <c r="E19" s="114"/>
      <c r="K19" s="145"/>
      <c r="L19" s="146"/>
      <c r="M19" s="123"/>
      <c r="N19" s="124"/>
      <c r="O19" s="124"/>
      <c r="P19" s="124"/>
      <c r="Q19" s="124"/>
      <c r="R19" s="124"/>
      <c r="S19" s="124"/>
      <c r="T19" s="125"/>
    </row>
    <row r="20" spans="2:20" ht="19.5" customHeight="1" thickBot="1" x14ac:dyDescent="0.3">
      <c r="B20" s="11" t="s">
        <v>41</v>
      </c>
      <c r="C20" s="49">
        <f>C18/(C18+C19)</f>
        <v>0.33609958506224064</v>
      </c>
      <c r="D20" s="6" t="s">
        <v>15</v>
      </c>
      <c r="E20" s="100">
        <v>0</v>
      </c>
      <c r="F20" s="6" t="s">
        <v>7</v>
      </c>
      <c r="K20" s="147"/>
      <c r="L20" s="148"/>
      <c r="M20" s="126"/>
      <c r="N20" s="127"/>
      <c r="O20" s="127"/>
      <c r="P20" s="127"/>
      <c r="Q20" s="127"/>
      <c r="R20" s="127"/>
      <c r="S20" s="127"/>
      <c r="T20" s="128"/>
    </row>
    <row r="21" spans="2:20" x14ac:dyDescent="0.25">
      <c r="B21" s="11" t="s">
        <v>42</v>
      </c>
      <c r="C21" s="50">
        <f>1-(C20/3)</f>
        <v>0.88796680497925307</v>
      </c>
      <c r="D21" s="6" t="s">
        <v>10</v>
      </c>
      <c r="E21" s="100">
        <v>0</v>
      </c>
      <c r="F21" s="6" t="s">
        <v>12</v>
      </c>
      <c r="K21" s="51"/>
      <c r="L21" s="51"/>
    </row>
    <row r="22" spans="2:20" ht="15.75" thickBot="1" x14ac:dyDescent="0.3">
      <c r="B22" s="11" t="s">
        <v>43</v>
      </c>
      <c r="C22" s="48">
        <f>0.5*0.45*E6*C21*C20</f>
        <v>201.45056042423508</v>
      </c>
      <c r="D22" s="6" t="s">
        <v>16</v>
      </c>
      <c r="E22" s="100">
        <v>0</v>
      </c>
      <c r="F22" s="6" t="s">
        <v>17</v>
      </c>
      <c r="K22" s="51"/>
      <c r="L22" s="51"/>
    </row>
    <row r="23" spans="2:20" x14ac:dyDescent="0.25">
      <c r="E23" s="3"/>
      <c r="H23" s="162" t="s">
        <v>144</v>
      </c>
      <c r="I23" s="163"/>
    </row>
    <row r="24" spans="2:20" x14ac:dyDescent="0.25">
      <c r="C24" s="114" t="s">
        <v>105</v>
      </c>
      <c r="D24" s="114"/>
      <c r="E24" s="168">
        <v>5</v>
      </c>
      <c r="F24" s="153">
        <f>IF(K14="This Is Devoloped By, Engr Hedaetullah                 Dept. Of Civil Engg.    TEC(RU)  +8801763603339",'Slab Min Thickness Calculation'!D35,"What!")</f>
        <v>4.0423995826812726</v>
      </c>
      <c r="G24" s="154" t="s">
        <v>11</v>
      </c>
      <c r="H24" s="164">
        <f>IF(F24&lt;=E24,E24,_xlfn.CEILING.MATH(F24,0.25))</f>
        <v>5</v>
      </c>
      <c r="I24" s="111" t="s">
        <v>12</v>
      </c>
      <c r="J24" s="52"/>
    </row>
    <row r="25" spans="2:20" ht="15.75" thickBot="1" x14ac:dyDescent="0.3">
      <c r="C25" s="114"/>
      <c r="D25" s="114"/>
      <c r="E25" s="168"/>
      <c r="F25" s="153"/>
      <c r="G25" s="154"/>
      <c r="H25" s="165"/>
      <c r="I25" s="112"/>
      <c r="J25" s="52"/>
      <c r="K25" s="53"/>
      <c r="L25" s="53"/>
    </row>
    <row r="26" spans="2:20" x14ac:dyDescent="0.25">
      <c r="B26" s="6" t="s">
        <v>49</v>
      </c>
      <c r="C26" s="28" t="s">
        <v>46</v>
      </c>
      <c r="D26" s="54">
        <f>H24-0.75-(E12/16)</f>
        <v>4.0625</v>
      </c>
      <c r="E26" s="30" t="s">
        <v>12</v>
      </c>
      <c r="F26" s="153" t="str">
        <f>IF(G43&lt;D27,"","Please Increase Slab Thickness")</f>
        <v/>
      </c>
      <c r="G26" s="153"/>
      <c r="H26" s="153"/>
      <c r="I26" s="52"/>
      <c r="J26" s="52"/>
    </row>
    <row r="27" spans="2:20" x14ac:dyDescent="0.25">
      <c r="B27" s="6" t="s">
        <v>50</v>
      </c>
      <c r="C27" s="28" t="s">
        <v>46</v>
      </c>
      <c r="D27" s="6">
        <f>D26-(E12/8)</f>
        <v>3.6875</v>
      </c>
      <c r="E27" s="6" t="s">
        <v>12</v>
      </c>
    </row>
    <row r="29" spans="2:20" x14ac:dyDescent="0.25">
      <c r="B29" s="155" t="s">
        <v>19</v>
      </c>
      <c r="C29" s="155"/>
      <c r="D29" s="6">
        <f>((H24/12)*150)+(E20*(E21/12)*E22*120/(E14*E15))+E8</f>
        <v>129.167</v>
      </c>
      <c r="E29" s="6" t="s">
        <v>13</v>
      </c>
    </row>
    <row r="30" spans="2:20" x14ac:dyDescent="0.25">
      <c r="B30" s="155" t="s">
        <v>20</v>
      </c>
      <c r="C30" s="155"/>
      <c r="D30" s="6">
        <f>E9+D29</f>
        <v>189.167</v>
      </c>
      <c r="E30" s="6" t="s">
        <v>13</v>
      </c>
    </row>
    <row r="31" spans="2:20" ht="15.75" thickBot="1" x14ac:dyDescent="0.3"/>
    <row r="32" spans="2:20" ht="15" customHeight="1" x14ac:dyDescent="0.25">
      <c r="B32" s="151" t="s">
        <v>21</v>
      </c>
      <c r="C32" s="152"/>
      <c r="D32" s="152"/>
      <c r="E32" s="55">
        <f>IF(K14="This Is Devoloped By, Engr Hedaetullah                 Dept. Of Civil Engg.    TEC(RU)  +8801763603339",(E14/E15),"What!")</f>
        <v>0.9285714285714286</v>
      </c>
      <c r="F32" s="56"/>
      <c r="G32" s="57"/>
      <c r="H32" s="57"/>
      <c r="I32" s="57"/>
      <c r="J32" s="57"/>
      <c r="K32" s="57"/>
      <c r="L32" s="57"/>
      <c r="M32" s="57"/>
      <c r="N32" s="58"/>
      <c r="O32" s="58"/>
      <c r="P32" s="59"/>
    </row>
    <row r="33" spans="2:16" x14ac:dyDescent="0.25">
      <c r="B33" s="60"/>
      <c r="D33" s="61" t="s">
        <v>91</v>
      </c>
      <c r="E33" s="62">
        <f>_xlfn.FLOOR.MATH(E32,0.05)</f>
        <v>0.9</v>
      </c>
      <c r="G33" s="155" t="s">
        <v>28</v>
      </c>
      <c r="H33" s="155"/>
      <c r="I33" s="155"/>
      <c r="J33" s="155"/>
      <c r="K33" s="155"/>
      <c r="L33" s="155"/>
      <c r="M33" s="155"/>
      <c r="P33" s="63"/>
    </row>
    <row r="34" spans="2:16" x14ac:dyDescent="0.25">
      <c r="B34" s="60"/>
      <c r="D34" s="61" t="s">
        <v>92</v>
      </c>
      <c r="E34" s="62">
        <f>_xlfn.CEILING.MATH(E32,0.05)</f>
        <v>0.95000000000000007</v>
      </c>
      <c r="G34" s="6" t="s">
        <v>24</v>
      </c>
      <c r="H34" s="6" t="s">
        <v>25</v>
      </c>
      <c r="I34" s="6" t="s">
        <v>22</v>
      </c>
      <c r="K34" s="6" t="s">
        <v>26</v>
      </c>
      <c r="L34" s="6" t="s">
        <v>23</v>
      </c>
      <c r="M34" s="63" t="s">
        <v>27</v>
      </c>
      <c r="P34" s="63"/>
    </row>
    <row r="35" spans="2:16" ht="15.75" thickBot="1" x14ac:dyDescent="0.3">
      <c r="B35" s="64"/>
      <c r="D35" s="65"/>
      <c r="E35" s="66"/>
      <c r="F35" s="66"/>
      <c r="G35" s="67">
        <f>'Coefficients For  N M'!Q12</f>
        <v>5.5E-2</v>
      </c>
      <c r="H35" s="67">
        <f>'Coefficients For  N M'!Q13</f>
        <v>4.1000000000000002E-2</v>
      </c>
      <c r="I35" s="67">
        <f>'Coefficients For DL P M '!R12</f>
        <v>2.1999999999999999E-2</v>
      </c>
      <c r="J35" s="67"/>
      <c r="K35" s="67">
        <f>'Coefficients For DL P M '!R13</f>
        <v>1.6E-2</v>
      </c>
      <c r="L35" s="67">
        <f>'Coefficients For LL P M '!R12</f>
        <v>3.4000000000000002E-2</v>
      </c>
      <c r="M35" s="67">
        <f>'Coefficients For LL P M '!R13</f>
        <v>2.5000000000000001E-2</v>
      </c>
      <c r="N35" s="66"/>
      <c r="O35" s="66"/>
      <c r="P35" s="68"/>
    </row>
    <row r="38" spans="2:16" ht="15.75" thickBot="1" x14ac:dyDescent="0.3">
      <c r="B38" s="149" t="s">
        <v>29</v>
      </c>
      <c r="C38" s="150"/>
      <c r="D38" s="69"/>
    </row>
    <row r="39" spans="2:16" x14ac:dyDescent="0.25">
      <c r="B39" s="70"/>
      <c r="C39" s="9"/>
      <c r="D39" s="71"/>
      <c r="E39" s="136" t="s">
        <v>44</v>
      </c>
      <c r="F39" s="137"/>
      <c r="G39" s="138"/>
    </row>
    <row r="40" spans="2:16" x14ac:dyDescent="0.25">
      <c r="B40" s="134" t="s">
        <v>35</v>
      </c>
      <c r="C40" s="119"/>
      <c r="D40" s="135"/>
      <c r="E40" s="72" t="s">
        <v>45</v>
      </c>
      <c r="F40" s="73">
        <f>MAX(C42,C41,C41,C45,C46,C49,C50)</f>
        <v>1758.3072649999999</v>
      </c>
      <c r="G40" s="74" t="s">
        <v>31</v>
      </c>
    </row>
    <row r="41" spans="2:16" ht="16.5" thickBot="1" x14ac:dyDescent="0.3">
      <c r="B41" s="75" t="s">
        <v>30</v>
      </c>
      <c r="C41" s="62">
        <f>H35*D30*E15^2</f>
        <v>1520.1460119999999</v>
      </c>
      <c r="D41" s="71" t="s">
        <v>31</v>
      </c>
      <c r="E41" s="76">
        <f>IF(C41&gt;C42,C41,C42)</f>
        <v>1520.1460119999999</v>
      </c>
    </row>
    <row r="42" spans="2:16" ht="15.75" x14ac:dyDescent="0.25">
      <c r="B42" s="75" t="s">
        <v>32</v>
      </c>
      <c r="C42" s="62">
        <f>(M35*E9*E15^2)+(K35*D29*E15^2)</f>
        <v>699.06771200000003</v>
      </c>
      <c r="D42" s="71" t="s">
        <v>31</v>
      </c>
      <c r="F42" s="130" t="s">
        <v>38</v>
      </c>
      <c r="G42" s="131"/>
      <c r="H42" s="77"/>
    </row>
    <row r="43" spans="2:16" ht="16.5" thickBot="1" x14ac:dyDescent="0.3">
      <c r="B43" s="75"/>
      <c r="D43" s="71"/>
      <c r="F43" s="78" t="s">
        <v>56</v>
      </c>
      <c r="G43" s="79">
        <f>SQRT((F40*12)/(C22*12))</f>
        <v>2.9543581678769146</v>
      </c>
      <c r="H43" s="80" t="s">
        <v>12</v>
      </c>
      <c r="I43" s="166" t="str">
        <f>IF(D27&gt;G43,"Depth Check Is ok!","Depth Check Is not Ok! Pls Try Again")</f>
        <v>Depth Check Is ok!</v>
      </c>
      <c r="J43" s="166"/>
      <c r="K43" s="166"/>
      <c r="L43" s="167"/>
      <c r="M43" s="44"/>
      <c r="N43" s="44"/>
    </row>
    <row r="44" spans="2:16" x14ac:dyDescent="0.25">
      <c r="B44" s="75" t="s">
        <v>36</v>
      </c>
      <c r="D44" s="71"/>
      <c r="E44" s="81">
        <f>IF(C45&gt;C46,C45,C46)</f>
        <v>1758.3072649999999</v>
      </c>
    </row>
    <row r="45" spans="2:16" ht="15.75" x14ac:dyDescent="0.25">
      <c r="B45" s="75" t="s">
        <v>33</v>
      </c>
      <c r="C45" s="62">
        <f>G35*D30*E14^2</f>
        <v>1758.3072649999999</v>
      </c>
      <c r="D45" s="71" t="s">
        <v>31</v>
      </c>
      <c r="E45" s="81"/>
    </row>
    <row r="46" spans="2:16" ht="15.75" x14ac:dyDescent="0.25">
      <c r="B46" s="75" t="s">
        <v>34</v>
      </c>
      <c r="C46" s="62">
        <f>(L35*E9*E14^2)+(I35*D29*E14^2)</f>
        <v>825.00290599999994</v>
      </c>
      <c r="D46" s="71" t="s">
        <v>31</v>
      </c>
      <c r="E46" s="81"/>
    </row>
    <row r="47" spans="2:16" x14ac:dyDescent="0.25">
      <c r="B47" s="75"/>
      <c r="D47" s="71"/>
    </row>
    <row r="48" spans="2:16" x14ac:dyDescent="0.25">
      <c r="B48" s="134" t="s">
        <v>37</v>
      </c>
      <c r="C48" s="119"/>
      <c r="D48" s="135"/>
    </row>
    <row r="49" spans="2:21" ht="15.75" x14ac:dyDescent="0.25">
      <c r="B49" s="75" t="s">
        <v>30</v>
      </c>
      <c r="C49" s="6">
        <f>C42/3</f>
        <v>233.02257066666667</v>
      </c>
      <c r="D49" s="71" t="s">
        <v>31</v>
      </c>
    </row>
    <row r="50" spans="2:21" ht="15.75" x14ac:dyDescent="0.25">
      <c r="B50" s="72" t="s">
        <v>33</v>
      </c>
      <c r="C50" s="82">
        <f>C46/3</f>
        <v>275.00096866666667</v>
      </c>
      <c r="D50" s="74" t="s">
        <v>31</v>
      </c>
    </row>
    <row r="53" spans="2:21" ht="15.75" thickBot="1" x14ac:dyDescent="0.3"/>
    <row r="54" spans="2:21" x14ac:dyDescent="0.25">
      <c r="B54" s="129" t="s">
        <v>48</v>
      </c>
      <c r="C54" s="129"/>
      <c r="D54" s="129"/>
      <c r="F54" s="132" t="s">
        <v>60</v>
      </c>
      <c r="G54" s="133"/>
      <c r="H54" s="133"/>
      <c r="I54" s="83"/>
      <c r="J54" s="77"/>
    </row>
    <row r="55" spans="2:21" x14ac:dyDescent="0.25">
      <c r="B55" s="139" t="s">
        <v>72</v>
      </c>
      <c r="C55" s="139"/>
      <c r="D55" s="84">
        <f>IF(E7&gt;=60000,(0.0018*12*H24),(0.002*12*H24))</f>
        <v>0.10800000000000001</v>
      </c>
      <c r="E55" s="6" t="s">
        <v>53</v>
      </c>
      <c r="F55" s="85"/>
      <c r="J55" s="86"/>
    </row>
    <row r="56" spans="2:21" ht="15.75" thickBot="1" x14ac:dyDescent="0.3">
      <c r="F56" s="118" t="s">
        <v>61</v>
      </c>
      <c r="G56" s="119"/>
      <c r="J56" s="86"/>
      <c r="K56" s="129" t="s">
        <v>74</v>
      </c>
      <c r="L56" s="129"/>
      <c r="M56" s="87">
        <f>2*H24</f>
        <v>10</v>
      </c>
      <c r="N56" s="87" t="s">
        <v>12</v>
      </c>
    </row>
    <row r="57" spans="2:21" ht="18.75" x14ac:dyDescent="0.3">
      <c r="B57" s="88" t="s">
        <v>51</v>
      </c>
      <c r="C57" s="83"/>
      <c r="D57" s="77"/>
      <c r="F57" s="85" t="s">
        <v>62</v>
      </c>
      <c r="G57" s="89">
        <f>(((3.1416/4)*(E12/8)^2)*12)/C60</f>
        <v>11.590423385229945</v>
      </c>
      <c r="H57" s="52" t="s">
        <v>11</v>
      </c>
      <c r="I57" s="103">
        <f>IF(G57&lt;M56,G57,M56)</f>
        <v>10</v>
      </c>
      <c r="J57" s="86" t="s">
        <v>12</v>
      </c>
    </row>
    <row r="58" spans="2:21" x14ac:dyDescent="0.25">
      <c r="B58" s="85"/>
      <c r="D58" s="86"/>
      <c r="F58" s="85"/>
      <c r="H58" s="52"/>
      <c r="J58" s="86"/>
    </row>
    <row r="59" spans="2:21" x14ac:dyDescent="0.25">
      <c r="B59" s="85" t="s">
        <v>52</v>
      </c>
      <c r="C59" s="89">
        <f>IF(D55&gt;=(C45*12)/(0.4*E7*C21*D26),D55,(C45*12)/(0.4*E7*C21*D26))</f>
        <v>0.24371074097196263</v>
      </c>
      <c r="D59" s="86" t="s">
        <v>53</v>
      </c>
      <c r="F59" s="118" t="s">
        <v>63</v>
      </c>
      <c r="G59" s="119"/>
      <c r="J59" s="86"/>
    </row>
    <row r="60" spans="2:21" ht="19.5" thickBot="1" x14ac:dyDescent="0.35">
      <c r="B60" s="90" t="s">
        <v>54</v>
      </c>
      <c r="C60" s="91">
        <f>IF(D55&gt;=(C46*12)/(0.4*E7*C21*D26),D55,(C46*12)/(0.4*E7*C21*D26))</f>
        <v>0.11434979171588786</v>
      </c>
      <c r="D60" s="80" t="s">
        <v>53</v>
      </c>
      <c r="F60" s="90" t="s">
        <v>62</v>
      </c>
      <c r="G60" s="91">
        <f>(((3.1416/4)*(E12/8)^2)*12)/C65</f>
        <v>12.271874999999998</v>
      </c>
      <c r="H60" s="92" t="s">
        <v>11</v>
      </c>
      <c r="I60" s="104">
        <f>IF(G60&lt;M56,G60,M56)</f>
        <v>10</v>
      </c>
      <c r="J60" s="80" t="s">
        <v>12</v>
      </c>
    </row>
    <row r="61" spans="2:21" ht="15.75" thickBot="1" x14ac:dyDescent="0.3">
      <c r="Q61" s="11"/>
      <c r="R61" s="11"/>
      <c r="S61" s="11" t="s">
        <v>163</v>
      </c>
      <c r="T61" s="11" t="s">
        <v>164</v>
      </c>
      <c r="U61" s="11"/>
    </row>
    <row r="62" spans="2:21" x14ac:dyDescent="0.25">
      <c r="B62" s="130" t="s">
        <v>55</v>
      </c>
      <c r="C62" s="131"/>
      <c r="D62" s="77"/>
      <c r="F62" s="132" t="s">
        <v>64</v>
      </c>
      <c r="G62" s="133"/>
      <c r="H62" s="116" t="s">
        <v>68</v>
      </c>
      <c r="I62" s="117"/>
      <c r="K62" s="132" t="s">
        <v>64</v>
      </c>
      <c r="L62" s="133"/>
      <c r="M62" s="116" t="s">
        <v>71</v>
      </c>
      <c r="N62" s="117"/>
      <c r="Q62" s="11" t="s">
        <v>165</v>
      </c>
      <c r="R62" s="49">
        <f>C59-G65</f>
        <v>0.17744261597196265</v>
      </c>
      <c r="S62" s="11">
        <f>R62/((3.1416/4)*(E12/8)^2)</f>
        <v>1.6065879271999561</v>
      </c>
      <c r="T62" s="11">
        <f>S62*I57*2/12</f>
        <v>2.6776465453332605</v>
      </c>
      <c r="U62" s="11"/>
    </row>
    <row r="63" spans="2:21" x14ac:dyDescent="0.25">
      <c r="B63" s="85"/>
      <c r="D63" s="86"/>
      <c r="F63" s="85"/>
      <c r="I63" s="86"/>
      <c r="K63" s="85"/>
      <c r="N63" s="86"/>
      <c r="Q63" s="11" t="s">
        <v>166</v>
      </c>
      <c r="R63" s="49">
        <f>C64-G69</f>
        <v>0.1658593509334706</v>
      </c>
      <c r="S63" s="11">
        <f>R63/((3.1416/4)*(E12/8)^2)</f>
        <v>1.5017115779280363</v>
      </c>
      <c r="T63" s="11">
        <f>S63*I60*2/12</f>
        <v>2.5028526298800604</v>
      </c>
      <c r="U63" s="11"/>
    </row>
    <row r="64" spans="2:21" x14ac:dyDescent="0.25">
      <c r="B64" s="85" t="s">
        <v>52</v>
      </c>
      <c r="C64" s="89">
        <f>IF(D55&gt;=(C41*12)/(0.4*E7*C21*D27),D55,(C41*12)/(0.4*E7*C21*D27))</f>
        <v>0.23212747593347058</v>
      </c>
      <c r="D64" s="86" t="s">
        <v>53</v>
      </c>
      <c r="F64" s="118" t="s">
        <v>65</v>
      </c>
      <c r="G64" s="119"/>
      <c r="I64" s="86"/>
      <c r="K64" s="118" t="s">
        <v>65</v>
      </c>
      <c r="L64" s="119"/>
      <c r="N64" s="86"/>
      <c r="Q64" s="11" t="s">
        <v>167</v>
      </c>
      <c r="R64" s="49">
        <f>C70-L65</f>
        <v>4.1731875000000015E-2</v>
      </c>
      <c r="S64" s="11">
        <f>R64/((3.1416/4)*(E12/8)^2)</f>
        <v>0.37784568372803679</v>
      </c>
      <c r="T64" s="11">
        <f>S64*I57*2/12</f>
        <v>0.62974280621339462</v>
      </c>
      <c r="U64" s="11"/>
    </row>
    <row r="65" spans="2:21" ht="15.75" thickBot="1" x14ac:dyDescent="0.3">
      <c r="B65" s="90" t="s">
        <v>54</v>
      </c>
      <c r="C65" s="91">
        <f>IF(D55&gt;=(C42*12)/(0.4*E7*C21*D27),D55,(C42*12)/(0.4*E7*C21*D27))</f>
        <v>0.10800000000000001</v>
      </c>
      <c r="D65" s="80" t="s">
        <v>53</v>
      </c>
      <c r="F65" s="85" t="s">
        <v>66</v>
      </c>
      <c r="G65" s="93">
        <f>((((3.1416/4)*(E12/8)^2))*12)/(2*I57)</f>
        <v>6.6268124999999997E-2</v>
      </c>
      <c r="H65" s="6" t="s">
        <v>53</v>
      </c>
      <c r="I65" s="86"/>
      <c r="K65" s="85" t="s">
        <v>66</v>
      </c>
      <c r="L65" s="93">
        <f>((((3.1416/4)*(E12/8)^2))*12)/(2*I57)</f>
        <v>6.6268124999999997E-2</v>
      </c>
      <c r="M65" s="6" t="s">
        <v>53</v>
      </c>
      <c r="N65" s="86"/>
      <c r="Q65" s="11" t="s">
        <v>168</v>
      </c>
      <c r="R65" s="49">
        <f>C72-L69</f>
        <v>4.1731875000000015E-2</v>
      </c>
      <c r="S65" s="11">
        <f>R65/((3.1416/4)*(E12/8)^2)</f>
        <v>0.37784568372803679</v>
      </c>
      <c r="T65" s="11">
        <f>S65*I60*2/12</f>
        <v>0.62974280621339462</v>
      </c>
      <c r="U65" s="11"/>
    </row>
    <row r="66" spans="2:21" x14ac:dyDescent="0.25">
      <c r="F66" s="85" t="s">
        <v>67</v>
      </c>
      <c r="G66" s="94">
        <f>T62</f>
        <v>2.6776465453332605</v>
      </c>
      <c r="H66" s="6" t="s">
        <v>69</v>
      </c>
      <c r="I66" s="86"/>
      <c r="K66" s="85" t="s">
        <v>67</v>
      </c>
      <c r="L66" s="94">
        <f>T64</f>
        <v>0.62974280621339462</v>
      </c>
      <c r="M66" s="6" t="s">
        <v>69</v>
      </c>
      <c r="N66" s="86"/>
      <c r="Q66" s="11"/>
      <c r="R66" s="11"/>
      <c r="S66" s="11"/>
      <c r="T66" s="11"/>
      <c r="U66" s="11"/>
    </row>
    <row r="67" spans="2:21" ht="15.75" thickBot="1" x14ac:dyDescent="0.3">
      <c r="F67" s="85"/>
      <c r="I67" s="86"/>
      <c r="K67" s="85"/>
      <c r="N67" s="86"/>
    </row>
    <row r="68" spans="2:21" x14ac:dyDescent="0.25">
      <c r="B68" s="130" t="s">
        <v>57</v>
      </c>
      <c r="C68" s="131"/>
      <c r="D68" s="77"/>
      <c r="F68" s="118" t="s">
        <v>70</v>
      </c>
      <c r="G68" s="119"/>
      <c r="I68" s="86"/>
      <c r="K68" s="118" t="s">
        <v>70</v>
      </c>
      <c r="L68" s="119"/>
      <c r="N68" s="86"/>
    </row>
    <row r="69" spans="2:21" x14ac:dyDescent="0.25">
      <c r="B69" s="85"/>
      <c r="D69" s="86"/>
      <c r="F69" s="85" t="s">
        <v>66</v>
      </c>
      <c r="G69" s="93">
        <f>(((3.1416/4)*(E12/8)^2)*12)/(2*I60)</f>
        <v>6.6268124999999997E-2</v>
      </c>
      <c r="H69" s="6" t="s">
        <v>53</v>
      </c>
      <c r="I69" s="86"/>
      <c r="K69" s="85" t="s">
        <v>66</v>
      </c>
      <c r="L69" s="93">
        <f>(((3.1416/4)*(E12/8)^2)*12)/(2*I60)</f>
        <v>6.6268124999999997E-2</v>
      </c>
      <c r="M69" s="6" t="s">
        <v>53</v>
      </c>
      <c r="N69" s="86"/>
    </row>
    <row r="70" spans="2:21" ht="15.75" thickBot="1" x14ac:dyDescent="0.3">
      <c r="B70" s="85" t="s">
        <v>58</v>
      </c>
      <c r="C70" s="93">
        <f>IF(D55&gt;=(C50*12)/(0.4*E7*C21*D26),D55,(C50*12)/(0.4*E7*C21*D26))</f>
        <v>0.10800000000000001</v>
      </c>
      <c r="D70" s="86" t="s">
        <v>53</v>
      </c>
      <c r="F70" s="90" t="s">
        <v>67</v>
      </c>
      <c r="G70" s="95">
        <f>T63</f>
        <v>2.5028526298800604</v>
      </c>
      <c r="H70" s="96" t="s">
        <v>69</v>
      </c>
      <c r="I70" s="80"/>
      <c r="K70" s="90" t="s">
        <v>67</v>
      </c>
      <c r="L70" s="95">
        <f>T65</f>
        <v>0.62974280621339462</v>
      </c>
      <c r="M70" s="96" t="s">
        <v>69</v>
      </c>
      <c r="N70" s="80"/>
    </row>
    <row r="71" spans="2:21" x14ac:dyDescent="0.25">
      <c r="B71" s="85"/>
      <c r="D71" s="86"/>
    </row>
    <row r="72" spans="2:21" ht="15.75" thickBot="1" x14ac:dyDescent="0.3">
      <c r="B72" s="90" t="s">
        <v>59</v>
      </c>
      <c r="C72" s="97">
        <f>IF(D55&gt;=(C49*12)/(0.4*E7*C21*D27),D55,(C49*12)/(0.4*E7*C21*D27))</f>
        <v>0.10800000000000001</v>
      </c>
      <c r="D72" s="80" t="s">
        <v>53</v>
      </c>
    </row>
  </sheetData>
  <sheetProtection algorithmName="SHA-512" hashValue="HbiMgBepQ9Pi3of7lgXP8L91v00AKEp6rtJmfglvHHBusF9CdIKCPexUv5k1RIWDBWVud/wxQkddRfXnWneUrQ==" saltValue="yl0oNKzLQdVpTnPqXYoKQw==" spinCount="100000" sheet="1" selectLockedCells="1"/>
  <mergeCells count="60">
    <mergeCell ref="F26:H26"/>
    <mergeCell ref="H23:I23"/>
    <mergeCell ref="B29:C29"/>
    <mergeCell ref="H24:H25"/>
    <mergeCell ref="I43:L43"/>
    <mergeCell ref="C24:D25"/>
    <mergeCell ref="E24:E25"/>
    <mergeCell ref="B1:K1"/>
    <mergeCell ref="K14:L20"/>
    <mergeCell ref="B38:C38"/>
    <mergeCell ref="B40:D40"/>
    <mergeCell ref="B32:D32"/>
    <mergeCell ref="F24:F25"/>
    <mergeCell ref="G24:G25"/>
    <mergeCell ref="B30:C30"/>
    <mergeCell ref="G33:M33"/>
    <mergeCell ref="G8:H8"/>
    <mergeCell ref="L3:L4"/>
    <mergeCell ref="B13:D13"/>
    <mergeCell ref="B2:D2"/>
    <mergeCell ref="B8:D8"/>
    <mergeCell ref="B9:D9"/>
    <mergeCell ref="G5:O6"/>
    <mergeCell ref="O3:O4"/>
    <mergeCell ref="G3:G4"/>
    <mergeCell ref="H3:H4"/>
    <mergeCell ref="I3:I4"/>
    <mergeCell ref="J3:J4"/>
    <mergeCell ref="K3:K4"/>
    <mergeCell ref="M3:M4"/>
    <mergeCell ref="N3:N4"/>
    <mergeCell ref="B48:D48"/>
    <mergeCell ref="F42:G42"/>
    <mergeCell ref="E39:G39"/>
    <mergeCell ref="B55:C55"/>
    <mergeCell ref="K62:L62"/>
    <mergeCell ref="F62:G62"/>
    <mergeCell ref="F64:G64"/>
    <mergeCell ref="H62:I62"/>
    <mergeCell ref="B68:C68"/>
    <mergeCell ref="F54:H54"/>
    <mergeCell ref="F56:G56"/>
    <mergeCell ref="F59:G59"/>
    <mergeCell ref="F68:G68"/>
    <mergeCell ref="B54:D54"/>
    <mergeCell ref="B62:C62"/>
    <mergeCell ref="M62:N62"/>
    <mergeCell ref="K64:L64"/>
    <mergeCell ref="M18:T20"/>
    <mergeCell ref="K68:L68"/>
    <mergeCell ref="K56:L56"/>
    <mergeCell ref="C10:D10"/>
    <mergeCell ref="C11:D11"/>
    <mergeCell ref="I24:I25"/>
    <mergeCell ref="B12:D12"/>
    <mergeCell ref="B14:D14"/>
    <mergeCell ref="B15:D15"/>
    <mergeCell ref="D19:E19"/>
    <mergeCell ref="C16:I16"/>
    <mergeCell ref="G15:J15"/>
  </mergeCells>
  <conditionalFormatting sqref="C16:I17">
    <cfRule type="containsText" dxfId="7" priority="7" operator="containsText" text="You have Input Slab Length Incorrectly. Check it.">
      <formula>NOT(ISERROR(SEARCH("You have Input Slab Length Incorrectly. Check it.",C16)))</formula>
    </cfRule>
  </conditionalFormatting>
  <conditionalFormatting sqref="F26:H26">
    <cfRule type="containsText" dxfId="6" priority="1" operator="containsText" text="Please Increase Slab Thickness">
      <formula>NOT(ISERROR(SEARCH("Please Increase Slab Thickness",F26)))</formula>
    </cfRule>
  </conditionalFormatting>
  <conditionalFormatting sqref="G15">
    <cfRule type="containsText" dxfId="5" priority="8" operator="containsText" text="One Way Slab Is Confirm.">
      <formula>NOT(ISERROR(SEARCH("One Way Slab Is Confirm.",G15)))</formula>
    </cfRule>
  </conditionalFormatting>
  <conditionalFormatting sqref="G15:J15">
    <cfRule type="containsText" dxfId="4" priority="4" operator="containsText" text="Two Way Slab Is Confirm.">
      <formula>NOT(ISERROR(SEARCH("Two Way Slab Is Confirm.",G15)))</formula>
    </cfRule>
    <cfRule type="containsText" dxfId="3" priority="5" operator="containsText" text="Two Way Slab Is Confirm.">
      <formula>NOT(ISERROR(SEARCH("Two Way Slab Is Confirm.",G15)))</formula>
    </cfRule>
    <cfRule type="containsText" dxfId="2" priority="6" operator="containsText" text="One Way Slab Is Confirm! Change it.">
      <formula>NOT(ISERROR(SEARCH("One Way Slab Is Confirm! Change it.",G15)))</formula>
    </cfRule>
  </conditionalFormatting>
  <conditionalFormatting sqref="I43:L43">
    <cfRule type="containsText" dxfId="1" priority="2" operator="containsText" text="Depth Check Is not Ok! Pls Try Again">
      <formula>NOT(ISERROR(SEARCH("Depth Check Is not Ok! Pls Try Again",I43)))</formula>
    </cfRule>
    <cfRule type="containsText" dxfId="0" priority="3" operator="containsText" text="Depth Check Is ok!">
      <formula>NOT(ISERROR(SEARCH("Depth Check Is ok!",I43)))</formula>
    </cfRule>
  </conditionalFormatting>
  <dataValidations disablePrompts="1" count="1">
    <dataValidation type="list" allowBlank="1" showInputMessage="1" showErrorMessage="1" sqref="I8">
      <formula1>$G$2:$O$2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42"/>
  <sheetViews>
    <sheetView topLeftCell="A10" workbookViewId="0">
      <selection activeCell="H40" sqref="H40"/>
    </sheetView>
  </sheetViews>
  <sheetFormatPr defaultRowHeight="15" x14ac:dyDescent="0.25"/>
  <cols>
    <col min="1" max="1" width="12.140625" style="6" customWidth="1"/>
    <col min="2" max="2" width="9.140625" style="6"/>
    <col min="3" max="3" width="24" style="6" customWidth="1"/>
    <col min="4" max="4" width="11.5703125" style="6" bestFit="1" customWidth="1"/>
    <col min="5" max="16384" width="9.140625" style="6"/>
  </cols>
  <sheetData>
    <row r="4" spans="1:7" x14ac:dyDescent="0.25">
      <c r="B4" s="7" t="s">
        <v>126</v>
      </c>
      <c r="C4" s="8">
        <f>'V1.3 (Updated 03-2025)'!E15</f>
        <v>14</v>
      </c>
      <c r="D4" s="6" t="s">
        <v>90</v>
      </c>
      <c r="E4" s="6" t="s">
        <v>101</v>
      </c>
    </row>
    <row r="5" spans="1:7" x14ac:dyDescent="0.25">
      <c r="B5" s="6" t="s">
        <v>127</v>
      </c>
      <c r="C5" s="8">
        <f>'V1.3 (Updated 03-2025)'!E14</f>
        <v>13</v>
      </c>
      <c r="D5" s="6" t="s">
        <v>90</v>
      </c>
      <c r="E5" s="6" t="s">
        <v>102</v>
      </c>
    </row>
    <row r="6" spans="1:7" x14ac:dyDescent="0.25">
      <c r="A6" s="155" t="s">
        <v>130</v>
      </c>
      <c r="B6" s="155"/>
      <c r="C6" s="10">
        <f>'V1.3 (Updated 03-2025)'!E10</f>
        <v>10</v>
      </c>
      <c r="D6" s="6" t="s">
        <v>12</v>
      </c>
    </row>
    <row r="7" spans="1:7" x14ac:dyDescent="0.25">
      <c r="A7" s="155" t="s">
        <v>131</v>
      </c>
      <c r="B7" s="155"/>
      <c r="C7" s="10">
        <f>'V1.3 (Updated 03-2025)'!E11</f>
        <v>15</v>
      </c>
      <c r="D7" s="6" t="s">
        <v>12</v>
      </c>
    </row>
    <row r="8" spans="1:7" x14ac:dyDescent="0.25">
      <c r="B8" s="6" t="s">
        <v>103</v>
      </c>
      <c r="C8" s="8">
        <f>'V1.3 (Updated 03-2025)'!E7</f>
        <v>60000</v>
      </c>
      <c r="D8" s="6" t="s">
        <v>3</v>
      </c>
      <c r="E8" s="6" t="s">
        <v>104</v>
      </c>
    </row>
    <row r="11" spans="1:7" x14ac:dyDescent="0.25">
      <c r="A11" s="11"/>
      <c r="B11" s="12" t="s">
        <v>108</v>
      </c>
      <c r="C11" s="13" t="s">
        <v>109</v>
      </c>
      <c r="D11" s="14">
        <f>C6</f>
        <v>10</v>
      </c>
      <c r="E11" s="11" t="s">
        <v>12</v>
      </c>
      <c r="F11" s="169" t="s">
        <v>128</v>
      </c>
      <c r="G11" s="169"/>
    </row>
    <row r="12" spans="1:7" ht="15.75" x14ac:dyDescent="0.25">
      <c r="A12" s="11"/>
      <c r="B12" s="12" t="s">
        <v>137</v>
      </c>
      <c r="C12" s="13" t="s">
        <v>109</v>
      </c>
      <c r="D12" s="14">
        <f>C7</f>
        <v>15</v>
      </c>
      <c r="E12" s="11" t="s">
        <v>12</v>
      </c>
      <c r="F12" s="169" t="s">
        <v>129</v>
      </c>
      <c r="G12" s="169"/>
    </row>
    <row r="13" spans="1:7" ht="18.75" x14ac:dyDescent="0.35">
      <c r="B13" s="15" t="s">
        <v>110</v>
      </c>
      <c r="C13" s="9" t="s">
        <v>109</v>
      </c>
      <c r="D13" s="16" t="s">
        <v>134</v>
      </c>
      <c r="F13" s="6" t="s">
        <v>132</v>
      </c>
    </row>
    <row r="14" spans="1:7" ht="17.25" x14ac:dyDescent="0.25">
      <c r="B14" s="17"/>
      <c r="C14" s="9" t="s">
        <v>109</v>
      </c>
      <c r="D14" s="16">
        <f>1.5*D11*(D12^3/12)</f>
        <v>4218.75</v>
      </c>
      <c r="E14" s="6" t="s">
        <v>111</v>
      </c>
    </row>
    <row r="15" spans="1:7" ht="18.75" x14ac:dyDescent="0.35">
      <c r="B15" s="15" t="s">
        <v>112</v>
      </c>
      <c r="C15" s="9" t="s">
        <v>109</v>
      </c>
      <c r="D15" s="16" t="s">
        <v>135</v>
      </c>
      <c r="F15" s="6" t="s">
        <v>133</v>
      </c>
    </row>
    <row r="16" spans="1:7" ht="17.25" x14ac:dyDescent="0.25">
      <c r="B16" s="15"/>
      <c r="C16" s="9" t="s">
        <v>109</v>
      </c>
      <c r="D16" s="18">
        <f>2*D11*(D12^3/12)</f>
        <v>5625</v>
      </c>
      <c r="E16" s="6" t="s">
        <v>111</v>
      </c>
    </row>
    <row r="17" spans="2:8" x14ac:dyDescent="0.25">
      <c r="B17" s="19" t="s">
        <v>113</v>
      </c>
      <c r="C17" s="9" t="s">
        <v>109</v>
      </c>
      <c r="D17" s="20">
        <f>C4</f>
        <v>14</v>
      </c>
      <c r="E17" s="6" t="s">
        <v>7</v>
      </c>
    </row>
    <row r="18" spans="2:8" x14ac:dyDescent="0.25">
      <c r="B18" s="19" t="s">
        <v>114</v>
      </c>
      <c r="C18" s="9" t="s">
        <v>109</v>
      </c>
      <c r="D18" s="20">
        <f>C5</f>
        <v>13</v>
      </c>
      <c r="E18" s="6" t="s">
        <v>7</v>
      </c>
    </row>
    <row r="19" spans="2:8" x14ac:dyDescent="0.25">
      <c r="B19" s="19" t="s">
        <v>115</v>
      </c>
      <c r="C19" s="9" t="s">
        <v>109</v>
      </c>
      <c r="D19" s="20">
        <f>'V1.3 (Updated 03-2025)'!E13</f>
        <v>5.75</v>
      </c>
      <c r="E19" s="6" t="s">
        <v>7</v>
      </c>
    </row>
    <row r="20" spans="2:8" x14ac:dyDescent="0.25">
      <c r="B20" s="19" t="s">
        <v>116</v>
      </c>
      <c r="C20" s="9" t="s">
        <v>109</v>
      </c>
      <c r="D20" s="20">
        <f>'V1.3 (Updated 03-2025)'!E24</f>
        <v>5</v>
      </c>
      <c r="E20" s="6" t="s">
        <v>12</v>
      </c>
    </row>
    <row r="21" spans="2:8" s="11" customFormat="1" ht="18.75" x14ac:dyDescent="0.35">
      <c r="B21" s="21" t="s">
        <v>138</v>
      </c>
      <c r="C21" s="13" t="s">
        <v>109</v>
      </c>
      <c r="D21" s="13">
        <f>(D17*(D20^3))</f>
        <v>1750</v>
      </c>
      <c r="E21" s="11" t="s">
        <v>139</v>
      </c>
    </row>
    <row r="22" spans="2:8" s="11" customFormat="1" ht="18.75" x14ac:dyDescent="0.35">
      <c r="B22" s="21" t="s">
        <v>140</v>
      </c>
      <c r="C22" s="13" t="s">
        <v>109</v>
      </c>
      <c r="D22" s="13">
        <f>(D18*(D20^3))</f>
        <v>1625</v>
      </c>
      <c r="E22" s="11" t="s">
        <v>139</v>
      </c>
    </row>
    <row r="23" spans="2:8" s="11" customFormat="1" ht="18.75" x14ac:dyDescent="0.35">
      <c r="B23" s="21" t="s">
        <v>141</v>
      </c>
      <c r="C23" s="13" t="s">
        <v>109</v>
      </c>
      <c r="D23" s="13">
        <f>(D19*(D20^3))</f>
        <v>718.75</v>
      </c>
      <c r="E23" s="11" t="s">
        <v>139</v>
      </c>
    </row>
    <row r="24" spans="2:8" ht="18.75" x14ac:dyDescent="0.35">
      <c r="B24" s="19" t="s">
        <v>117</v>
      </c>
      <c r="C24" s="9" t="s">
        <v>109</v>
      </c>
      <c r="D24" s="22" t="s">
        <v>118</v>
      </c>
    </row>
    <row r="25" spans="2:8" s="11" customFormat="1" ht="18.75" x14ac:dyDescent="0.35">
      <c r="B25" s="23"/>
      <c r="C25" s="13" t="s">
        <v>109</v>
      </c>
      <c r="D25" s="24" t="s">
        <v>142</v>
      </c>
    </row>
    <row r="26" spans="2:8" x14ac:dyDescent="0.25">
      <c r="B26" s="19" t="s">
        <v>119</v>
      </c>
      <c r="C26" s="9" t="s">
        <v>109</v>
      </c>
      <c r="D26" s="9">
        <f>D16/D21</f>
        <v>3.2142857142857144</v>
      </c>
      <c r="E26" s="7"/>
    </row>
    <row r="27" spans="2:8" x14ac:dyDescent="0.25">
      <c r="B27" s="19" t="s">
        <v>120</v>
      </c>
      <c r="C27" s="9" t="s">
        <v>109</v>
      </c>
      <c r="D27" s="9">
        <f>D16/D22</f>
        <v>3.4615384615384617</v>
      </c>
      <c r="E27" s="7"/>
    </row>
    <row r="28" spans="2:8" x14ac:dyDescent="0.25">
      <c r="B28" s="19" t="s">
        <v>121</v>
      </c>
      <c r="C28" s="9" t="s">
        <v>109</v>
      </c>
      <c r="D28" s="9">
        <f>D14/D23</f>
        <v>5.8695652173913047</v>
      </c>
      <c r="E28" s="7"/>
    </row>
    <row r="29" spans="2:8" x14ac:dyDescent="0.25">
      <c r="B29" s="19" t="s">
        <v>122</v>
      </c>
      <c r="C29" s="9" t="s">
        <v>109</v>
      </c>
      <c r="D29" s="9">
        <f>(D26+D27+D28)/3</f>
        <v>4.18179646440516</v>
      </c>
      <c r="E29" s="25" t="str">
        <f>IF(D29&lt;2,"&lt;2",IF(D29&gt;2,"&gt;2"))</f>
        <v>&gt;2</v>
      </c>
    </row>
    <row r="30" spans="2:8" x14ac:dyDescent="0.25">
      <c r="B30" s="26" t="s">
        <v>123</v>
      </c>
      <c r="C30" s="9" t="s">
        <v>109</v>
      </c>
      <c r="D30" s="6">
        <f>(D17-0.42)/(D18-0.42)</f>
        <v>1.0794912559618441</v>
      </c>
      <c r="E30" s="7"/>
    </row>
    <row r="31" spans="2:8" x14ac:dyDescent="0.25">
      <c r="B31" s="19"/>
      <c r="C31" s="9"/>
      <c r="D31" s="9"/>
      <c r="E31" s="7"/>
    </row>
    <row r="32" spans="2:8" ht="40.5" customHeight="1" x14ac:dyDescent="0.25">
      <c r="B32" s="27" t="s">
        <v>124</v>
      </c>
      <c r="C32" s="28" t="s">
        <v>109</v>
      </c>
      <c r="F32" s="28" t="s">
        <v>109</v>
      </c>
      <c r="G32" s="29">
        <f>MAX((D17*12*(0.8+(C8/200000)))/(36+5*D30*(D29-0.2)),5)</f>
        <v>5</v>
      </c>
      <c r="H32" s="30" t="s">
        <v>12</v>
      </c>
    </row>
    <row r="33" spans="2:8" ht="47.25" customHeight="1" x14ac:dyDescent="0.25">
      <c r="B33" s="27" t="s">
        <v>125</v>
      </c>
      <c r="C33" s="28" t="s">
        <v>109</v>
      </c>
      <c r="F33" s="28" t="s">
        <v>109</v>
      </c>
      <c r="G33" s="29">
        <f>MAX(((D17*12*(0.8+(C8/200000)))/(36+9*D30)),3.5433)</f>
        <v>4.0423995826812726</v>
      </c>
      <c r="H33" s="30" t="s">
        <v>12</v>
      </c>
    </row>
    <row r="34" spans="2:8" x14ac:dyDescent="0.25">
      <c r="B34" s="19"/>
      <c r="C34" s="28"/>
      <c r="D34" s="9"/>
    </row>
    <row r="35" spans="2:8" ht="18" x14ac:dyDescent="0.35">
      <c r="B35" s="23" t="s">
        <v>143</v>
      </c>
      <c r="C35" s="31" t="s">
        <v>109</v>
      </c>
      <c r="D35" s="32">
        <f>IF(D29&lt;2,G32,IF(D29&gt;2,G33))</f>
        <v>4.0423995826812726</v>
      </c>
      <c r="E35" s="11" t="s">
        <v>12</v>
      </c>
    </row>
    <row r="36" spans="2:8" x14ac:dyDescent="0.25">
      <c r="B36" s="27"/>
      <c r="C36" s="9"/>
      <c r="D36" s="9"/>
    </row>
    <row r="37" spans="2:8" x14ac:dyDescent="0.25">
      <c r="B37" s="27"/>
      <c r="C37" s="9"/>
      <c r="D37" s="33"/>
    </row>
    <row r="38" spans="2:8" x14ac:dyDescent="0.25">
      <c r="B38" s="19"/>
      <c r="C38" s="9"/>
      <c r="D38" s="9"/>
    </row>
    <row r="39" spans="2:8" x14ac:dyDescent="0.25">
      <c r="B39" s="19"/>
      <c r="C39" s="9"/>
      <c r="D39" s="9"/>
    </row>
    <row r="40" spans="2:8" x14ac:dyDescent="0.25">
      <c r="B40" s="19"/>
      <c r="C40" s="9"/>
      <c r="D40" s="9"/>
    </row>
    <row r="41" spans="2:8" x14ac:dyDescent="0.25">
      <c r="B41" s="19"/>
      <c r="C41" s="9"/>
      <c r="D41" s="9"/>
    </row>
    <row r="42" spans="2:8" x14ac:dyDescent="0.25">
      <c r="B42" s="19"/>
      <c r="C42" s="9"/>
      <c r="D42" s="9"/>
    </row>
  </sheetData>
  <sheetProtection algorithmName="SHA-512" hashValue="cUt1B79G+Jh1R6Ev9AEj9XdcpzI0WHYjGxARi17zSLUIPhXV3/odGgRV/mzoEuKRmRdo0nyYwCID/nrSbu6Bwg==" saltValue="WtrzbMLZOhYnLnUwZSctVQ==" spinCount="100000" sheet="1" objects="1" scenarios="1" selectLockedCells="1"/>
  <mergeCells count="4">
    <mergeCell ref="F11:G11"/>
    <mergeCell ref="F12:G12"/>
    <mergeCell ref="A6:B6"/>
    <mergeCell ref="A7:B7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S25"/>
  <sheetViews>
    <sheetView workbookViewId="0">
      <selection activeCell="L35" sqref="A1:XFD1048576"/>
    </sheetView>
  </sheetViews>
  <sheetFormatPr defaultRowHeight="15" x14ac:dyDescent="0.25"/>
  <cols>
    <col min="1" max="16384" width="9.140625" style="6"/>
  </cols>
  <sheetData>
    <row r="3" spans="3:19" x14ac:dyDescent="0.25">
      <c r="C3" s="9" t="s">
        <v>90</v>
      </c>
      <c r="D3" s="9"/>
      <c r="E3" s="9" t="s">
        <v>75</v>
      </c>
      <c r="F3" s="9" t="s">
        <v>76</v>
      </c>
      <c r="G3" s="9" t="s">
        <v>77</v>
      </c>
      <c r="H3" s="9" t="s">
        <v>78</v>
      </c>
      <c r="I3" s="9" t="s">
        <v>79</v>
      </c>
      <c r="J3" s="9" t="s">
        <v>80</v>
      </c>
      <c r="K3" s="9" t="s">
        <v>81</v>
      </c>
      <c r="L3" s="9" t="s">
        <v>82</v>
      </c>
      <c r="M3" s="9" t="s">
        <v>83</v>
      </c>
    </row>
    <row r="4" spans="3:19" x14ac:dyDescent="0.25">
      <c r="C4" s="9">
        <v>1</v>
      </c>
      <c r="D4" s="9" t="s">
        <v>86</v>
      </c>
      <c r="E4" s="9"/>
      <c r="F4" s="9">
        <v>4.4999999999999998E-2</v>
      </c>
      <c r="G4" s="9"/>
      <c r="H4" s="9">
        <v>0.05</v>
      </c>
      <c r="I4" s="9">
        <v>7.4999999999999997E-2</v>
      </c>
      <c r="J4" s="9">
        <v>7.0999999999999994E-2</v>
      </c>
      <c r="K4" s="9"/>
      <c r="L4" s="9">
        <v>3.3000000000000002E-2</v>
      </c>
      <c r="M4" s="9">
        <v>6.0999999999999999E-2</v>
      </c>
    </row>
    <row r="5" spans="3:19" x14ac:dyDescent="0.25">
      <c r="C5" s="9">
        <v>1</v>
      </c>
      <c r="D5" s="9" t="s">
        <v>87</v>
      </c>
      <c r="E5" s="9"/>
      <c r="F5" s="9">
        <v>4.4999999999999998E-2</v>
      </c>
      <c r="G5" s="9">
        <v>7.5999999999999998E-2</v>
      </c>
      <c r="H5" s="9">
        <v>0.05</v>
      </c>
      <c r="I5" s="9"/>
      <c r="J5" s="9"/>
      <c r="K5" s="9">
        <v>7.0999999999999994E-2</v>
      </c>
      <c r="L5" s="9">
        <v>6.0999999999999999E-2</v>
      </c>
      <c r="M5" s="9">
        <v>3.3000000000000002E-2</v>
      </c>
    </row>
    <row r="6" spans="3:19" x14ac:dyDescent="0.25">
      <c r="C6" s="9">
        <v>0.95</v>
      </c>
      <c r="D6" s="9" t="s">
        <v>86</v>
      </c>
      <c r="E6" s="9"/>
      <c r="F6" s="9">
        <v>0.05</v>
      </c>
      <c r="G6" s="9"/>
      <c r="H6" s="9">
        <v>5.5E-2</v>
      </c>
      <c r="I6" s="9">
        <v>7.9000000000000001E-2</v>
      </c>
      <c r="J6" s="9">
        <v>7.4999999999999997E-2</v>
      </c>
      <c r="K6" s="9"/>
      <c r="L6" s="9">
        <v>3.7999999999999999E-2</v>
      </c>
      <c r="M6" s="9">
        <v>6.5000000000000002E-2</v>
      </c>
      <c r="O6" s="11"/>
      <c r="P6" s="11"/>
      <c r="Q6" s="11"/>
      <c r="R6" s="11"/>
      <c r="S6" s="11"/>
    </row>
    <row r="7" spans="3:19" x14ac:dyDescent="0.25">
      <c r="C7" s="9">
        <v>0.95</v>
      </c>
      <c r="D7" s="9" t="s">
        <v>87</v>
      </c>
      <c r="E7" s="9"/>
      <c r="F7" s="9">
        <v>4.1000000000000002E-2</v>
      </c>
      <c r="G7" s="9">
        <v>7.1999999999999995E-2</v>
      </c>
      <c r="H7" s="9">
        <v>4.4999999999999998E-2</v>
      </c>
      <c r="I7" s="9"/>
      <c r="J7" s="9"/>
      <c r="K7" s="9">
        <v>6.7000000000000004E-2</v>
      </c>
      <c r="L7" s="9">
        <v>5.6000000000000001E-2</v>
      </c>
      <c r="M7" s="9">
        <v>2.9000000000000001E-2</v>
      </c>
      <c r="O7" s="11"/>
      <c r="P7" s="11"/>
      <c r="Q7" s="11"/>
      <c r="R7" s="11"/>
      <c r="S7" s="11"/>
    </row>
    <row r="8" spans="3:19" x14ac:dyDescent="0.25">
      <c r="C8" s="9">
        <v>0.9</v>
      </c>
      <c r="D8" s="9" t="s">
        <v>86</v>
      </c>
      <c r="E8" s="9"/>
      <c r="F8" s="9">
        <v>5.5E-2</v>
      </c>
      <c r="G8" s="9"/>
      <c r="H8" s="9">
        <v>0.06</v>
      </c>
      <c r="I8" s="9">
        <v>0.08</v>
      </c>
      <c r="J8" s="9">
        <v>7.9000000000000001E-2</v>
      </c>
      <c r="K8" s="9"/>
      <c r="L8" s="9">
        <v>4.2999999999999997E-2</v>
      </c>
      <c r="M8" s="9">
        <v>6.8000000000000005E-2</v>
      </c>
      <c r="O8" s="11"/>
      <c r="P8" s="11"/>
      <c r="Q8" s="11"/>
      <c r="R8" s="11"/>
      <c r="S8" s="11"/>
    </row>
    <row r="9" spans="3:19" x14ac:dyDescent="0.25">
      <c r="C9" s="9">
        <v>0.9</v>
      </c>
      <c r="D9" s="9" t="s">
        <v>87</v>
      </c>
      <c r="E9" s="9"/>
      <c r="F9" s="9">
        <v>3.6999999999999998E-2</v>
      </c>
      <c r="G9" s="9">
        <v>7.0000000000000007E-2</v>
      </c>
      <c r="H9" s="9">
        <v>0.04</v>
      </c>
      <c r="I9" s="9"/>
      <c r="J9" s="9"/>
      <c r="K9" s="9">
        <v>6.2E-2</v>
      </c>
      <c r="L9" s="9">
        <v>5.1999999999999998E-2</v>
      </c>
      <c r="M9" s="9">
        <v>2.5000000000000001E-2</v>
      </c>
      <c r="O9" s="11"/>
      <c r="P9" s="11" t="s">
        <v>96</v>
      </c>
      <c r="Q9" s="34">
        <f>'V1.3 (Updated 03-2025)'!E33</f>
        <v>0.9</v>
      </c>
      <c r="R9" s="11"/>
      <c r="S9" s="11"/>
    </row>
    <row r="10" spans="3:19" x14ac:dyDescent="0.25">
      <c r="C10" s="9">
        <v>0.85</v>
      </c>
      <c r="D10" s="9" t="s">
        <v>86</v>
      </c>
      <c r="E10" s="9"/>
      <c r="F10" s="9">
        <v>0.06</v>
      </c>
      <c r="G10" s="9"/>
      <c r="H10" s="9">
        <v>6.6000000000000003E-2</v>
      </c>
      <c r="I10" s="9">
        <v>8.2000000000000003E-2</v>
      </c>
      <c r="J10" s="9">
        <v>8.3000000000000004E-2</v>
      </c>
      <c r="K10" s="9"/>
      <c r="L10" s="9">
        <v>4.9000000000000002E-2</v>
      </c>
      <c r="M10" s="9">
        <v>7.1999999999999995E-2</v>
      </c>
      <c r="O10" s="11"/>
      <c r="P10" s="11" t="s">
        <v>97</v>
      </c>
      <c r="Q10" s="34">
        <f>'V1.3 (Updated 03-2025)'!E34</f>
        <v>0.95000000000000007</v>
      </c>
      <c r="R10" s="11"/>
      <c r="S10" s="11"/>
    </row>
    <row r="11" spans="3:19" x14ac:dyDescent="0.25">
      <c r="C11" s="9">
        <v>0.85</v>
      </c>
      <c r="D11" s="9" t="s">
        <v>87</v>
      </c>
      <c r="E11" s="9"/>
      <c r="F11" s="9">
        <v>3.1E-2</v>
      </c>
      <c r="G11" s="9">
        <v>6.5000000000000002E-2</v>
      </c>
      <c r="H11" s="9">
        <v>3.4000000000000002E-2</v>
      </c>
      <c r="I11" s="9"/>
      <c r="J11" s="9"/>
      <c r="K11" s="9">
        <v>5.7000000000000002E-2</v>
      </c>
      <c r="L11" s="9">
        <v>4.5999999999999999E-2</v>
      </c>
      <c r="M11" s="9">
        <v>2.1000000000000001E-2</v>
      </c>
      <c r="O11" s="11"/>
      <c r="P11" s="11" t="s">
        <v>98</v>
      </c>
      <c r="Q11" s="13" t="str">
        <f>'V1.3 (Updated 03-2025)'!I8</f>
        <v>Case 2</v>
      </c>
      <c r="R11" s="11"/>
      <c r="S11" s="11"/>
    </row>
    <row r="12" spans="3:19" x14ac:dyDescent="0.25">
      <c r="C12" s="9">
        <v>0.8</v>
      </c>
      <c r="D12" s="9" t="s">
        <v>86</v>
      </c>
      <c r="E12" s="9"/>
      <c r="F12" s="9">
        <v>6.5000000000000002E-2</v>
      </c>
      <c r="G12" s="9"/>
      <c r="H12" s="9">
        <v>7.0999999999999994E-2</v>
      </c>
      <c r="I12" s="9">
        <v>8.3000000000000004E-2</v>
      </c>
      <c r="J12" s="9">
        <v>8.5999999999999993E-2</v>
      </c>
      <c r="K12" s="9"/>
      <c r="L12" s="9">
        <v>5.5E-2</v>
      </c>
      <c r="M12" s="9">
        <v>7.4999999999999997E-2</v>
      </c>
      <c r="O12" s="11"/>
      <c r="P12" s="11" t="s">
        <v>86</v>
      </c>
      <c r="Q12" s="11">
        <f t="array" ref="Q12">INDEX(E4:M25,MATCH(Q9&amp;P12,C4:C25&amp;D4:D25,0),MATCH(Q11,E3:M3,0))</f>
        <v>5.5E-2</v>
      </c>
      <c r="R12" s="11"/>
      <c r="S12" s="11"/>
    </row>
    <row r="13" spans="3:19" x14ac:dyDescent="0.25">
      <c r="C13" s="9">
        <v>0.8</v>
      </c>
      <c r="D13" s="9" t="s">
        <v>87</v>
      </c>
      <c r="E13" s="9"/>
      <c r="F13" s="9">
        <v>2.7E-2</v>
      </c>
      <c r="G13" s="9">
        <v>6.0999999999999999E-2</v>
      </c>
      <c r="H13" s="9">
        <v>2.9000000000000001E-2</v>
      </c>
      <c r="I13" s="9"/>
      <c r="J13" s="9"/>
      <c r="K13" s="9">
        <v>5.0999999999999997E-2</v>
      </c>
      <c r="L13" s="9">
        <v>4.1000000000000002E-2</v>
      </c>
      <c r="M13" s="9">
        <v>1.7000000000000001E-2</v>
      </c>
      <c r="O13" s="11"/>
      <c r="P13" s="11" t="s">
        <v>87</v>
      </c>
      <c r="Q13" s="11">
        <f t="array" ref="Q13">INDEX(E4:M25,MATCH(Q10&amp;P13,C4:C25&amp;D4:D25,0),MATCH(Q11,E3:M3,0))</f>
        <v>4.1000000000000002E-2</v>
      </c>
      <c r="R13" s="11"/>
      <c r="S13" s="11"/>
    </row>
    <row r="14" spans="3:19" x14ac:dyDescent="0.25">
      <c r="C14" s="9">
        <v>0.75</v>
      </c>
      <c r="D14" s="9" t="s">
        <v>86</v>
      </c>
      <c r="E14" s="9"/>
      <c r="F14" s="9">
        <v>6.9000000000000006E-2</v>
      </c>
      <c r="G14" s="9"/>
      <c r="H14" s="9">
        <v>7.5999999999999998E-2</v>
      </c>
      <c r="I14" s="9">
        <v>8.5000000000000006E-2</v>
      </c>
      <c r="J14" s="9">
        <v>8.7999999999999995E-2</v>
      </c>
      <c r="K14" s="9"/>
      <c r="L14" s="9">
        <v>6.0999999999999999E-2</v>
      </c>
      <c r="M14" s="9">
        <v>7.8E-2</v>
      </c>
      <c r="O14" s="11"/>
      <c r="P14" s="11"/>
      <c r="Q14" s="11"/>
      <c r="R14" s="11"/>
      <c r="S14" s="11"/>
    </row>
    <row r="15" spans="3:19" x14ac:dyDescent="0.25">
      <c r="C15" s="9">
        <v>0.75</v>
      </c>
      <c r="D15" s="9" t="s">
        <v>87</v>
      </c>
      <c r="E15" s="9"/>
      <c r="F15" s="9">
        <v>2.1999999999999999E-2</v>
      </c>
      <c r="G15" s="9">
        <v>5.6000000000000001E-2</v>
      </c>
      <c r="H15" s="9">
        <v>2.4E-2</v>
      </c>
      <c r="I15" s="9"/>
      <c r="J15" s="9"/>
      <c r="K15" s="9">
        <v>4.3999999999999997E-2</v>
      </c>
      <c r="L15" s="9">
        <v>3.5999999999999997E-2</v>
      </c>
      <c r="M15" s="9">
        <v>1.4E-2</v>
      </c>
      <c r="O15" s="11"/>
      <c r="P15" s="11"/>
      <c r="Q15" s="11"/>
      <c r="R15" s="11"/>
      <c r="S15" s="11"/>
    </row>
    <row r="16" spans="3:19" x14ac:dyDescent="0.25">
      <c r="C16" s="9">
        <v>0.7</v>
      </c>
      <c r="D16" s="9" t="s">
        <v>86</v>
      </c>
      <c r="E16" s="9"/>
      <c r="F16" s="9">
        <v>7.3999999999999996E-2</v>
      </c>
      <c r="G16" s="9"/>
      <c r="H16" s="9">
        <v>8.1000000000000003E-2</v>
      </c>
      <c r="I16" s="9">
        <v>8.5999999999999993E-2</v>
      </c>
      <c r="J16" s="9">
        <v>9.0999999999999998E-2</v>
      </c>
      <c r="K16" s="9"/>
      <c r="L16" s="9">
        <v>6.8000000000000005E-2</v>
      </c>
      <c r="M16" s="9">
        <v>8.1000000000000003E-2</v>
      </c>
      <c r="O16" s="11"/>
      <c r="P16" s="11"/>
      <c r="Q16" s="11"/>
      <c r="R16" s="11"/>
      <c r="S16" s="11"/>
    </row>
    <row r="17" spans="3:19" x14ac:dyDescent="0.25">
      <c r="C17" s="9">
        <v>0.7</v>
      </c>
      <c r="D17" s="9" t="s">
        <v>87</v>
      </c>
      <c r="E17" s="9"/>
      <c r="F17" s="9">
        <v>1.7000000000000001E-2</v>
      </c>
      <c r="G17" s="9">
        <v>0.05</v>
      </c>
      <c r="H17" s="9">
        <v>1.9E-2</v>
      </c>
      <c r="I17" s="9"/>
      <c r="J17" s="9"/>
      <c r="K17" s="9">
        <v>3.7999999999999999E-2</v>
      </c>
      <c r="L17" s="9">
        <v>2.9000000000000001E-2</v>
      </c>
      <c r="M17" s="9">
        <v>1.0999999999999999E-2</v>
      </c>
      <c r="O17" s="11"/>
      <c r="P17" s="11"/>
      <c r="Q17" s="11"/>
      <c r="R17" s="11"/>
      <c r="S17" s="11"/>
    </row>
    <row r="18" spans="3:19" x14ac:dyDescent="0.25">
      <c r="C18" s="9">
        <v>0.65</v>
      </c>
      <c r="D18" s="9" t="s">
        <v>86</v>
      </c>
      <c r="E18" s="9"/>
      <c r="F18" s="9">
        <v>7.6999999999999999E-2</v>
      </c>
      <c r="G18" s="9"/>
      <c r="H18" s="9">
        <v>8.5000000000000006E-2</v>
      </c>
      <c r="I18" s="9">
        <v>8.6999999999999994E-2</v>
      </c>
      <c r="J18" s="9">
        <v>9.2999999999999999E-2</v>
      </c>
      <c r="K18" s="9"/>
      <c r="L18" s="9">
        <v>7.3999999999999996E-2</v>
      </c>
      <c r="M18" s="9">
        <v>8.3000000000000004E-2</v>
      </c>
      <c r="O18" s="11"/>
      <c r="P18" s="11"/>
      <c r="Q18" s="11"/>
      <c r="R18" s="11"/>
      <c r="S18" s="11"/>
    </row>
    <row r="19" spans="3:19" x14ac:dyDescent="0.25">
      <c r="C19" s="9">
        <v>0.65</v>
      </c>
      <c r="D19" s="9" t="s">
        <v>87</v>
      </c>
      <c r="E19" s="9"/>
      <c r="F19" s="9">
        <v>1.4E-2</v>
      </c>
      <c r="G19" s="9">
        <v>4.2999999999999997E-2</v>
      </c>
      <c r="H19" s="9">
        <v>1.4999999999999999E-2</v>
      </c>
      <c r="I19" s="9"/>
      <c r="J19" s="9"/>
      <c r="K19" s="9">
        <v>3.1E-2</v>
      </c>
      <c r="L19" s="9">
        <v>2.4E-2</v>
      </c>
      <c r="M19" s="9">
        <v>8.0000000000000002E-3</v>
      </c>
      <c r="O19" s="11"/>
      <c r="P19" s="11"/>
      <c r="Q19" s="11"/>
      <c r="R19" s="11"/>
      <c r="S19" s="11"/>
    </row>
    <row r="20" spans="3:19" x14ac:dyDescent="0.25">
      <c r="C20" s="9">
        <v>0.6</v>
      </c>
      <c r="D20" s="9" t="s">
        <v>86</v>
      </c>
      <c r="E20" s="9"/>
      <c r="F20" s="9">
        <v>8.1000000000000003E-2</v>
      </c>
      <c r="G20" s="9"/>
      <c r="H20" s="9">
        <v>8.8999999999999996E-2</v>
      </c>
      <c r="I20" s="9">
        <v>8.7999999999999995E-2</v>
      </c>
      <c r="J20" s="9">
        <v>9.5000000000000001E-2</v>
      </c>
      <c r="K20" s="9"/>
      <c r="L20" s="9">
        <v>0.08</v>
      </c>
      <c r="M20" s="9">
        <v>8.5000000000000006E-2</v>
      </c>
    </row>
    <row r="21" spans="3:19" x14ac:dyDescent="0.25">
      <c r="C21" s="9">
        <v>0.6</v>
      </c>
      <c r="D21" s="9" t="s">
        <v>87</v>
      </c>
      <c r="E21" s="9"/>
      <c r="F21" s="9">
        <v>0.01</v>
      </c>
      <c r="G21" s="9">
        <v>3.5000000000000003E-2</v>
      </c>
      <c r="H21" s="9">
        <v>1.0999999999999999E-2</v>
      </c>
      <c r="I21" s="9"/>
      <c r="J21" s="9"/>
      <c r="K21" s="9">
        <v>2.4E-2</v>
      </c>
      <c r="L21" s="9">
        <v>1.7999999999999999E-2</v>
      </c>
      <c r="M21" s="9">
        <v>6.0000000000000001E-3</v>
      </c>
    </row>
    <row r="22" spans="3:19" x14ac:dyDescent="0.25">
      <c r="C22" s="9">
        <v>0.55000000000000004</v>
      </c>
      <c r="D22" s="9" t="s">
        <v>86</v>
      </c>
      <c r="E22" s="9"/>
      <c r="F22" s="9">
        <v>8.4000000000000005E-2</v>
      </c>
      <c r="G22" s="9"/>
      <c r="H22" s="9">
        <v>9.1999999999999998E-2</v>
      </c>
      <c r="I22" s="9">
        <v>8.8999999999999996E-2</v>
      </c>
      <c r="J22" s="9">
        <v>9.6000000000000002E-2</v>
      </c>
      <c r="K22" s="9"/>
      <c r="L22" s="9">
        <v>8.5000000000000006E-2</v>
      </c>
      <c r="M22" s="9">
        <v>8.5999999999999993E-2</v>
      </c>
    </row>
    <row r="23" spans="3:19" x14ac:dyDescent="0.25">
      <c r="C23" s="9">
        <v>0.55000000000000004</v>
      </c>
      <c r="D23" s="9" t="s">
        <v>87</v>
      </c>
      <c r="E23" s="9"/>
      <c r="F23" s="9">
        <v>7.0000000000000001E-3</v>
      </c>
      <c r="G23" s="9">
        <v>2.8000000000000001E-2</v>
      </c>
      <c r="H23" s="9">
        <v>8.0000000000000002E-3</v>
      </c>
      <c r="I23" s="9"/>
      <c r="J23" s="9"/>
      <c r="K23" s="9">
        <v>1.9E-2</v>
      </c>
      <c r="L23" s="9">
        <v>1.4E-2</v>
      </c>
      <c r="M23" s="9">
        <v>5.0000000000000001E-3</v>
      </c>
    </row>
    <row r="24" spans="3:19" x14ac:dyDescent="0.25">
      <c r="C24" s="9">
        <v>0.5</v>
      </c>
      <c r="D24" s="9" t="s">
        <v>86</v>
      </c>
      <c r="E24" s="9"/>
      <c r="F24" s="9">
        <v>8.5999999999999993E-2</v>
      </c>
      <c r="G24" s="9"/>
      <c r="H24" s="9">
        <v>9.4E-2</v>
      </c>
      <c r="I24" s="9">
        <v>0.09</v>
      </c>
      <c r="J24" s="9">
        <v>9.7000000000000003E-2</v>
      </c>
      <c r="K24" s="9"/>
      <c r="L24" s="9">
        <v>8.8999999999999996E-2</v>
      </c>
      <c r="M24" s="9">
        <v>8.7999999999999995E-2</v>
      </c>
    </row>
    <row r="25" spans="3:19" x14ac:dyDescent="0.25">
      <c r="C25" s="9">
        <v>0.5</v>
      </c>
      <c r="D25" s="9" t="s">
        <v>87</v>
      </c>
      <c r="E25" s="9"/>
      <c r="F25" s="9">
        <v>6.0000000000000001E-3</v>
      </c>
      <c r="G25" s="9">
        <v>2.1999999999999999E-2</v>
      </c>
      <c r="H25" s="9">
        <v>6.0000000000000001E-3</v>
      </c>
      <c r="I25" s="9"/>
      <c r="J25" s="9"/>
      <c r="K25" s="9">
        <v>1.4E-2</v>
      </c>
      <c r="L25" s="9">
        <v>0.01</v>
      </c>
      <c r="M25" s="9">
        <v>3.0000000000000001E-3</v>
      </c>
    </row>
  </sheetData>
  <sheetProtection algorithmName="SHA-512" hashValue="gA36qEukMoNKB6/WsPwjNstUhN1pYGtASdxKOWBoYQTJ+fJKxJV2rrR2jFjs4EScuiMT2SVUj92jqOL3OqnLVw==" saltValue="j1o1g6LJvlnljr/HUmjARA==" spinCount="100000" sheet="1" objects="1" scenarios="1" selectLockedCells="1" selectUn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6"/>
  <sheetViews>
    <sheetView zoomScaleNormal="100" workbookViewId="0">
      <selection activeCell="H32" sqref="H32"/>
    </sheetView>
  </sheetViews>
  <sheetFormatPr defaultRowHeight="15" x14ac:dyDescent="0.25"/>
  <cols>
    <col min="1" max="16384" width="9.140625" style="6"/>
  </cols>
  <sheetData>
    <row r="1" spans="2:20" x14ac:dyDescent="0.25">
      <c r="P1" s="11"/>
      <c r="Q1" s="11"/>
      <c r="R1" s="11"/>
      <c r="S1" s="11"/>
      <c r="T1" s="11"/>
    </row>
    <row r="2" spans="2:20" x14ac:dyDescent="0.25">
      <c r="P2" s="11"/>
      <c r="Q2" s="11"/>
      <c r="R2" s="11"/>
      <c r="S2" s="11"/>
      <c r="T2" s="11"/>
    </row>
    <row r="3" spans="2:20" x14ac:dyDescent="0.25">
      <c r="P3" s="11"/>
      <c r="Q3" s="11"/>
      <c r="R3" s="11"/>
      <c r="S3" s="11"/>
      <c r="T3" s="11"/>
    </row>
    <row r="4" spans="2:20" x14ac:dyDescent="0.25">
      <c r="C4" s="35"/>
      <c r="D4" s="35"/>
      <c r="E4" s="36" t="s">
        <v>75</v>
      </c>
      <c r="F4" s="36" t="s">
        <v>76</v>
      </c>
      <c r="G4" s="36" t="s">
        <v>77</v>
      </c>
      <c r="H4" s="36" t="s">
        <v>78</v>
      </c>
      <c r="I4" s="36" t="s">
        <v>79</v>
      </c>
      <c r="J4" s="36" t="s">
        <v>80</v>
      </c>
      <c r="K4" s="36" t="s">
        <v>81</v>
      </c>
      <c r="L4" s="36" t="s">
        <v>82</v>
      </c>
      <c r="M4" s="36" t="s">
        <v>83</v>
      </c>
      <c r="P4" s="11"/>
      <c r="Q4" s="11"/>
      <c r="R4" s="11"/>
      <c r="S4" s="11"/>
      <c r="T4" s="11"/>
    </row>
    <row r="5" spans="2:20" x14ac:dyDescent="0.25">
      <c r="B5" s="6">
        <v>1</v>
      </c>
      <c r="C5" s="37">
        <v>1</v>
      </c>
      <c r="D5" s="38" t="s">
        <v>84</v>
      </c>
      <c r="E5" s="35">
        <v>3.5999999999999997E-2</v>
      </c>
      <c r="F5" s="35">
        <v>1.7999999999999999E-2</v>
      </c>
      <c r="G5" s="35">
        <v>1.7999999999999999E-2</v>
      </c>
      <c r="H5" s="35">
        <v>2.7E-2</v>
      </c>
      <c r="I5" s="35">
        <v>2.7E-2</v>
      </c>
      <c r="J5" s="35">
        <v>3.3000000000000002E-2</v>
      </c>
      <c r="K5" s="35">
        <v>2.7E-2</v>
      </c>
      <c r="L5" s="35">
        <v>0.02</v>
      </c>
      <c r="M5" s="35">
        <v>2.3E-2</v>
      </c>
      <c r="P5" s="11"/>
      <c r="Q5" s="11"/>
      <c r="R5" s="11"/>
      <c r="S5" s="11"/>
      <c r="T5" s="11"/>
    </row>
    <row r="6" spans="2:20" x14ac:dyDescent="0.25">
      <c r="B6" s="6">
        <v>2</v>
      </c>
      <c r="C6" s="37">
        <v>1</v>
      </c>
      <c r="D6" s="38" t="s">
        <v>85</v>
      </c>
      <c r="E6" s="35">
        <v>3.5999999999999997E-2</v>
      </c>
      <c r="F6" s="35">
        <v>1.7999999999999999E-2</v>
      </c>
      <c r="G6" s="35">
        <v>2.7E-2</v>
      </c>
      <c r="H6" s="35">
        <v>2.7E-2</v>
      </c>
      <c r="I6" s="35">
        <v>1.7999999999999999E-2</v>
      </c>
      <c r="J6" s="35">
        <v>2.7E-2</v>
      </c>
      <c r="K6" s="35">
        <v>3.3000000000000002E-2</v>
      </c>
      <c r="L6" s="35">
        <v>2.3E-2</v>
      </c>
      <c r="M6" s="35">
        <v>0.02</v>
      </c>
      <c r="P6" s="11"/>
      <c r="Q6" s="11"/>
      <c r="R6" s="11"/>
      <c r="S6" s="11"/>
      <c r="T6" s="11"/>
    </row>
    <row r="7" spans="2:20" x14ac:dyDescent="0.25">
      <c r="B7" s="6">
        <v>3</v>
      </c>
      <c r="C7" s="37">
        <v>0.95</v>
      </c>
      <c r="D7" s="38" t="s">
        <v>84</v>
      </c>
      <c r="E7" s="35">
        <v>0.04</v>
      </c>
      <c r="F7" s="35">
        <v>0.02</v>
      </c>
      <c r="G7" s="35">
        <v>2.1000000000000001E-2</v>
      </c>
      <c r="H7" s="35">
        <v>0.03</v>
      </c>
      <c r="I7" s="35">
        <v>2.8000000000000001E-2</v>
      </c>
      <c r="J7" s="35">
        <v>3.5999999999999997E-2</v>
      </c>
      <c r="K7" s="35">
        <v>3.1E-2</v>
      </c>
      <c r="L7" s="35">
        <v>2.1999999999999999E-2</v>
      </c>
      <c r="M7" s="35">
        <v>2.4E-2</v>
      </c>
      <c r="P7" s="11"/>
      <c r="Q7" s="11"/>
      <c r="R7" s="11"/>
      <c r="S7" s="11"/>
      <c r="T7" s="11"/>
    </row>
    <row r="8" spans="2:20" x14ac:dyDescent="0.25">
      <c r="B8" s="6">
        <v>4</v>
      </c>
      <c r="C8" s="37">
        <v>0.95</v>
      </c>
      <c r="D8" s="38" t="s">
        <v>85</v>
      </c>
      <c r="E8" s="35">
        <v>3.3000000000000002E-2</v>
      </c>
      <c r="F8" s="35">
        <v>1.6E-2</v>
      </c>
      <c r="G8" s="35">
        <v>2.5000000000000001E-2</v>
      </c>
      <c r="H8" s="35">
        <v>2.4E-2</v>
      </c>
      <c r="I8" s="35">
        <v>1.4999999999999999E-2</v>
      </c>
      <c r="J8" s="35">
        <v>2.4E-2</v>
      </c>
      <c r="K8" s="35">
        <v>3.1E-2</v>
      </c>
      <c r="L8" s="35">
        <v>2.1000000000000001E-2</v>
      </c>
      <c r="M8" s="35">
        <v>1.7000000000000001E-2</v>
      </c>
      <c r="P8" s="11"/>
      <c r="Q8" s="11"/>
      <c r="R8" s="11"/>
      <c r="S8" s="11"/>
      <c r="T8" s="11"/>
    </row>
    <row r="9" spans="2:20" x14ac:dyDescent="0.25">
      <c r="B9" s="6">
        <v>5</v>
      </c>
      <c r="C9" s="37">
        <v>0.9</v>
      </c>
      <c r="D9" s="38" t="s">
        <v>84</v>
      </c>
      <c r="E9" s="35">
        <v>4.4999999999999998E-2</v>
      </c>
      <c r="F9" s="35">
        <v>2.1999999999999999E-2</v>
      </c>
      <c r="G9" s="35">
        <v>2.5000000000000001E-2</v>
      </c>
      <c r="H9" s="35">
        <v>3.3000000000000002E-2</v>
      </c>
      <c r="I9" s="35">
        <v>2.9000000000000001E-2</v>
      </c>
      <c r="J9" s="35">
        <v>3.9E-2</v>
      </c>
      <c r="K9" s="35">
        <v>3.5000000000000003E-2</v>
      </c>
      <c r="L9" s="35">
        <v>2.5000000000000001E-2</v>
      </c>
      <c r="M9" s="35">
        <v>2.5999999999999999E-2</v>
      </c>
      <c r="P9" s="11"/>
      <c r="Q9" s="11" t="s">
        <v>96</v>
      </c>
      <c r="R9" s="34">
        <f>'V1.3 (Updated 03-2025)'!E33</f>
        <v>0.9</v>
      </c>
      <c r="S9" s="11"/>
      <c r="T9" s="11"/>
    </row>
    <row r="10" spans="2:20" x14ac:dyDescent="0.25">
      <c r="B10" s="6">
        <v>6</v>
      </c>
      <c r="C10" s="37">
        <v>0.9</v>
      </c>
      <c r="D10" s="38" t="s">
        <v>85</v>
      </c>
      <c r="E10" s="35">
        <v>2.9000000000000001E-2</v>
      </c>
      <c r="F10" s="35">
        <v>1.4E-2</v>
      </c>
      <c r="G10" s="35">
        <v>2.4E-2</v>
      </c>
      <c r="H10" s="35">
        <v>2.1999999999999999E-2</v>
      </c>
      <c r="I10" s="35">
        <v>1.2999999999999999E-2</v>
      </c>
      <c r="J10" s="35">
        <v>2.1000000000000001E-2</v>
      </c>
      <c r="K10" s="35">
        <v>2.8000000000000001E-2</v>
      </c>
      <c r="L10" s="35">
        <v>1.9E-2</v>
      </c>
      <c r="M10" s="35">
        <v>1.4999999999999999E-2</v>
      </c>
      <c r="P10" s="11"/>
      <c r="Q10" s="11" t="s">
        <v>97</v>
      </c>
      <c r="R10" s="34">
        <f>'V1.3 (Updated 03-2025)'!E34</f>
        <v>0.95000000000000007</v>
      </c>
      <c r="S10" s="11"/>
      <c r="T10" s="11"/>
    </row>
    <row r="11" spans="2:20" x14ac:dyDescent="0.25">
      <c r="B11" s="6">
        <v>7</v>
      </c>
      <c r="C11" s="37">
        <v>0.85</v>
      </c>
      <c r="D11" s="38" t="s">
        <v>84</v>
      </c>
      <c r="E11" s="35">
        <v>0.05</v>
      </c>
      <c r="F11" s="35">
        <v>2.4E-2</v>
      </c>
      <c r="G11" s="35">
        <v>2.9000000000000001E-2</v>
      </c>
      <c r="H11" s="35">
        <v>3.5999999999999997E-2</v>
      </c>
      <c r="I11" s="35">
        <v>3.1E-2</v>
      </c>
      <c r="J11" s="35">
        <v>4.2000000000000003E-2</v>
      </c>
      <c r="K11" s="35">
        <v>0.04</v>
      </c>
      <c r="L11" s="35">
        <v>2.9000000000000001E-2</v>
      </c>
      <c r="M11" s="35">
        <v>2.8000000000000001E-2</v>
      </c>
      <c r="P11" s="11"/>
      <c r="Q11" s="11" t="s">
        <v>98</v>
      </c>
      <c r="R11" s="13" t="str">
        <f>'V1.3 (Updated 03-2025)'!I8</f>
        <v>Case 2</v>
      </c>
      <c r="S11" s="11"/>
      <c r="T11" s="11"/>
    </row>
    <row r="12" spans="2:20" x14ac:dyDescent="0.25">
      <c r="B12" s="6">
        <v>8</v>
      </c>
      <c r="C12" s="37">
        <v>0.85</v>
      </c>
      <c r="D12" s="38" t="s">
        <v>85</v>
      </c>
      <c r="E12" s="35">
        <v>2.5999999999999999E-2</v>
      </c>
      <c r="F12" s="35">
        <v>1.2E-2</v>
      </c>
      <c r="G12" s="35">
        <v>2.1999999999999999E-2</v>
      </c>
      <c r="H12" s="35">
        <v>1.9E-2</v>
      </c>
      <c r="I12" s="35">
        <v>1.0999999999999999E-2</v>
      </c>
      <c r="J12" s="35">
        <v>1.7000000000000001E-2</v>
      </c>
      <c r="K12" s="35">
        <v>2.5000000000000001E-2</v>
      </c>
      <c r="L12" s="35">
        <v>1.7000000000000001E-2</v>
      </c>
      <c r="M12" s="35">
        <v>1.2999999999999999E-2</v>
      </c>
      <c r="P12" s="11"/>
      <c r="Q12" s="11" t="s">
        <v>84</v>
      </c>
      <c r="R12" s="11">
        <f t="array" ref="R12">INDEX(E5:M26,MATCH(R9&amp;Q12,C5:C26&amp;D5:D26,0),MATCH(R11,E4:M4,0))</f>
        <v>2.1999999999999999E-2</v>
      </c>
      <c r="S12" s="11"/>
      <c r="T12" s="11"/>
    </row>
    <row r="13" spans="2:20" x14ac:dyDescent="0.25">
      <c r="B13" s="6">
        <v>9</v>
      </c>
      <c r="C13" s="37">
        <v>0.8</v>
      </c>
      <c r="D13" s="38" t="s">
        <v>84</v>
      </c>
      <c r="E13" s="35">
        <v>5.6000000000000001E-2</v>
      </c>
      <c r="F13" s="35">
        <v>2.5999999999999999E-2</v>
      </c>
      <c r="G13" s="35">
        <v>3.4000000000000002E-2</v>
      </c>
      <c r="H13" s="35">
        <v>3.9E-2</v>
      </c>
      <c r="I13" s="35">
        <v>3.2000000000000001E-2</v>
      </c>
      <c r="J13" s="35">
        <v>4.4999999999999998E-2</v>
      </c>
      <c r="K13" s="35">
        <v>4.4999999999999998E-2</v>
      </c>
      <c r="L13" s="35">
        <v>3.2000000000000001E-2</v>
      </c>
      <c r="M13" s="35">
        <v>2.9000000000000001E-2</v>
      </c>
      <c r="P13" s="11"/>
      <c r="Q13" s="11" t="s">
        <v>85</v>
      </c>
      <c r="R13" s="11">
        <f t="array" ref="R13">INDEX(E5:M26,MATCH(R10&amp;Q13,C5:C26&amp;D5:D26,0),MATCH(R11,E4:M4,0))</f>
        <v>1.6E-2</v>
      </c>
      <c r="S13" s="11"/>
      <c r="T13" s="11"/>
    </row>
    <row r="14" spans="2:20" x14ac:dyDescent="0.25">
      <c r="B14" s="6">
        <v>10</v>
      </c>
      <c r="C14" s="37">
        <v>0.8</v>
      </c>
      <c r="D14" s="38" t="s">
        <v>85</v>
      </c>
      <c r="E14" s="35">
        <v>2.3E-2</v>
      </c>
      <c r="F14" s="35">
        <v>1.0999999999999999E-2</v>
      </c>
      <c r="G14" s="35">
        <v>0.02</v>
      </c>
      <c r="H14" s="35">
        <v>1.6E-2</v>
      </c>
      <c r="I14" s="35">
        <v>8.9999999999999993E-3</v>
      </c>
      <c r="J14" s="35">
        <v>1.4999999999999999E-2</v>
      </c>
      <c r="K14" s="35">
        <v>2.1999999999999999E-2</v>
      </c>
      <c r="L14" s="35">
        <v>1.4999999999999999E-2</v>
      </c>
      <c r="M14" s="35">
        <v>0.01</v>
      </c>
      <c r="P14" s="11"/>
      <c r="Q14" s="11"/>
      <c r="R14" s="11"/>
      <c r="S14" s="11"/>
      <c r="T14" s="11"/>
    </row>
    <row r="15" spans="2:20" x14ac:dyDescent="0.25">
      <c r="B15" s="6">
        <v>11</v>
      </c>
      <c r="C15" s="37">
        <v>0.75</v>
      </c>
      <c r="D15" s="38" t="s">
        <v>84</v>
      </c>
      <c r="E15" s="35">
        <v>6.0999999999999999E-2</v>
      </c>
      <c r="F15" s="35">
        <v>2.8000000000000001E-2</v>
      </c>
      <c r="G15" s="35">
        <v>0.04</v>
      </c>
      <c r="H15" s="35">
        <v>4.2999999999999997E-2</v>
      </c>
      <c r="I15" s="35">
        <v>3.3000000000000002E-2</v>
      </c>
      <c r="J15" s="35">
        <v>4.8000000000000001E-2</v>
      </c>
      <c r="K15" s="35">
        <v>5.0999999999999997E-2</v>
      </c>
      <c r="L15" s="35">
        <v>3.5999999999999997E-2</v>
      </c>
      <c r="M15" s="35">
        <v>3.1E-2</v>
      </c>
      <c r="P15" s="11"/>
      <c r="Q15" s="11"/>
      <c r="R15" s="11"/>
      <c r="S15" s="11"/>
      <c r="T15" s="11"/>
    </row>
    <row r="16" spans="2:20" x14ac:dyDescent="0.25">
      <c r="B16" s="6">
        <v>12</v>
      </c>
      <c r="C16" s="37">
        <v>0.75</v>
      </c>
      <c r="D16" s="38" t="s">
        <v>85</v>
      </c>
      <c r="E16" s="35">
        <v>1.9E-2</v>
      </c>
      <c r="F16" s="35">
        <v>8.9999999999999993E-3</v>
      </c>
      <c r="G16" s="35">
        <v>1.7999999999999999E-2</v>
      </c>
      <c r="H16" s="35">
        <v>1.2999999999999999E-2</v>
      </c>
      <c r="I16" s="35">
        <v>7.0000000000000001E-3</v>
      </c>
      <c r="J16" s="35">
        <v>1.2E-2</v>
      </c>
      <c r="K16" s="35">
        <v>0.02</v>
      </c>
      <c r="L16" s="35">
        <v>1.2999999999999999E-2</v>
      </c>
      <c r="M16" s="35">
        <v>7.0000000000000001E-3</v>
      </c>
      <c r="P16" s="11"/>
      <c r="Q16" s="11"/>
      <c r="R16" s="11"/>
      <c r="S16" s="11"/>
      <c r="T16" s="11"/>
    </row>
    <row r="17" spans="2:20" x14ac:dyDescent="0.25">
      <c r="B17" s="6">
        <v>13</v>
      </c>
      <c r="C17" s="37">
        <v>0.7</v>
      </c>
      <c r="D17" s="38" t="s">
        <v>84</v>
      </c>
      <c r="E17" s="35">
        <v>6.8000000000000005E-2</v>
      </c>
      <c r="F17" s="35">
        <v>0.03</v>
      </c>
      <c r="G17" s="35">
        <v>4.5999999999999999E-2</v>
      </c>
      <c r="H17" s="35">
        <v>4.5999999999999999E-2</v>
      </c>
      <c r="I17" s="35">
        <v>3.5000000000000003E-2</v>
      </c>
      <c r="J17" s="35">
        <v>5.0999999999999997E-2</v>
      </c>
      <c r="K17" s="35">
        <v>5.8000000000000003E-2</v>
      </c>
      <c r="L17" s="35">
        <v>0.04</v>
      </c>
      <c r="M17" s="35">
        <v>3.3000000000000002E-2</v>
      </c>
      <c r="P17" s="11"/>
      <c r="Q17" s="11"/>
      <c r="R17" s="11"/>
      <c r="S17" s="11"/>
      <c r="T17" s="11"/>
    </row>
    <row r="18" spans="2:20" x14ac:dyDescent="0.25">
      <c r="B18" s="6">
        <v>14</v>
      </c>
      <c r="C18" s="37">
        <v>0.7</v>
      </c>
      <c r="D18" s="38" t="s">
        <v>85</v>
      </c>
      <c r="E18" s="35">
        <v>1.6E-2</v>
      </c>
      <c r="F18" s="35">
        <v>7.0000000000000001E-3</v>
      </c>
      <c r="G18" s="35">
        <v>1.6E-2</v>
      </c>
      <c r="H18" s="35">
        <v>1.0999999999999999E-2</v>
      </c>
      <c r="I18" s="35">
        <v>5.0000000000000001E-3</v>
      </c>
      <c r="J18" s="35">
        <v>8.9999999999999993E-3</v>
      </c>
      <c r="K18" s="35">
        <v>1.7000000000000001E-2</v>
      </c>
      <c r="L18" s="35">
        <v>1.0999999999999999E-2</v>
      </c>
      <c r="M18" s="35">
        <v>6.0000000000000001E-3</v>
      </c>
      <c r="P18" s="11"/>
      <c r="Q18" s="11"/>
      <c r="R18" s="11"/>
      <c r="S18" s="11"/>
      <c r="T18" s="11"/>
    </row>
    <row r="19" spans="2:20" x14ac:dyDescent="0.25">
      <c r="B19" s="6">
        <v>15</v>
      </c>
      <c r="C19" s="37">
        <v>0.65</v>
      </c>
      <c r="D19" s="38" t="s">
        <v>84</v>
      </c>
      <c r="E19" s="35">
        <v>7.3999999999999996E-2</v>
      </c>
      <c r="F19" s="35">
        <v>3.2000000000000001E-2</v>
      </c>
      <c r="G19" s="35">
        <v>5.3999999999999999E-2</v>
      </c>
      <c r="H19" s="35">
        <v>0.05</v>
      </c>
      <c r="I19" s="35">
        <v>3.5999999999999997E-2</v>
      </c>
      <c r="J19" s="35">
        <v>5.3999999999999999E-2</v>
      </c>
      <c r="K19" s="35">
        <v>6.5000000000000002E-2</v>
      </c>
      <c r="L19" s="35">
        <v>4.3999999999999997E-2</v>
      </c>
      <c r="M19" s="35">
        <v>3.4000000000000002E-2</v>
      </c>
      <c r="P19" s="11"/>
      <c r="Q19" s="11"/>
      <c r="R19" s="11"/>
      <c r="S19" s="11"/>
      <c r="T19" s="11"/>
    </row>
    <row r="20" spans="2:20" x14ac:dyDescent="0.25">
      <c r="B20" s="6">
        <v>16</v>
      </c>
      <c r="C20" s="37">
        <v>0.65</v>
      </c>
      <c r="D20" s="38" t="s">
        <v>85</v>
      </c>
      <c r="E20" s="35">
        <v>1.2999999999999999E-2</v>
      </c>
      <c r="F20" s="35">
        <v>6.0000000000000001E-3</v>
      </c>
      <c r="G20" s="35">
        <v>1.4E-2</v>
      </c>
      <c r="H20" s="35">
        <v>8.9999999999999993E-3</v>
      </c>
      <c r="I20" s="35">
        <v>4.0000000000000001E-3</v>
      </c>
      <c r="J20" s="35">
        <v>7.0000000000000001E-3</v>
      </c>
      <c r="K20" s="35">
        <v>1.4E-2</v>
      </c>
      <c r="L20" s="35">
        <v>8.9999999999999993E-3</v>
      </c>
      <c r="M20" s="35">
        <v>5.0000000000000001E-3</v>
      </c>
      <c r="P20" s="11"/>
      <c r="Q20" s="11"/>
      <c r="R20" s="11"/>
      <c r="S20" s="11"/>
      <c r="T20" s="11"/>
    </row>
    <row r="21" spans="2:20" x14ac:dyDescent="0.25">
      <c r="B21" s="6">
        <v>17</v>
      </c>
      <c r="C21" s="37">
        <v>0.6</v>
      </c>
      <c r="D21" s="38" t="s">
        <v>84</v>
      </c>
      <c r="E21" s="35">
        <v>8.1000000000000003E-2</v>
      </c>
      <c r="F21" s="35">
        <v>3.4000000000000002E-2</v>
      </c>
      <c r="G21" s="35">
        <v>6.2E-2</v>
      </c>
      <c r="H21" s="35">
        <v>5.2999999999999999E-2</v>
      </c>
      <c r="I21" s="35">
        <v>3.6999999999999998E-2</v>
      </c>
      <c r="J21" s="35">
        <v>5.6000000000000001E-2</v>
      </c>
      <c r="K21" s="35">
        <v>7.2999999999999995E-2</v>
      </c>
      <c r="L21" s="35">
        <v>4.8000000000000001E-2</v>
      </c>
      <c r="M21" s="35">
        <v>3.5999999999999997E-2</v>
      </c>
    </row>
    <row r="22" spans="2:20" x14ac:dyDescent="0.25">
      <c r="B22" s="6">
        <v>18</v>
      </c>
      <c r="C22" s="37">
        <v>0.6</v>
      </c>
      <c r="D22" s="38" t="s">
        <v>85</v>
      </c>
      <c r="E22" s="35">
        <v>0.01</v>
      </c>
      <c r="F22" s="35">
        <v>4.0000000000000001E-3</v>
      </c>
      <c r="G22" s="35">
        <v>1.0999999999999999E-2</v>
      </c>
      <c r="H22" s="35">
        <v>7.0000000000000001E-3</v>
      </c>
      <c r="I22" s="35">
        <v>3.0000000000000001E-3</v>
      </c>
      <c r="J22" s="35">
        <v>6.0000000000000001E-3</v>
      </c>
      <c r="K22" s="35">
        <v>1.2E-2</v>
      </c>
      <c r="L22" s="35">
        <v>7.0000000000000001E-3</v>
      </c>
      <c r="M22" s="35">
        <v>4.0000000000000001E-3</v>
      </c>
    </row>
    <row r="23" spans="2:20" x14ac:dyDescent="0.25">
      <c r="B23" s="6">
        <v>19</v>
      </c>
      <c r="C23" s="37">
        <v>0.55000000000000004</v>
      </c>
      <c r="D23" s="38" t="s">
        <v>84</v>
      </c>
      <c r="E23" s="35">
        <v>8.7999999999999995E-2</v>
      </c>
      <c r="F23" s="35">
        <v>3.5000000000000003E-2</v>
      </c>
      <c r="G23" s="35">
        <v>7.0999999999999994E-2</v>
      </c>
      <c r="H23" s="35">
        <v>5.6000000000000001E-2</v>
      </c>
      <c r="I23" s="35">
        <v>3.7999999999999999E-2</v>
      </c>
      <c r="J23" s="35">
        <v>5.8000000000000003E-2</v>
      </c>
      <c r="K23" s="35">
        <v>8.1000000000000003E-2</v>
      </c>
      <c r="L23" s="35">
        <v>5.1999999999999998E-2</v>
      </c>
      <c r="M23" s="35">
        <v>3.6999999999999998E-2</v>
      </c>
    </row>
    <row r="24" spans="2:20" x14ac:dyDescent="0.25">
      <c r="B24" s="6">
        <v>20</v>
      </c>
      <c r="C24" s="37">
        <v>0.55000000000000004</v>
      </c>
      <c r="D24" s="38" t="s">
        <v>85</v>
      </c>
      <c r="E24" s="35">
        <v>8.0000000000000002E-3</v>
      </c>
      <c r="F24" s="35">
        <v>3.0000000000000001E-3</v>
      </c>
      <c r="G24" s="35">
        <v>8.9999999999999993E-3</v>
      </c>
      <c r="H24" s="35">
        <v>5.0000000000000001E-3</v>
      </c>
      <c r="I24" s="35">
        <v>2E-3</v>
      </c>
      <c r="J24" s="35">
        <v>4.0000000000000001E-3</v>
      </c>
      <c r="K24" s="35">
        <v>8.9999999999999993E-3</v>
      </c>
      <c r="L24" s="35">
        <v>5.0000000000000001E-3</v>
      </c>
      <c r="M24" s="35">
        <v>3.0000000000000001E-3</v>
      </c>
    </row>
    <row r="25" spans="2:20" x14ac:dyDescent="0.25">
      <c r="B25" s="6">
        <v>21</v>
      </c>
      <c r="C25" s="37">
        <v>0.5</v>
      </c>
      <c r="D25" s="38" t="s">
        <v>84</v>
      </c>
      <c r="E25" s="35">
        <v>9.5000000000000001E-2</v>
      </c>
      <c r="F25" s="35">
        <v>3.6999999999999998E-2</v>
      </c>
      <c r="G25" s="35">
        <v>0.08</v>
      </c>
      <c r="H25" s="35">
        <v>5.8999999999999997E-2</v>
      </c>
      <c r="I25" s="35">
        <v>3.9E-2</v>
      </c>
      <c r="J25" s="35">
        <v>6.0999999999999999E-2</v>
      </c>
      <c r="K25" s="35">
        <v>8.8999999999999996E-2</v>
      </c>
      <c r="L25" s="35">
        <v>5.6000000000000001E-2</v>
      </c>
      <c r="M25" s="35">
        <v>3.7999999999999999E-2</v>
      </c>
    </row>
    <row r="26" spans="2:20" x14ac:dyDescent="0.25">
      <c r="B26" s="6">
        <v>22</v>
      </c>
      <c r="C26" s="37">
        <v>0.5</v>
      </c>
      <c r="D26" s="38" t="s">
        <v>85</v>
      </c>
      <c r="E26" s="35">
        <v>6.0000000000000001E-3</v>
      </c>
      <c r="F26" s="35">
        <v>2E-3</v>
      </c>
      <c r="G26" s="35">
        <v>7.0000000000000001E-3</v>
      </c>
      <c r="H26" s="35">
        <v>4.0000000000000001E-3</v>
      </c>
      <c r="I26" s="35">
        <v>1E-3</v>
      </c>
      <c r="J26" s="35">
        <v>3.0000000000000001E-3</v>
      </c>
      <c r="K26" s="35">
        <v>7.0000000000000001E-3</v>
      </c>
      <c r="L26" s="35">
        <v>4.0000000000000001E-3</v>
      </c>
      <c r="M26" s="35">
        <v>2E-3</v>
      </c>
    </row>
  </sheetData>
  <sheetProtection algorithmName="SHA-512" hashValue="2sOTsRTukY+P/YlCyfukT8yJ+I6EGND++BXf3IKJhysYPrYyKp56ZVdL4y7TTXhN41nSL3pyxXME+WrkrrabGg==" saltValue="wyMW5SDmi0rRSSGApVwAeQ==" spinCount="100000" sheet="1" objects="1" scenarios="1" selectLockedCells="1" selectUnlockedCells="1"/>
  <dataValidations count="1">
    <dataValidation type="list" allowBlank="1" showInputMessage="1" showErrorMessage="1" sqref="R5">
      <formula1>$E$4:$M$4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S30"/>
  <sheetViews>
    <sheetView workbookViewId="0">
      <selection activeCell="N30" sqref="N30"/>
    </sheetView>
  </sheetViews>
  <sheetFormatPr defaultRowHeight="15" x14ac:dyDescent="0.25"/>
  <sheetData>
    <row r="4" spans="3:19" x14ac:dyDescent="0.25">
      <c r="C4" s="1" t="s">
        <v>90</v>
      </c>
      <c r="D4" s="1"/>
      <c r="E4" s="1" t="s">
        <v>75</v>
      </c>
      <c r="F4" s="1" t="s">
        <v>76</v>
      </c>
      <c r="G4" s="1" t="s">
        <v>77</v>
      </c>
      <c r="H4" s="1" t="s">
        <v>78</v>
      </c>
      <c r="I4" s="1" t="s">
        <v>79</v>
      </c>
      <c r="J4" s="1" t="s">
        <v>80</v>
      </c>
      <c r="K4" s="1" t="s">
        <v>81</v>
      </c>
      <c r="L4" s="1" t="s">
        <v>82</v>
      </c>
      <c r="M4" s="1" t="s">
        <v>83</v>
      </c>
    </row>
    <row r="5" spans="3:19" x14ac:dyDescent="0.25">
      <c r="C5" s="1">
        <v>1</v>
      </c>
      <c r="D5" s="1" t="s">
        <v>88</v>
      </c>
      <c r="E5" s="1">
        <v>3.5999999999999997E-2</v>
      </c>
      <c r="F5" s="1">
        <v>2.7E-2</v>
      </c>
      <c r="G5" s="1">
        <v>2.7E-2</v>
      </c>
      <c r="H5" s="1">
        <v>3.2000000000000001E-2</v>
      </c>
      <c r="I5" s="1">
        <v>3.2000000000000001E-2</v>
      </c>
      <c r="J5" s="1">
        <v>3.5000000000000003E-2</v>
      </c>
      <c r="K5" s="1">
        <v>3.2000000000000001E-2</v>
      </c>
      <c r="L5" s="1">
        <v>2.8000000000000001E-2</v>
      </c>
      <c r="M5" s="1">
        <v>0.03</v>
      </c>
    </row>
    <row r="6" spans="3:19" x14ac:dyDescent="0.25">
      <c r="C6" s="1">
        <v>1</v>
      </c>
      <c r="D6" s="1" t="s">
        <v>89</v>
      </c>
      <c r="E6" s="1">
        <v>3.5999999999999997E-2</v>
      </c>
      <c r="F6" s="1">
        <v>2.7E-2</v>
      </c>
      <c r="G6" s="1">
        <v>3.2000000000000001E-2</v>
      </c>
      <c r="H6" s="1">
        <v>3.2000000000000001E-2</v>
      </c>
      <c r="I6" s="1">
        <v>2.7E-2</v>
      </c>
      <c r="J6" s="1">
        <v>3.2000000000000001E-2</v>
      </c>
      <c r="K6" s="1">
        <v>3.5000000000000003E-2</v>
      </c>
      <c r="L6" s="1">
        <v>0.03</v>
      </c>
      <c r="M6" s="1">
        <v>2.8000000000000001E-2</v>
      </c>
    </row>
    <row r="7" spans="3:19" x14ac:dyDescent="0.25">
      <c r="C7" s="1">
        <v>0.95</v>
      </c>
      <c r="D7" s="1" t="s">
        <v>88</v>
      </c>
      <c r="E7" s="1">
        <v>0.04</v>
      </c>
      <c r="F7" s="1">
        <v>0.03</v>
      </c>
      <c r="G7" s="1">
        <v>3.1E-2</v>
      </c>
      <c r="H7" s="1">
        <v>3.5000000000000003E-2</v>
      </c>
      <c r="I7" s="1">
        <v>3.4000000000000002E-2</v>
      </c>
      <c r="J7" s="1">
        <v>3.7999999999999999E-2</v>
      </c>
      <c r="K7" s="1">
        <v>3.5999999999999997E-2</v>
      </c>
      <c r="L7" s="1">
        <v>3.1E-2</v>
      </c>
      <c r="M7" s="1">
        <v>3.2000000000000001E-2</v>
      </c>
      <c r="P7" s="2"/>
      <c r="Q7" s="2"/>
      <c r="R7" s="2"/>
      <c r="S7" s="2"/>
    </row>
    <row r="8" spans="3:19" x14ac:dyDescent="0.25">
      <c r="C8" s="1">
        <v>0.95</v>
      </c>
      <c r="D8" s="1" t="s">
        <v>89</v>
      </c>
      <c r="E8" s="1">
        <v>3.3000000000000002E-2</v>
      </c>
      <c r="F8" s="1">
        <v>2.5000000000000001E-2</v>
      </c>
      <c r="G8" s="1">
        <v>2.9000000000000001E-2</v>
      </c>
      <c r="H8" s="1">
        <v>2.9000000000000001E-2</v>
      </c>
      <c r="I8" s="1">
        <v>2.4E-2</v>
      </c>
      <c r="J8" s="1">
        <v>2.9000000000000001E-2</v>
      </c>
      <c r="K8" s="1">
        <v>3.2000000000000001E-2</v>
      </c>
      <c r="L8" s="1">
        <v>2.7E-2</v>
      </c>
      <c r="M8" s="1">
        <v>2.5000000000000001E-2</v>
      </c>
      <c r="P8" s="2"/>
      <c r="Q8" s="2"/>
      <c r="R8" s="2"/>
      <c r="S8" s="2"/>
    </row>
    <row r="9" spans="3:19" x14ac:dyDescent="0.25">
      <c r="C9" s="1">
        <v>0.9</v>
      </c>
      <c r="D9" s="1" t="s">
        <v>88</v>
      </c>
      <c r="E9" s="1">
        <v>4.4999999999999998E-2</v>
      </c>
      <c r="F9" s="1">
        <v>3.4000000000000002E-2</v>
      </c>
      <c r="G9" s="1">
        <v>3.5000000000000003E-2</v>
      </c>
      <c r="H9" s="1">
        <v>3.9E-2</v>
      </c>
      <c r="I9" s="1">
        <v>3.6999999999999998E-2</v>
      </c>
      <c r="J9" s="1">
        <v>4.2000000000000003E-2</v>
      </c>
      <c r="K9" s="1">
        <v>0.04</v>
      </c>
      <c r="L9" s="1">
        <v>3.5000000000000003E-2</v>
      </c>
      <c r="M9" s="1">
        <v>3.5999999999999997E-2</v>
      </c>
      <c r="P9" s="2"/>
      <c r="Q9" s="2" t="s">
        <v>96</v>
      </c>
      <c r="R9" s="5">
        <f>'V1.3 (Updated 03-2025)'!E33</f>
        <v>0.9</v>
      </c>
      <c r="S9" s="2"/>
    </row>
    <row r="10" spans="3:19" x14ac:dyDescent="0.25">
      <c r="C10" s="1">
        <v>0.9</v>
      </c>
      <c r="D10" s="1" t="s">
        <v>89</v>
      </c>
      <c r="E10" s="1">
        <v>2.9000000000000001E-2</v>
      </c>
      <c r="F10" s="1">
        <v>2.1999999999999999E-2</v>
      </c>
      <c r="G10" s="1">
        <v>2.7E-2</v>
      </c>
      <c r="H10" s="1">
        <v>2.5999999999999999E-2</v>
      </c>
      <c r="I10" s="1">
        <v>2.1000000000000001E-2</v>
      </c>
      <c r="J10" s="1">
        <v>2.5000000000000001E-2</v>
      </c>
      <c r="K10" s="1">
        <v>2.9000000000000001E-2</v>
      </c>
      <c r="L10" s="1">
        <v>2.4E-2</v>
      </c>
      <c r="M10" s="1">
        <v>2.1999999999999999E-2</v>
      </c>
      <c r="P10" s="2"/>
      <c r="Q10" s="2" t="s">
        <v>97</v>
      </c>
      <c r="R10" s="5">
        <f>'V1.3 (Updated 03-2025)'!E34</f>
        <v>0.95000000000000007</v>
      </c>
      <c r="S10" s="2"/>
    </row>
    <row r="11" spans="3:19" x14ac:dyDescent="0.25">
      <c r="C11" s="1">
        <v>0.85</v>
      </c>
      <c r="D11" s="1" t="s">
        <v>88</v>
      </c>
      <c r="E11" s="1">
        <v>0.05</v>
      </c>
      <c r="F11" s="1">
        <v>3.6999999999999998E-2</v>
      </c>
      <c r="G11" s="1">
        <v>0.04</v>
      </c>
      <c r="H11" s="1">
        <v>4.2999999999999997E-2</v>
      </c>
      <c r="I11" s="1">
        <v>4.1000000000000002E-2</v>
      </c>
      <c r="J11" s="1">
        <v>4.5999999999999999E-2</v>
      </c>
      <c r="K11" s="1">
        <v>4.4999999999999998E-2</v>
      </c>
      <c r="L11" s="1">
        <v>0.04</v>
      </c>
      <c r="M11" s="1">
        <v>3.9E-2</v>
      </c>
      <c r="P11" s="2"/>
      <c r="Q11" s="2" t="s">
        <v>98</v>
      </c>
      <c r="R11" s="4" t="str">
        <f>'V1.3 (Updated 03-2025)'!I8</f>
        <v>Case 2</v>
      </c>
      <c r="S11" s="2"/>
    </row>
    <row r="12" spans="3:19" x14ac:dyDescent="0.25">
      <c r="C12" s="1">
        <v>0.85</v>
      </c>
      <c r="D12" s="1" t="s">
        <v>89</v>
      </c>
      <c r="E12" s="1">
        <v>2.5999999999999999E-2</v>
      </c>
      <c r="F12" s="1">
        <v>1.9E-2</v>
      </c>
      <c r="G12" s="1">
        <v>2.4E-2</v>
      </c>
      <c r="H12" s="1">
        <v>2.3E-2</v>
      </c>
      <c r="I12" s="1">
        <v>1.9E-2</v>
      </c>
      <c r="J12" s="1">
        <v>2.1999999999999999E-2</v>
      </c>
      <c r="K12" s="1">
        <v>2.5999999999999999E-2</v>
      </c>
      <c r="L12" s="1">
        <v>2.1999999999999999E-2</v>
      </c>
      <c r="M12" s="1">
        <v>0.02</v>
      </c>
      <c r="P12" s="2"/>
      <c r="Q12" s="2" t="s">
        <v>88</v>
      </c>
      <c r="R12" s="2">
        <f t="array" ref="R12">INDEX(E5:M26,MATCH(R9&amp;Q12,C5:C26&amp;D5:D26,0),MATCH(R11,E4:M4,0))</f>
        <v>3.4000000000000002E-2</v>
      </c>
      <c r="S12" s="2"/>
    </row>
    <row r="13" spans="3:19" x14ac:dyDescent="0.25">
      <c r="C13" s="1">
        <v>0.8</v>
      </c>
      <c r="D13" s="1" t="s">
        <v>88</v>
      </c>
      <c r="E13" s="1">
        <v>5.6000000000000001E-2</v>
      </c>
      <c r="F13" s="1">
        <v>4.1000000000000002E-2</v>
      </c>
      <c r="G13" s="1">
        <v>4.4999999999999998E-2</v>
      </c>
      <c r="H13" s="1">
        <v>4.8000000000000001E-2</v>
      </c>
      <c r="I13" s="1">
        <v>4.3999999999999997E-2</v>
      </c>
      <c r="J13" s="1">
        <v>5.0999999999999997E-2</v>
      </c>
      <c r="K13" s="1">
        <v>5.0999999999999997E-2</v>
      </c>
      <c r="L13" s="1">
        <v>4.3999999999999997E-2</v>
      </c>
      <c r="M13" s="1">
        <v>4.2000000000000003E-2</v>
      </c>
      <c r="P13" s="2"/>
      <c r="Q13" s="2" t="s">
        <v>89</v>
      </c>
      <c r="R13" s="2">
        <f t="array" ref="R13">INDEX(E5:M26,MATCH(R10&amp;Q13,C5:C26&amp;D5:D26,0),MATCH(R11,E4:M4,0))</f>
        <v>2.5000000000000001E-2</v>
      </c>
      <c r="S13" s="2"/>
    </row>
    <row r="14" spans="3:19" x14ac:dyDescent="0.25">
      <c r="C14" s="1">
        <v>0.8</v>
      </c>
      <c r="D14" s="1" t="s">
        <v>89</v>
      </c>
      <c r="E14" s="1">
        <v>2.3E-2</v>
      </c>
      <c r="F14" s="1">
        <v>1.7000000000000001E-2</v>
      </c>
      <c r="G14" s="1">
        <v>2.1999999999999999E-2</v>
      </c>
      <c r="H14" s="1">
        <v>0.02</v>
      </c>
      <c r="I14" s="1">
        <v>1.6E-2</v>
      </c>
      <c r="J14" s="1">
        <v>1.9E-2</v>
      </c>
      <c r="K14" s="1">
        <v>2.3E-2</v>
      </c>
      <c r="L14" s="1">
        <v>1.9E-2</v>
      </c>
      <c r="M14" s="1">
        <v>1.7000000000000001E-2</v>
      </c>
      <c r="P14" s="2"/>
      <c r="Q14" s="2"/>
      <c r="R14" s="2"/>
      <c r="S14" s="2"/>
    </row>
    <row r="15" spans="3:19" x14ac:dyDescent="0.25">
      <c r="C15" s="1">
        <v>0.75</v>
      </c>
      <c r="D15" s="1" t="s">
        <v>88</v>
      </c>
      <c r="E15" s="1">
        <v>6.0999999999999999E-2</v>
      </c>
      <c r="F15" s="1">
        <v>4.4999999999999998E-2</v>
      </c>
      <c r="G15" s="1">
        <v>5.0999999999999997E-2</v>
      </c>
      <c r="H15" s="1">
        <v>5.1999999999999998E-2</v>
      </c>
      <c r="I15" s="1">
        <v>4.7E-2</v>
      </c>
      <c r="J15" s="1">
        <v>5.5E-2</v>
      </c>
      <c r="K15" s="1">
        <v>5.6000000000000001E-2</v>
      </c>
      <c r="L15" s="1">
        <v>4.9000000000000002E-2</v>
      </c>
      <c r="M15" s="1">
        <v>4.5999999999999999E-2</v>
      </c>
      <c r="P15" s="2"/>
      <c r="Q15" s="2"/>
      <c r="R15" s="2"/>
      <c r="S15" s="2"/>
    </row>
    <row r="16" spans="3:19" x14ac:dyDescent="0.25">
      <c r="C16" s="1">
        <v>0.75</v>
      </c>
      <c r="D16" s="1" t="s">
        <v>89</v>
      </c>
      <c r="E16" s="1">
        <v>1.9E-2</v>
      </c>
      <c r="F16" s="1">
        <v>1.4E-2</v>
      </c>
      <c r="G16" s="1">
        <v>1.9E-2</v>
      </c>
      <c r="H16" s="1">
        <v>1.6E-2</v>
      </c>
      <c r="I16" s="1">
        <v>1.2999999999999999E-2</v>
      </c>
      <c r="J16" s="1">
        <v>1.6E-2</v>
      </c>
      <c r="K16" s="1">
        <v>0.02</v>
      </c>
      <c r="L16" s="1">
        <v>1.6E-2</v>
      </c>
      <c r="M16" s="1">
        <v>1.2999999999999999E-2</v>
      </c>
      <c r="P16" s="2"/>
      <c r="Q16" s="2"/>
      <c r="R16" s="2"/>
      <c r="S16" s="2"/>
    </row>
    <row r="17" spans="3:19" x14ac:dyDescent="0.25">
      <c r="C17" s="1">
        <v>0.7</v>
      </c>
      <c r="D17" s="1" t="s">
        <v>88</v>
      </c>
      <c r="E17" s="1">
        <v>6.8000000000000005E-2</v>
      </c>
      <c r="F17" s="1">
        <v>4.9000000000000002E-2</v>
      </c>
      <c r="G17" s="1">
        <v>5.7000000000000002E-2</v>
      </c>
      <c r="H17" s="1">
        <v>5.7000000000000002E-2</v>
      </c>
      <c r="I17" s="1">
        <v>5.0999999999999997E-2</v>
      </c>
      <c r="J17" s="1">
        <v>0.06</v>
      </c>
      <c r="K17" s="1">
        <v>6.3E-2</v>
      </c>
      <c r="L17" s="1">
        <v>5.3999999999999999E-2</v>
      </c>
      <c r="M17" s="1">
        <v>0.05</v>
      </c>
      <c r="P17" s="2"/>
      <c r="Q17" s="2"/>
      <c r="R17" s="2"/>
      <c r="S17" s="2"/>
    </row>
    <row r="18" spans="3:19" x14ac:dyDescent="0.25">
      <c r="C18" s="1">
        <v>0.7</v>
      </c>
      <c r="D18" s="1" t="s">
        <v>89</v>
      </c>
      <c r="E18" s="1">
        <v>1.6E-2</v>
      </c>
      <c r="F18" s="1">
        <v>1.2E-2</v>
      </c>
      <c r="G18" s="1">
        <v>1.6E-2</v>
      </c>
      <c r="H18" s="1">
        <v>1.4E-2</v>
      </c>
      <c r="I18" s="1">
        <v>1.0999999999999999E-2</v>
      </c>
      <c r="J18" s="1">
        <v>1.2999999999999999E-2</v>
      </c>
      <c r="K18" s="1">
        <v>1.7000000000000001E-2</v>
      </c>
      <c r="L18" s="1">
        <v>1.4E-2</v>
      </c>
      <c r="M18" s="1">
        <v>1.0999999999999999E-2</v>
      </c>
      <c r="P18" s="2"/>
      <c r="Q18" s="2"/>
      <c r="R18" s="2"/>
      <c r="S18" s="2"/>
    </row>
    <row r="19" spans="3:19" x14ac:dyDescent="0.25">
      <c r="C19" s="1">
        <v>0.65</v>
      </c>
      <c r="D19" s="1" t="s">
        <v>88</v>
      </c>
      <c r="E19" s="1">
        <v>7.3999999999999996E-2</v>
      </c>
      <c r="F19" s="1">
        <v>5.2999999999999999E-2</v>
      </c>
      <c r="G19" s="1">
        <v>6.4000000000000001E-2</v>
      </c>
      <c r="H19" s="1">
        <v>6.2E-2</v>
      </c>
      <c r="I19" s="1">
        <v>5.5E-2</v>
      </c>
      <c r="J19" s="1">
        <v>6.4000000000000001E-2</v>
      </c>
      <c r="K19" s="1">
        <v>7.0000000000000007E-2</v>
      </c>
      <c r="L19" s="1">
        <v>5.8999999999999997E-2</v>
      </c>
      <c r="M19" s="1">
        <v>5.3999999999999999E-2</v>
      </c>
      <c r="P19" s="2"/>
      <c r="Q19" s="2"/>
      <c r="R19" s="2"/>
      <c r="S19" s="2"/>
    </row>
    <row r="20" spans="3:19" x14ac:dyDescent="0.25">
      <c r="C20" s="1">
        <v>0.65</v>
      </c>
      <c r="D20" s="1" t="s">
        <v>89</v>
      </c>
      <c r="E20" s="1">
        <v>1.2999999999999999E-2</v>
      </c>
      <c r="F20" s="1">
        <v>0.01</v>
      </c>
      <c r="G20" s="1">
        <v>1.4E-2</v>
      </c>
      <c r="H20" s="1">
        <v>1.0999999999999999E-2</v>
      </c>
      <c r="I20" s="1">
        <v>8.9999999999999993E-3</v>
      </c>
      <c r="J20" s="1">
        <v>0.01</v>
      </c>
      <c r="K20" s="1">
        <v>1.4E-2</v>
      </c>
      <c r="L20" s="1">
        <v>1.0999999999999999E-2</v>
      </c>
      <c r="M20" s="1">
        <v>8.9999999999999993E-3</v>
      </c>
    </row>
    <row r="21" spans="3:19" x14ac:dyDescent="0.25">
      <c r="C21" s="1">
        <v>0.6</v>
      </c>
      <c r="D21" s="1" t="s">
        <v>88</v>
      </c>
      <c r="E21" s="1">
        <v>8.1000000000000003E-2</v>
      </c>
      <c r="F21" s="1">
        <v>5.8000000000000003E-2</v>
      </c>
      <c r="G21" s="1">
        <v>7.0999999999999994E-2</v>
      </c>
      <c r="H21" s="1">
        <v>6.7000000000000004E-2</v>
      </c>
      <c r="I21" s="1">
        <v>5.8999999999999997E-2</v>
      </c>
      <c r="J21" s="1">
        <v>6.8000000000000005E-2</v>
      </c>
      <c r="K21" s="1">
        <v>7.6999999999999999E-2</v>
      </c>
      <c r="L21" s="1">
        <v>6.5000000000000002E-2</v>
      </c>
      <c r="M21" s="1">
        <v>5.8999999999999997E-2</v>
      </c>
    </row>
    <row r="22" spans="3:19" x14ac:dyDescent="0.25">
      <c r="C22" s="1">
        <v>0.6</v>
      </c>
      <c r="D22" s="1" t="s">
        <v>89</v>
      </c>
      <c r="E22" s="1">
        <v>0.01</v>
      </c>
      <c r="F22" s="1">
        <v>7.0000000000000001E-3</v>
      </c>
      <c r="G22" s="1">
        <v>1.0999999999999999E-2</v>
      </c>
      <c r="H22" s="1">
        <v>8.9999999999999993E-3</v>
      </c>
      <c r="I22" s="1">
        <v>7.0000000000000001E-3</v>
      </c>
      <c r="J22" s="1">
        <v>8.0000000000000002E-3</v>
      </c>
      <c r="K22" s="1">
        <v>1.0999999999999999E-2</v>
      </c>
      <c r="L22" s="1">
        <v>8.9999999999999993E-3</v>
      </c>
      <c r="M22" s="1">
        <v>7.0000000000000001E-3</v>
      </c>
    </row>
    <row r="23" spans="3:19" x14ac:dyDescent="0.25">
      <c r="C23" s="1">
        <v>0.55000000000000004</v>
      </c>
      <c r="D23" s="1" t="s">
        <v>88</v>
      </c>
      <c r="E23" s="1">
        <v>8.7999999999999995E-2</v>
      </c>
      <c r="F23" s="1">
        <v>6.2E-2</v>
      </c>
      <c r="G23" s="1">
        <v>0.08</v>
      </c>
      <c r="H23" s="1">
        <v>7.1999999999999995E-2</v>
      </c>
      <c r="I23" s="1">
        <v>6.3E-2</v>
      </c>
      <c r="J23" s="1">
        <v>7.2999999999999995E-2</v>
      </c>
      <c r="K23" s="1">
        <v>8.5000000000000006E-2</v>
      </c>
      <c r="L23" s="1">
        <v>7.0000000000000007E-2</v>
      </c>
      <c r="M23" s="1">
        <v>6.3E-2</v>
      </c>
    </row>
    <row r="24" spans="3:19" x14ac:dyDescent="0.25">
      <c r="C24" s="1">
        <v>0.55000000000000004</v>
      </c>
      <c r="D24" s="1" t="s">
        <v>89</v>
      </c>
      <c r="E24" s="1">
        <v>8.0000000000000002E-3</v>
      </c>
      <c r="F24" s="1">
        <v>6.0000000000000001E-3</v>
      </c>
      <c r="G24" s="1">
        <v>8.9999999999999993E-3</v>
      </c>
      <c r="H24" s="1">
        <v>7.0000000000000001E-3</v>
      </c>
      <c r="I24" s="1">
        <v>5.0000000000000001E-3</v>
      </c>
      <c r="J24" s="1">
        <v>6.0000000000000001E-3</v>
      </c>
      <c r="K24" s="1">
        <v>8.9999999999999993E-3</v>
      </c>
      <c r="L24" s="1">
        <v>7.0000000000000001E-3</v>
      </c>
      <c r="M24" s="1">
        <v>6.0000000000000001E-3</v>
      </c>
    </row>
    <row r="25" spans="3:19" x14ac:dyDescent="0.25">
      <c r="C25" s="1">
        <v>0.5</v>
      </c>
      <c r="D25" s="1" t="s">
        <v>88</v>
      </c>
      <c r="E25" s="1">
        <v>9.5000000000000001E-2</v>
      </c>
      <c r="F25" s="1">
        <v>6.6000000000000003E-2</v>
      </c>
      <c r="G25" s="1">
        <v>8.7999999999999995E-2</v>
      </c>
      <c r="H25" s="1">
        <v>7.6999999999999999E-2</v>
      </c>
      <c r="I25" s="1">
        <v>6.7000000000000004E-2</v>
      </c>
      <c r="J25" s="1">
        <v>7.8E-2</v>
      </c>
      <c r="K25" s="1">
        <v>9.1999999999999998E-2</v>
      </c>
      <c r="L25" s="1">
        <v>7.5999999999999998E-2</v>
      </c>
      <c r="M25" s="1">
        <v>6.7000000000000004E-2</v>
      </c>
    </row>
    <row r="26" spans="3:19" x14ac:dyDescent="0.25">
      <c r="C26" s="1">
        <v>0.5</v>
      </c>
      <c r="D26" s="1" t="s">
        <v>89</v>
      </c>
      <c r="E26" s="1">
        <v>6.0000000000000001E-3</v>
      </c>
      <c r="F26" s="1">
        <v>4.0000000000000001E-3</v>
      </c>
      <c r="G26" s="1">
        <v>7.0000000000000001E-3</v>
      </c>
      <c r="H26" s="1">
        <v>5.0000000000000001E-3</v>
      </c>
      <c r="I26" s="1">
        <v>4.0000000000000001E-3</v>
      </c>
      <c r="J26" s="1">
        <v>5.0000000000000001E-3</v>
      </c>
      <c r="K26" s="1">
        <v>7.0000000000000001E-3</v>
      </c>
      <c r="L26" s="1">
        <v>5.0000000000000001E-3</v>
      </c>
      <c r="M26" s="1">
        <v>4.0000000000000001E-3</v>
      </c>
    </row>
    <row r="30" spans="3:19" x14ac:dyDescent="0.25">
      <c r="N30" s="6"/>
    </row>
  </sheetData>
  <sheetProtection algorithmName="SHA-512" hashValue="bPj+hQFYYkh875AfdTG9JM5C9596ecw5ASfTncRxRPDQxxYo7E7GWYvD1CD7rsvAtBPvIbKvuVcagIFuvcPmLA==" saltValue="bfdb16OV9ZbVFMRcVR6dNw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Video &amp; Instruction </vt:lpstr>
      <vt:lpstr>V1.3 (Updated 03-2025)</vt:lpstr>
      <vt:lpstr>Slab Min Thickness Calculation</vt:lpstr>
      <vt:lpstr>Coefficients For  N M</vt:lpstr>
      <vt:lpstr>Coefficients For DL P M </vt:lpstr>
      <vt:lpstr>Coefficients For LL P 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2025-03-13T09:14:29Z</dcterms:modified>
</cp:coreProperties>
</file>