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BUILDING DESIGN PARAMETERS\All Excel file\A. Wind and Earthquake load\"/>
    </mc:Choice>
  </mc:AlternateContent>
  <bookViews>
    <workbookView xWindow="-120" yWindow="-120" windowWidth="29040" windowHeight="15840" activeTab="1"/>
  </bookViews>
  <sheets>
    <sheet name="Video &amp; Instruction " sheetId="4" r:id="rId1"/>
    <sheet name="EQ Analysis" sheetId="1" r:id="rId2"/>
    <sheet name="Sheet2" sheetId="2" state="hidden" r:id="rId3"/>
    <sheet name="Sheet3" sheetId="3" state="hidden" r:id="rId4"/>
  </sheets>
  <definedNames>
    <definedName name="BEARING_WALL_SYSTEMS_no_frame">Sheet3!$C$10:$C$13</definedName>
    <definedName name="BUILDING_FRAME_SYSTEMS_with_bracing_or_shear_wall">Sheet3!$C$14:$C$21</definedName>
    <definedName name="BWS">Sheet3!$C$10:$C$13</definedName>
    <definedName name="DUAL_SHEAR_WALL_FRAME_SYSTEM">Sheet3!$C$36</definedName>
    <definedName name="DUAL_SYSTEMS_INTERMEDIATE_MOMENT_FRAMES">Sheet3!$C$32:$C$35</definedName>
    <definedName name="DUAL_SYSTEMS_SPECIAL_MOMENT_FRAMES">Sheet3!$C$28:$C$31</definedName>
    <definedName name="framesystem">Sheet3!$B$39:$B$45</definedName>
    <definedName name="make">Sheet3!$B$39:$B$41</definedName>
    <definedName name="MOMENT_RESISTING_FRAME_SYSTEMS_no_shear_wall">Sheet3!$C$22:$C$27</definedName>
    <definedName name="STEEL_SYSTEMS_NOT_SPECIFICALLY_DETAILED">Sheet3!$C$37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" l="1"/>
  <c r="P23" i="1" l="1"/>
  <c r="I25" i="1"/>
  <c r="F16" i="1"/>
  <c r="B45" i="3"/>
  <c r="B44" i="3"/>
  <c r="B43" i="3"/>
  <c r="B42" i="3"/>
  <c r="D36" i="1" l="1"/>
  <c r="D37" i="1" s="1"/>
  <c r="P17" i="1"/>
  <c r="I24" i="1"/>
  <c r="I23" i="1"/>
  <c r="I22" i="1"/>
  <c r="I21" i="1"/>
  <c r="E20" i="1"/>
  <c r="F20" i="1" s="1"/>
  <c r="I15" i="1"/>
  <c r="H15" i="1"/>
  <c r="P16" i="1"/>
  <c r="B41" i="3"/>
  <c r="B40" i="3"/>
  <c r="B39" i="3"/>
  <c r="I20" i="1" l="1"/>
  <c r="G29" i="1" s="1"/>
  <c r="E36" i="1"/>
  <c r="E37" i="1"/>
  <c r="D38" i="1"/>
  <c r="E38" i="1" s="1"/>
  <c r="F22" i="1"/>
  <c r="L10" i="1"/>
  <c r="I10" i="1"/>
  <c r="F23" i="1" l="1"/>
  <c r="F21" i="1"/>
  <c r="F24" i="1"/>
  <c r="G21" i="1"/>
  <c r="G22" i="1" s="1"/>
  <c r="S16" i="1"/>
  <c r="P22" i="1"/>
  <c r="P15" i="1"/>
  <c r="F37" i="1"/>
  <c r="F36" i="1"/>
  <c r="D39" i="1"/>
  <c r="E39" i="1" s="1"/>
  <c r="F38" i="1"/>
  <c r="J10" i="1"/>
  <c r="G23" i="1" l="1"/>
  <c r="G24" i="1" s="1"/>
  <c r="F25" i="1" s="1"/>
  <c r="G25" i="1" s="1"/>
  <c r="F27" i="1" s="1"/>
  <c r="S15" i="1" s="1"/>
  <c r="D40" i="1"/>
  <c r="E40" i="1" s="1"/>
  <c r="F39" i="1"/>
  <c r="P18" i="1"/>
  <c r="P21" i="1"/>
  <c r="P20" i="1"/>
  <c r="P19" i="1"/>
  <c r="F29" i="1" l="1"/>
  <c r="F40" i="1"/>
  <c r="D41" i="1"/>
  <c r="E41" i="1" s="1"/>
  <c r="D42" i="1" l="1"/>
  <c r="E42" i="1" s="1"/>
  <c r="F41" i="1"/>
  <c r="D43" i="1" l="1"/>
  <c r="E43" i="1" s="1"/>
  <c r="F42" i="1"/>
  <c r="D44" i="1" l="1"/>
  <c r="E44" i="1" s="1"/>
  <c r="F43" i="1"/>
  <c r="D45" i="1" l="1"/>
  <c r="E45" i="1" s="1"/>
  <c r="F44" i="1"/>
  <c r="D46" i="1" l="1"/>
  <c r="E46" i="1" s="1"/>
  <c r="F45" i="1"/>
  <c r="D47" i="1" l="1"/>
  <c r="E47" i="1" s="1"/>
  <c r="F46" i="1"/>
  <c r="D48" i="1" l="1"/>
  <c r="E48" i="1" s="1"/>
  <c r="F47" i="1"/>
  <c r="D49" i="1" l="1"/>
  <c r="E49" i="1" s="1"/>
  <c r="F48" i="1"/>
  <c r="D50" i="1" l="1"/>
  <c r="D51" i="1" s="1"/>
  <c r="E51" i="1" s="1"/>
  <c r="F51" i="1" s="1"/>
  <c r="F49" i="1"/>
  <c r="E50" i="1" l="1"/>
  <c r="F50" i="1" s="1"/>
  <c r="G36" i="1" l="1"/>
  <c r="H36" i="1" l="1"/>
  <c r="I36" i="1" s="1"/>
  <c r="H51" i="1"/>
  <c r="I51" i="1" s="1"/>
  <c r="H38" i="1"/>
  <c r="I38" i="1" s="1"/>
  <c r="H44" i="1"/>
  <c r="I44" i="1" s="1"/>
  <c r="H40" i="1"/>
  <c r="I40" i="1" s="1"/>
  <c r="H43" i="1"/>
  <c r="I43" i="1" s="1"/>
  <c r="H41" i="1"/>
  <c r="I41" i="1" s="1"/>
  <c r="H42" i="1"/>
  <c r="I42" i="1" s="1"/>
  <c r="H39" i="1"/>
  <c r="I39" i="1" s="1"/>
  <c r="H37" i="1"/>
  <c r="I37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</calcChain>
</file>

<file path=xl/sharedStrings.xml><?xml version="1.0" encoding="utf-8"?>
<sst xmlns="http://schemas.openxmlformats.org/spreadsheetml/2006/main" count="332" uniqueCount="227">
  <si>
    <t>Town</t>
  </si>
  <si>
    <t>Z</t>
  </si>
  <si>
    <t>Bagerhat</t>
  </si>
  <si>
    <t>Gaibandha</t>
  </si>
  <si>
    <t>Magura</t>
  </si>
  <si>
    <t>Patuakhali</t>
  </si>
  <si>
    <t>Bandarban</t>
  </si>
  <si>
    <t>Gazipur</t>
  </si>
  <si>
    <t>Manikganj</t>
  </si>
  <si>
    <t>Pirojpur</t>
  </si>
  <si>
    <t>Barguna</t>
  </si>
  <si>
    <t>Gopalganj</t>
  </si>
  <si>
    <t>Maulvibazar</t>
  </si>
  <si>
    <t>Rajbari</t>
  </si>
  <si>
    <t>Barisal</t>
  </si>
  <si>
    <t>Habiganj</t>
  </si>
  <si>
    <t>Meherpur</t>
  </si>
  <si>
    <t>Rajshahi</t>
  </si>
  <si>
    <t>Bhola</t>
  </si>
  <si>
    <t>Jaipurhat</t>
  </si>
  <si>
    <t>Mongla</t>
  </si>
  <si>
    <t>Rangamati</t>
  </si>
  <si>
    <t>Bogra</t>
  </si>
  <si>
    <t>Jamalpur</t>
  </si>
  <si>
    <t>Munshiganj</t>
  </si>
  <si>
    <t>Rangpur</t>
  </si>
  <si>
    <t>Brahmanbaria</t>
  </si>
  <si>
    <t>Jessore</t>
  </si>
  <si>
    <t>Mymensingh</t>
  </si>
  <si>
    <t>Satkhira</t>
  </si>
  <si>
    <t>Chandpur</t>
  </si>
  <si>
    <t>Jhalokati</t>
  </si>
  <si>
    <t>Narail</t>
  </si>
  <si>
    <t>Shariatpur</t>
  </si>
  <si>
    <t>Chapainababganj</t>
  </si>
  <si>
    <t>Jhenaidah</t>
  </si>
  <si>
    <t>Narayanganj</t>
  </si>
  <si>
    <t>Sherpur</t>
  </si>
  <si>
    <t>Chittagong</t>
  </si>
  <si>
    <t>Khagrachari</t>
  </si>
  <si>
    <t>Narsingdi</t>
  </si>
  <si>
    <t>Sirajganj</t>
  </si>
  <si>
    <t>Chuadanga</t>
  </si>
  <si>
    <t>Khulna</t>
  </si>
  <si>
    <t>Natore</t>
  </si>
  <si>
    <t>Srimangal</t>
  </si>
  <si>
    <t>Comilla</t>
  </si>
  <si>
    <t>Kishoreganj</t>
  </si>
  <si>
    <t>Naogaon</t>
  </si>
  <si>
    <t>Sunamganj</t>
  </si>
  <si>
    <t>Cox's Bazar</t>
  </si>
  <si>
    <t>Kurigram</t>
  </si>
  <si>
    <t>Netrakona</t>
  </si>
  <si>
    <t>Sylhet</t>
  </si>
  <si>
    <t>Dhaka</t>
  </si>
  <si>
    <t>Kushtia</t>
  </si>
  <si>
    <t>Nilphamari</t>
  </si>
  <si>
    <t>Tangail</t>
  </si>
  <si>
    <t>Dinajpur</t>
  </si>
  <si>
    <t>Lakshmipur</t>
  </si>
  <si>
    <t>Noakhali</t>
  </si>
  <si>
    <t>Thakurgaon</t>
  </si>
  <si>
    <t>Faridpur</t>
  </si>
  <si>
    <t>Lalmanirhat</t>
  </si>
  <si>
    <t>Pabna</t>
  </si>
  <si>
    <t>Feni</t>
  </si>
  <si>
    <t>Madaripur</t>
  </si>
  <si>
    <t>Panchagarh</t>
  </si>
  <si>
    <t>Hight above base (Ft)</t>
  </si>
  <si>
    <t>Soil type</t>
  </si>
  <si>
    <t>S</t>
  </si>
  <si>
    <t>SA</t>
  </si>
  <si>
    <t>SB</t>
  </si>
  <si>
    <t>SC</t>
  </si>
  <si>
    <t>SD</t>
  </si>
  <si>
    <t>SE</t>
  </si>
  <si>
    <t>Table 6.2.15: Seismic Zone Coefficient Z for Some Important Towns of Bangladesh</t>
  </si>
  <si>
    <t>Table 6.2.16: Site Dependent Soil Factor and Other Parameters Defining Elastic Response Spectrum</t>
  </si>
  <si>
    <r>
      <t>T</t>
    </r>
    <r>
      <rPr>
        <b/>
        <sz val="6"/>
        <color theme="1"/>
        <rFont val="Times New Roman"/>
        <family val="1"/>
      </rPr>
      <t>B</t>
    </r>
    <r>
      <rPr>
        <b/>
        <sz val="9"/>
        <color theme="1"/>
        <rFont val="Times New Roman"/>
        <family val="1"/>
      </rPr>
      <t>(s)</t>
    </r>
  </si>
  <si>
    <r>
      <t>T</t>
    </r>
    <r>
      <rPr>
        <b/>
        <sz val="6"/>
        <color theme="1"/>
        <rFont val="Times New Roman"/>
        <family val="1"/>
      </rPr>
      <t xml:space="preserve">C </t>
    </r>
    <r>
      <rPr>
        <b/>
        <sz val="9"/>
        <color theme="1"/>
        <rFont val="Times New Roman"/>
        <family val="1"/>
      </rPr>
      <t>(s)</t>
    </r>
  </si>
  <si>
    <r>
      <t>T</t>
    </r>
    <r>
      <rPr>
        <b/>
        <sz val="6"/>
        <color theme="1"/>
        <rFont val="Times New Roman"/>
        <family val="1"/>
      </rPr>
      <t xml:space="preserve">D </t>
    </r>
    <r>
      <rPr>
        <b/>
        <sz val="9"/>
        <color theme="1"/>
        <rFont val="Times New Roman"/>
        <family val="1"/>
      </rPr>
      <t>(s)</t>
    </r>
  </si>
  <si>
    <t>Soil Type</t>
  </si>
  <si>
    <t>Zone</t>
  </si>
  <si>
    <t>Occupancy Category</t>
  </si>
  <si>
    <t>Importance factor I</t>
  </si>
  <si>
    <t>I, II</t>
  </si>
  <si>
    <t>III</t>
  </si>
  <si>
    <t>IV</t>
  </si>
  <si>
    <t>Table 6.2.17: Importance Factors for Buildings and Structures for Earthquake design</t>
  </si>
  <si>
    <t>Seismic Force Resisting System</t>
  </si>
  <si>
    <t>Response Reduction Factor, R</t>
  </si>
  <si>
    <t xml:space="preserve">System Overstrength Factor, </t>
  </si>
  <si>
    <t xml:space="preserve">Deflection Amplification Factor, </t>
  </si>
  <si>
    <t>C</t>
  </si>
  <si>
    <t>Seismic Design Category (B)</t>
  </si>
  <si>
    <t>Value of Hight limit (m)</t>
  </si>
  <si>
    <t>Seismic Design Category (C)</t>
  </si>
  <si>
    <t>Seismic Design Category (D)</t>
  </si>
  <si>
    <t>1. Special reinforced concrete shear walls</t>
  </si>
  <si>
    <t>2. Ordinary reinforced concrete shear walls</t>
  </si>
  <si>
    <t>3. Ordinary reinforced masonry shear walls</t>
  </si>
  <si>
    <t>4. Ordinary plain masonry shear walls</t>
  </si>
  <si>
    <t>NL</t>
  </si>
  <si>
    <t>NP</t>
  </si>
  <si>
    <t>3. Special steel concentrically braced frames</t>
  </si>
  <si>
    <t>4. Ordinary steel concentrically braced frames</t>
  </si>
  <si>
    <t>5. Special reinforced concrete shear walls</t>
  </si>
  <si>
    <t>6. Ordinary reinforced concrete shear walls</t>
  </si>
  <si>
    <t>7. Ordinary reinforced masonry shear walls</t>
  </si>
  <si>
    <t>8. Ordinary plain masonry shear walls</t>
  </si>
  <si>
    <t>1. Steel eccentrically braced frames, moment resisting connections at columns away from links</t>
  </si>
  <si>
    <t>2. Steel eccentrically braced frames, non-moment-resisting, connections at columns away from links</t>
  </si>
  <si>
    <t>1. Special steel moment frames</t>
  </si>
  <si>
    <t>2. Intermediate steel moment frames</t>
  </si>
  <si>
    <t>3. Ordinary steel moment frames</t>
  </si>
  <si>
    <t>6. Ordinary reinforced concrete moment</t>
  </si>
  <si>
    <t>4. Special reinforced concrete moment frames</t>
  </si>
  <si>
    <t>5. Intermediate reinforced concrete moment frames</t>
  </si>
  <si>
    <t>BEARING_WALL_SYSTEMS_no_frame</t>
  </si>
  <si>
    <t>BUILDING_FRAME_SYSTEMS_with_bracing_or_shear_wall</t>
  </si>
  <si>
    <t>MOMENT_RESISTING_FRAME_SYSTEMS_no_shear_wall</t>
  </si>
  <si>
    <t>Table 6.2.19: Response Reduction Factor, Deflection Amplification Factor and Height Limitations for Different Structural Systems</t>
  </si>
  <si>
    <t>Sturctural type</t>
  </si>
  <si>
    <t>Structural Type --&gt;</t>
  </si>
  <si>
    <t>Seismic Force Resisting System --&gt;</t>
  </si>
  <si>
    <t>Percentage of critical damping--&gt;</t>
  </si>
  <si>
    <t>Response Reduction Factor(R)--&gt;</t>
  </si>
  <si>
    <t>Coefficients to Estimate Approximate Period</t>
  </si>
  <si>
    <t>Structure type</t>
  </si>
  <si>
    <t>Ct</t>
  </si>
  <si>
    <t>m</t>
  </si>
  <si>
    <t>Concrete moment-resisting frames</t>
  </si>
  <si>
    <t>Steel moment-resisting frames</t>
  </si>
  <si>
    <t>Eccentrically braced steel frame</t>
  </si>
  <si>
    <t>All other structural systems</t>
  </si>
  <si>
    <t>CMRF</t>
  </si>
  <si>
    <t>SMRF</t>
  </si>
  <si>
    <t>EBSF</t>
  </si>
  <si>
    <t>AOSS</t>
  </si>
  <si>
    <t>Table 6.2.20: Values for Coefficients to Estimate Approximate Period</t>
  </si>
  <si>
    <t>ƞ</t>
  </si>
  <si>
    <t>Revised</t>
  </si>
  <si>
    <t>Cs</t>
  </si>
  <si>
    <r>
      <t>T</t>
    </r>
    <r>
      <rPr>
        <sz val="8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>(s)</t>
    </r>
  </si>
  <si>
    <r>
      <t>T</t>
    </r>
    <r>
      <rPr>
        <sz val="8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(s)</t>
    </r>
  </si>
  <si>
    <r>
      <t>T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(s)</t>
    </r>
  </si>
  <si>
    <t>Building Period, T (s)</t>
  </si>
  <si>
    <t>Cd</t>
  </si>
  <si>
    <t>Sa</t>
  </si>
  <si>
    <t>Width      (B)</t>
  </si>
  <si>
    <t>No of Sotry  (n)</t>
  </si>
  <si>
    <t>Length   (L) ft</t>
  </si>
  <si>
    <t>Wa</t>
  </si>
  <si>
    <t>V</t>
  </si>
  <si>
    <t>w (psf)</t>
  </si>
  <si>
    <t>K</t>
  </si>
  <si>
    <t>Base Shear Distribution (Horizontal Direction)</t>
  </si>
  <si>
    <t>Story No</t>
  </si>
  <si>
    <t>Story Hight Above Base (ft)</t>
  </si>
  <si>
    <t>Cum. Hight (hi) (ft)</t>
  </si>
  <si>
    <t xml:space="preserve">Effective seismic weight   (Wx)-Kips </t>
  </si>
  <si>
    <t>Wxhi^k</t>
  </si>
  <si>
    <t>∑Wxhi^k</t>
  </si>
  <si>
    <r>
      <t>F</t>
    </r>
    <r>
      <rPr>
        <sz val="8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( Kips)</t>
    </r>
  </si>
  <si>
    <t>Fh ( KN)</t>
  </si>
  <si>
    <t>S1</t>
  </si>
  <si>
    <t>Ss</t>
  </si>
  <si>
    <r>
      <t>S</t>
    </r>
    <r>
      <rPr>
        <sz val="8"/>
        <color theme="1"/>
        <rFont val="Times New Roman"/>
        <family val="1"/>
      </rPr>
      <t>1</t>
    </r>
  </si>
  <si>
    <t>Table 6.C.1: Spectral Response Acceleration Parameter SS and S1 for Different Seismic Zone</t>
  </si>
  <si>
    <t>Zone--&gt;</t>
  </si>
  <si>
    <t>Required value for Etabs Calculation (According code)</t>
  </si>
  <si>
    <t>R</t>
  </si>
  <si>
    <t>Fa</t>
  </si>
  <si>
    <t>Fv</t>
  </si>
  <si>
    <t>T</t>
  </si>
  <si>
    <t>ST/Z-&gt;</t>
  </si>
  <si>
    <t>Table 6.C.2: Site Coefficient  (Fa) for Different Seismic Zone and Soil Type</t>
  </si>
  <si>
    <t>ST/Zone-&gt;</t>
  </si>
  <si>
    <t>Table 6.C.3: Site Coefficient   for Different Seismic Zone and Soil Type</t>
  </si>
  <si>
    <t>Long Period Trans.</t>
  </si>
  <si>
    <t>Ω</t>
  </si>
  <si>
    <t>ASCE 7-05/7-10</t>
  </si>
  <si>
    <t>This is the Poperty of School of civil Engineering</t>
  </si>
  <si>
    <t>This Channel are Manageing By SM Hedaetullah And N.J. Disha (B.Sc. In Civil Engineering)</t>
  </si>
  <si>
    <t>Support us And stay connected</t>
  </si>
  <si>
    <t>This file is only for edicational Perpose. Pls don't misuse it.</t>
  </si>
  <si>
    <t>1. Steel eccentrically braced frames</t>
  </si>
  <si>
    <t>2. Special steel concentrically braced frames</t>
  </si>
  <si>
    <t>3. Special reinforced concrete shear walls</t>
  </si>
  <si>
    <t>4. Ordinary reinforced concrete shear walls</t>
  </si>
  <si>
    <t>1. Special steel concentrically braced frames</t>
  </si>
  <si>
    <t>2. Special reinforced concrete shear walls</t>
  </si>
  <si>
    <t>DUAL SHEAR WALL-FRAME SYSTEM</t>
  </si>
  <si>
    <t xml:space="preserve">STEEL SYSTEMS NOT SPECIFICALLY DETAILED </t>
  </si>
  <si>
    <t>DUAL_SHEAR_WALL_FRAME_SYSTEM</t>
  </si>
  <si>
    <t xml:space="preserve">STEEL_SYSTEMS_NOT_SPECIFICALLY_DETAILED </t>
  </si>
  <si>
    <t>DUAL_SYSTEMS_SPECIAL_MOMENT_FRAMES</t>
  </si>
  <si>
    <t>DUAL_SYSTEMS_INTERMEDIATE_MOMENT_FRAMES</t>
  </si>
  <si>
    <t>4. Ordinary reinforced concrete shear wall</t>
  </si>
  <si>
    <t>3. Ordinary reinforced masonry shear wall</t>
  </si>
  <si>
    <t xml:space="preserve"> </t>
  </si>
  <si>
    <t>BNBC-2020 ( User Coefficent)</t>
  </si>
  <si>
    <t>GF</t>
  </si>
  <si>
    <t>f1</t>
  </si>
  <si>
    <t>f2</t>
  </si>
  <si>
    <t>f3</t>
  </si>
  <si>
    <t>f4</t>
  </si>
  <si>
    <t>This is the Poperty of qLearnify</t>
  </si>
  <si>
    <t>This are Manageing By SM Hedaetullah And N.J. Disha</t>
  </si>
  <si>
    <t>qLearnify is an educational platform dedicated to the professional development of engineers and architects.</t>
  </si>
  <si>
    <t>https://qlearnify.com/</t>
  </si>
  <si>
    <t>Website:</t>
  </si>
  <si>
    <t>Facebook:</t>
  </si>
  <si>
    <t>https://www.facebook.com/qlearnify</t>
  </si>
  <si>
    <t>Youtube (Bangla):</t>
  </si>
  <si>
    <t>https://www.youtube.com/@qlearnify-bn</t>
  </si>
  <si>
    <t>https://www.youtube.com/@qlearnify-en</t>
  </si>
  <si>
    <t>Youtube (English):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</si>
  <si>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</si>
  <si>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</si>
  <si>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</si>
  <si>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</si>
  <si>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</si>
  <si>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https://youtube.com/playlist?list=PLTscI_CLWNfB_1x6_7zylwLZWo7mKypCq&amp;si=QzFh_rJa61GU0YNW</t>
  </si>
  <si>
    <t>English:</t>
  </si>
  <si>
    <t>Bangla:</t>
  </si>
  <si>
    <t>https://youtube.com/playlist?list=PLxle8F-wJI7P43K0GljphED4I5TRXu6Zx&amp;si=el-Lrxm5mB1Vmgcf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</si>
</sst>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0.0000"/>
    <numFmt numFmtId="165" formatCode="0.000"/>
    <numFmt numFmtId="166" formatCode="0.0"/>
    <numFmt numFmtId="167" formatCode="#\ &quot;Kn&quot;"/>
    <numFmt numFmtId="168" formatCode="#.0\ &quot;Kn&quot;"/>
    <numFmt numFmtId="169" formatCode="#.00000\ &quot;% Wa (g)&quot;"/>
    <numFmt numFmtId="170" formatCode="#\ &quot;Kips&quot;"/>
    <numFmt numFmtId="171" formatCode="\ #\ &quot;Kips&quot;"/>
    <numFmt numFmtId="172" formatCode="0.000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8.5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6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6"/>
      <color theme="1"/>
      <name val="Calibri"/>
      <family val="2"/>
      <scheme val="minor"/>
    </font>
    <font>
      <sz val="22"/>
      <color rgb="FF7030A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181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2" fillId="7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9" fillId="10" borderId="15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vertical="center"/>
    </xf>
    <xf numFmtId="0" fontId="9" fillId="10" borderId="9" xfId="0" applyFont="1" applyFill="1" applyBorder="1" applyAlignment="1">
      <alignment vertical="center"/>
    </xf>
    <xf numFmtId="0" fontId="3" fillId="8" borderId="15" xfId="0" applyFont="1" applyFill="1" applyBorder="1" applyAlignment="1">
      <alignment vertical="center" wrapText="1"/>
    </xf>
    <xf numFmtId="0" fontId="3" fillId="9" borderId="15" xfId="0" applyFont="1" applyFill="1" applyBorder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10" fillId="17" borderId="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5" borderId="28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0" fillId="5" borderId="28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6" borderId="2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0" fillId="6" borderId="2" xfId="0" applyFill="1" applyBorder="1" applyAlignment="1" applyProtection="1">
      <alignment horizontal="center" vertical="center"/>
      <protection locked="0"/>
    </xf>
    <xf numFmtId="0" fontId="0" fillId="6" borderId="22" xfId="0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9" fontId="0" fillId="6" borderId="2" xfId="2" applyFont="1" applyFill="1" applyBorder="1" applyAlignment="1" applyProtection="1">
      <alignment horizontal="center" vertical="center"/>
      <protection locked="0"/>
    </xf>
    <xf numFmtId="0" fontId="0" fillId="6" borderId="2" xfId="0" applyFill="1" applyBorder="1" applyProtection="1"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8" fillId="11" borderId="0" xfId="0" applyFont="1" applyFill="1" applyAlignment="1" applyProtection="1">
      <alignment horizontal="center"/>
      <protection locked="0"/>
    </xf>
    <xf numFmtId="0" fontId="8" fillId="11" borderId="0" xfId="0" applyFont="1" applyFill="1" applyAlignment="1" applyProtection="1">
      <alignment horizontal="center" vertical="center"/>
      <protection locked="0"/>
    </xf>
    <xf numFmtId="0" fontId="0" fillId="12" borderId="0" xfId="0" applyFill="1" applyAlignment="1" applyProtection="1">
      <alignment horizontal="center" vertical="center"/>
      <protection locked="0"/>
    </xf>
    <xf numFmtId="0" fontId="0" fillId="11" borderId="2" xfId="0" applyFill="1" applyBorder="1" applyAlignment="1" applyProtection="1">
      <alignment horizontal="center" vertical="center"/>
      <protection locked="0"/>
    </xf>
    <xf numFmtId="165" fontId="8" fillId="11" borderId="2" xfId="0" applyNumberFormat="1" applyFont="1" applyFill="1" applyBorder="1" applyAlignment="1" applyProtection="1">
      <alignment horizontal="center" vertical="center"/>
      <protection locked="0"/>
    </xf>
    <xf numFmtId="0" fontId="0" fillId="12" borderId="21" xfId="0" applyFill="1" applyBorder="1" applyAlignment="1" applyProtection="1">
      <alignment horizontal="center"/>
      <protection locked="0"/>
    </xf>
    <xf numFmtId="164" fontId="0" fillId="12" borderId="21" xfId="0" applyNumberFormat="1" applyFill="1" applyBorder="1" applyAlignment="1" applyProtection="1">
      <alignment horizontal="center" vertical="center"/>
      <protection locked="0"/>
    </xf>
    <xf numFmtId="165" fontId="0" fillId="12" borderId="25" xfId="0" applyNumberFormat="1" applyFill="1" applyBorder="1" applyAlignment="1" applyProtection="1">
      <alignment horizontal="center"/>
      <protection locked="0"/>
    </xf>
    <xf numFmtId="0" fontId="8" fillId="11" borderId="2" xfId="0" applyFont="1" applyFill="1" applyBorder="1" applyAlignment="1" applyProtection="1">
      <alignment horizontal="center" vertical="center"/>
      <protection locked="0"/>
    </xf>
    <xf numFmtId="43" fontId="0" fillId="0" borderId="0" xfId="1" applyFont="1" applyProtection="1">
      <protection locked="0"/>
    </xf>
    <xf numFmtId="0" fontId="0" fillId="12" borderId="0" xfId="0" applyFill="1" applyAlignment="1" applyProtection="1">
      <alignment horizontal="center"/>
      <protection locked="0"/>
    </xf>
    <xf numFmtId="164" fontId="0" fillId="12" borderId="0" xfId="0" applyNumberFormat="1" applyFill="1" applyAlignment="1" applyProtection="1">
      <alignment horizontal="center" vertical="center"/>
      <protection locked="0"/>
    </xf>
    <xf numFmtId="165" fontId="0" fillId="12" borderId="26" xfId="0" applyNumberFormat="1" applyFill="1" applyBorder="1" applyAlignment="1" applyProtection="1">
      <alignment horizontal="center"/>
      <protection locked="0"/>
    </xf>
    <xf numFmtId="168" fontId="0" fillId="0" borderId="0" xfId="0" applyNumberFormat="1" applyProtection="1">
      <protection locked="0"/>
    </xf>
    <xf numFmtId="0" fontId="0" fillId="12" borderId="10" xfId="0" applyFill="1" applyBorder="1" applyAlignment="1" applyProtection="1">
      <alignment horizontal="center"/>
      <protection locked="0"/>
    </xf>
    <xf numFmtId="164" fontId="0" fillId="12" borderId="10" xfId="0" applyNumberFormat="1" applyFill="1" applyBorder="1" applyAlignment="1" applyProtection="1">
      <alignment horizontal="center" vertical="center"/>
      <protection locked="0"/>
    </xf>
    <xf numFmtId="165" fontId="0" fillId="12" borderId="27" xfId="0" applyNumberFormat="1" applyFill="1" applyBorder="1" applyAlignment="1" applyProtection="1">
      <alignment horizontal="center"/>
      <protection locked="0"/>
    </xf>
    <xf numFmtId="167" fontId="0" fillId="0" borderId="0" xfId="0" applyNumberFormat="1" applyProtection="1">
      <protection locked="0"/>
    </xf>
    <xf numFmtId="0" fontId="0" fillId="13" borderId="20" xfId="0" applyFill="1" applyBorder="1" applyAlignment="1" applyProtection="1">
      <alignment horizontal="center"/>
      <protection locked="0"/>
    </xf>
    <xf numFmtId="165" fontId="0" fillId="13" borderId="19" xfId="0" applyNumberFormat="1" applyFill="1" applyBorder="1" applyAlignment="1" applyProtection="1">
      <alignment horizontal="center" vertical="center"/>
      <protection locked="0"/>
    </xf>
    <xf numFmtId="165" fontId="8" fillId="11" borderId="15" xfId="0" applyNumberFormat="1" applyFont="1" applyFill="1" applyBorder="1" applyAlignment="1" applyProtection="1">
      <alignment horizontal="center"/>
      <protection locked="0"/>
    </xf>
    <xf numFmtId="0" fontId="0" fillId="11" borderId="23" xfId="0" applyFill="1" applyBorder="1" applyAlignment="1" applyProtection="1">
      <alignment horizontal="center" vertical="center"/>
      <protection locked="0"/>
    </xf>
    <xf numFmtId="0" fontId="8" fillId="11" borderId="2" xfId="0" applyFont="1" applyFill="1" applyBorder="1" applyAlignment="1" applyProtection="1">
      <alignment horizontal="center"/>
      <protection locked="0"/>
    </xf>
    <xf numFmtId="0" fontId="0" fillId="14" borderId="0" xfId="0" applyFill="1" applyAlignment="1" applyProtection="1">
      <alignment horizontal="center"/>
      <protection locked="0"/>
    </xf>
    <xf numFmtId="169" fontId="1" fillId="13" borderId="0" xfId="0" applyNumberFormat="1" applyFont="1" applyFill="1" applyAlignment="1" applyProtection="1">
      <alignment horizontal="center"/>
      <protection locked="0"/>
    </xf>
    <xf numFmtId="171" fontId="1" fillId="14" borderId="0" xfId="0" applyNumberFormat="1" applyFont="1" applyFill="1" applyAlignment="1" applyProtection="1">
      <alignment horizontal="center" vertical="center"/>
      <protection locked="0"/>
    </xf>
    <xf numFmtId="170" fontId="1" fillId="12" borderId="0" xfId="0" applyNumberFormat="1" applyFont="1" applyFill="1" applyAlignment="1" applyProtection="1">
      <alignment horizontal="center" vertical="center"/>
      <protection locked="0"/>
    </xf>
    <xf numFmtId="164" fontId="0" fillId="14" borderId="0" xfId="0" applyNumberForma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3" fillId="8" borderId="16" xfId="0" applyFont="1" applyFill="1" applyBorder="1" applyAlignment="1">
      <alignment vertical="center" wrapText="1"/>
    </xf>
    <xf numFmtId="0" fontId="3" fillId="19" borderId="15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/>
    </xf>
    <xf numFmtId="0" fontId="3" fillId="13" borderId="15" xfId="0" applyFont="1" applyFill="1" applyBorder="1" applyAlignment="1">
      <alignment horizontal="left" vertical="center" wrapText="1"/>
    </xf>
    <xf numFmtId="0" fontId="3" fillId="13" borderId="15" xfId="0" applyFont="1" applyFill="1" applyBorder="1" applyAlignment="1">
      <alignment horizontal="center" vertical="center" wrapText="1"/>
    </xf>
    <xf numFmtId="0" fontId="3" fillId="20" borderId="15" xfId="0" applyFont="1" applyFill="1" applyBorder="1" applyAlignment="1">
      <alignment horizontal="left" vertical="center" wrapText="1"/>
    </xf>
    <xf numFmtId="0" fontId="3" fillId="20" borderId="15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/>
    </xf>
    <xf numFmtId="0" fontId="15" fillId="12" borderId="15" xfId="0" applyFont="1" applyFill="1" applyBorder="1" applyAlignment="1">
      <alignment horizontal="left" vertical="center"/>
    </xf>
    <xf numFmtId="0" fontId="0" fillId="19" borderId="15" xfId="0" applyFill="1" applyBorder="1" applyAlignment="1">
      <alignment horizontal="center" vertical="center"/>
    </xf>
    <xf numFmtId="0" fontId="11" fillId="19" borderId="15" xfId="0" applyFont="1" applyFill="1" applyBorder="1" applyAlignment="1">
      <alignment horizontal="left" vertical="center" wrapText="1"/>
    </xf>
    <xf numFmtId="165" fontId="0" fillId="8" borderId="34" xfId="0" applyNumberFormat="1" applyFill="1" applyBorder="1" applyAlignment="1" applyProtection="1">
      <alignment horizontal="center" vertical="center"/>
      <protection locked="0"/>
    </xf>
    <xf numFmtId="0" fontId="0" fillId="8" borderId="34" xfId="0" applyFill="1" applyBorder="1" applyAlignment="1" applyProtection="1">
      <alignment horizontal="center" vertical="center"/>
      <protection locked="0"/>
    </xf>
    <xf numFmtId="0" fontId="0" fillId="8" borderId="37" xfId="0" applyFill="1" applyBorder="1" applyAlignment="1" applyProtection="1">
      <alignment horizontal="center" vertical="center"/>
      <protection locked="0"/>
    </xf>
    <xf numFmtId="172" fontId="0" fillId="8" borderId="34" xfId="0" applyNumberFormat="1" applyFill="1" applyBorder="1" applyAlignment="1" applyProtection="1">
      <alignment horizontal="center" vertical="center"/>
      <protection locked="0"/>
    </xf>
    <xf numFmtId="164" fontId="0" fillId="8" borderId="37" xfId="0" applyNumberForma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21" fillId="0" borderId="0" xfId="0" applyFont="1" applyProtection="1">
      <protection hidden="1"/>
    </xf>
    <xf numFmtId="0" fontId="28" fillId="0" borderId="0" xfId="0" applyFont="1" applyAlignment="1" applyProtection="1">
      <alignment horizontal="center" vertical="center" wrapText="1"/>
      <protection hidden="1"/>
    </xf>
    <xf numFmtId="0" fontId="27" fillId="0" borderId="0" xfId="3" applyAlignment="1" applyProtection="1">
      <alignment horizontal="left"/>
      <protection hidden="1"/>
    </xf>
    <xf numFmtId="0" fontId="0" fillId="0" borderId="0" xfId="0" applyAlignment="1" applyProtection="1">
      <alignment horizontal="right"/>
      <protection hidden="1"/>
    </xf>
    <xf numFmtId="0" fontId="26" fillId="0" borderId="0" xfId="0" applyFont="1" applyAlignment="1" applyProtection="1">
      <alignment horizontal="center" vertical="center" wrapText="1"/>
      <protection hidden="1"/>
    </xf>
    <xf numFmtId="0" fontId="0" fillId="5" borderId="33" xfId="0" applyFill="1" applyBorder="1" applyAlignment="1" applyProtection="1">
      <alignment horizontal="center"/>
      <protection locked="0"/>
    </xf>
    <xf numFmtId="0" fontId="0" fillId="5" borderId="25" xfId="0" applyFill="1" applyBorder="1" applyAlignment="1" applyProtection="1">
      <alignment horizontal="center"/>
      <protection locked="0"/>
    </xf>
    <xf numFmtId="0" fontId="0" fillId="5" borderId="42" xfId="0" applyFill="1" applyBorder="1" applyAlignment="1" applyProtection="1">
      <alignment horizontal="center"/>
      <protection locked="0"/>
    </xf>
    <xf numFmtId="0" fontId="0" fillId="5" borderId="23" xfId="0" applyFill="1" applyBorder="1" applyAlignment="1" applyProtection="1">
      <alignment horizontal="center"/>
      <protection locked="0"/>
    </xf>
    <xf numFmtId="0" fontId="1" fillId="14" borderId="0" xfId="0" applyFont="1" applyFill="1" applyAlignment="1" applyProtection="1">
      <alignment horizontal="center" vertical="center"/>
      <protection locked="0"/>
    </xf>
    <xf numFmtId="0" fontId="14" fillId="5" borderId="35" xfId="0" applyFont="1" applyFill="1" applyBorder="1" applyAlignment="1" applyProtection="1">
      <alignment horizontal="center"/>
      <protection locked="0"/>
    </xf>
    <xf numFmtId="0" fontId="0" fillId="5" borderId="24" xfId="0" applyFill="1" applyBorder="1" applyAlignment="1" applyProtection="1">
      <alignment horizontal="center"/>
      <protection locked="0"/>
    </xf>
    <xf numFmtId="0" fontId="23" fillId="6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 wrapText="1"/>
    </xf>
    <xf numFmtId="0" fontId="25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1" fillId="0" borderId="0" xfId="0" applyFont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right" vertic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22" fillId="2" borderId="39" xfId="0" applyFont="1" applyFill="1" applyBorder="1" applyAlignment="1" applyProtection="1">
      <alignment horizontal="center"/>
      <protection locked="0"/>
    </xf>
    <xf numFmtId="0" fontId="22" fillId="2" borderId="40" xfId="0" applyFont="1" applyFill="1" applyBorder="1" applyAlignment="1" applyProtection="1">
      <alignment horizontal="center"/>
      <protection locked="0"/>
    </xf>
    <xf numFmtId="0" fontId="22" fillId="2" borderId="41" xfId="0" applyFont="1" applyFill="1" applyBorder="1" applyAlignment="1" applyProtection="1">
      <alignment horizontal="center"/>
      <protection locked="0"/>
    </xf>
    <xf numFmtId="0" fontId="1" fillId="18" borderId="30" xfId="0" applyFont="1" applyFill="1" applyBorder="1" applyAlignment="1" applyProtection="1">
      <alignment horizontal="center" vertical="center"/>
      <protection locked="0"/>
    </xf>
    <xf numFmtId="0" fontId="1" fillId="18" borderId="31" xfId="0" applyFont="1" applyFill="1" applyBorder="1" applyAlignment="1" applyProtection="1">
      <alignment horizontal="center" vertical="center"/>
      <protection locked="0"/>
    </xf>
    <xf numFmtId="0" fontId="1" fillId="18" borderId="32" xfId="0" applyFont="1" applyFill="1" applyBorder="1" applyAlignment="1" applyProtection="1">
      <alignment horizontal="center" vertical="center"/>
      <protection locked="0"/>
    </xf>
    <xf numFmtId="0" fontId="1" fillId="18" borderId="38" xfId="0" applyFont="1" applyFill="1" applyBorder="1" applyAlignment="1" applyProtection="1">
      <alignment horizontal="center" vertical="center"/>
      <protection locked="0"/>
    </xf>
    <xf numFmtId="0" fontId="0" fillId="5" borderId="21" xfId="0" applyFill="1" applyBorder="1" applyAlignment="1" applyProtection="1">
      <alignment horizontal="center" vertical="center"/>
      <protection locked="0"/>
    </xf>
    <xf numFmtId="0" fontId="0" fillId="5" borderId="25" xfId="0" applyFill="1" applyBorder="1" applyAlignment="1" applyProtection="1">
      <alignment horizontal="center" vertical="center"/>
      <protection locked="0"/>
    </xf>
    <xf numFmtId="0" fontId="0" fillId="5" borderId="36" xfId="0" applyFill="1" applyBorder="1" applyAlignment="1" applyProtection="1">
      <alignment horizontal="center" vertical="center"/>
      <protection locked="0"/>
    </xf>
    <xf numFmtId="0" fontId="0" fillId="5" borderId="24" xfId="0" applyFill="1" applyBorder="1" applyAlignment="1" applyProtection="1">
      <alignment horizontal="center" vertical="center"/>
      <protection locked="0"/>
    </xf>
    <xf numFmtId="0" fontId="23" fillId="6" borderId="0" xfId="0" applyFont="1" applyFill="1" applyAlignment="1" applyProtection="1">
      <alignment horizontal="center"/>
      <protection locked="0"/>
    </xf>
    <xf numFmtId="0" fontId="24" fillId="2" borderId="0" xfId="0" applyFont="1" applyFill="1" applyAlignment="1" applyProtection="1">
      <alignment horizontal="center" vertical="center" wrapText="1"/>
      <protection locked="0"/>
    </xf>
    <xf numFmtId="0" fontId="25" fillId="16" borderId="0" xfId="0" applyFont="1" applyFill="1" applyAlignment="1" applyProtection="1">
      <alignment horizontal="center"/>
      <protection locked="0"/>
    </xf>
    <xf numFmtId="0" fontId="0" fillId="16" borderId="0" xfId="0" applyFill="1" applyAlignment="1" applyProtection="1">
      <alignment horizontal="center"/>
      <protection locked="0"/>
    </xf>
    <xf numFmtId="0" fontId="19" fillId="2" borderId="0" xfId="0" applyFont="1" applyFill="1" applyAlignment="1">
      <alignment horizontal="center" vertical="center" wrapText="1"/>
    </xf>
    <xf numFmtId="0" fontId="19" fillId="2" borderId="29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20" borderId="16" xfId="0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center"/>
    </xf>
    <xf numFmtId="0" fontId="0" fillId="10" borderId="16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 wrapText="1"/>
    </xf>
    <xf numFmtId="0" fontId="0" fillId="8" borderId="17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/>
    </xf>
    <xf numFmtId="0" fontId="9" fillId="11" borderId="10" xfId="0" applyFont="1" applyFill="1" applyBorder="1" applyAlignment="1">
      <alignment horizontal="center"/>
    </xf>
    <xf numFmtId="0" fontId="9" fillId="11" borderId="11" xfId="0" applyFont="1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Fh(Kips) </a:t>
            </a:r>
          </a:p>
        </c:rich>
      </c:tx>
      <c:layout>
        <c:manualLayout>
          <c:xMode val="edge"/>
          <c:yMode val="edge"/>
          <c:x val="0.4479319995410001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'EQ Analysis'!$H$36:$H$48</c:f>
              <c:numCache>
                <c:formatCode>0.00</c:formatCode>
                <c:ptCount val="13"/>
                <c:pt idx="0">
                  <c:v>37.269081658607874</c:v>
                </c:pt>
                <c:pt idx="1">
                  <c:v>88.095760048145578</c:v>
                </c:pt>
                <c:pt idx="2">
                  <c:v>145.71380241003024</c:v>
                </c:pt>
                <c:pt idx="3">
                  <c:v>208.23864160516436</c:v>
                </c:pt>
                <c:pt idx="4">
                  <c:v>274.68547265847405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79-47F7-85DD-2A4BBEA581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8563312"/>
        <c:axId val="1338563856"/>
      </c:lineChart>
      <c:catAx>
        <c:axId val="133856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563856"/>
        <c:crosses val="autoZero"/>
        <c:auto val="1"/>
        <c:lblAlgn val="ctr"/>
        <c:lblOffset val="100"/>
        <c:noMultiLvlLbl val="0"/>
      </c:catAx>
      <c:valAx>
        <c:axId val="13385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56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Fh</a:t>
            </a:r>
            <a:r>
              <a:rPr lang="en-US" baseline="0"/>
              <a:t> (KN)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'EQ Analysis'!$I$36:$I$48</c:f>
              <c:numCache>
                <c:formatCode>0.0</c:formatCode>
                <c:ptCount val="13"/>
                <c:pt idx="0">
                  <c:v>165.84741338080505</c:v>
                </c:pt>
                <c:pt idx="1">
                  <c:v>392.02613221424787</c:v>
                </c:pt>
                <c:pt idx="2">
                  <c:v>648.42642072463457</c:v>
                </c:pt>
                <c:pt idx="3">
                  <c:v>926.66195514298147</c:v>
                </c:pt>
                <c:pt idx="4">
                  <c:v>1222.3503533302096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B-4000-A64E-ECDA628201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38562224"/>
        <c:axId val="1338564400"/>
      </c:barChart>
      <c:catAx>
        <c:axId val="1338562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564400"/>
        <c:crosses val="autoZero"/>
        <c:auto val="1"/>
        <c:lblAlgn val="ctr"/>
        <c:lblOffset val="100"/>
        <c:noMultiLvlLbl val="0"/>
      </c:catAx>
      <c:valAx>
        <c:axId val="1338564400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33856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FCA69D-FE4A-0016-DD02-41574F8FA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F82D949E-447D-C3EC-3C32-088EF112A007}"/>
            </a:ext>
          </a:extLst>
        </xdr:cNvPr>
        <xdr:cNvSpPr/>
      </xdr:nvSpPr>
      <xdr:spPr>
        <a:xfrm>
          <a:off x="14192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119063</xdr:colOff>
      <xdr:row>34</xdr:row>
      <xdr:rowOff>735805</xdr:rowOff>
    </xdr:from>
    <xdr:to>
      <xdr:col>13</xdr:col>
      <xdr:colOff>333376</xdr:colOff>
      <xdr:row>50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0C68B-4865-48E3-85BB-0244609C2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333375</xdr:colOff>
      <xdr:row>34</xdr:row>
      <xdr:rowOff>735805</xdr:rowOff>
    </xdr:from>
    <xdr:to>
      <xdr:col>18</xdr:col>
      <xdr:colOff>468312</xdr:colOff>
      <xdr:row>49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A6BBB3-DBE3-4C65-9856-46A39DB39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388938</xdr:colOff>
      <xdr:row>7</xdr:row>
      <xdr:rowOff>881062</xdr:rowOff>
    </xdr:from>
    <xdr:to>
      <xdr:col>4</xdr:col>
      <xdr:colOff>512763</xdr:colOff>
      <xdr:row>8</xdr:row>
      <xdr:rowOff>88900</xdr:rowOff>
    </xdr:to>
    <xdr:pic>
      <xdr:nvPicPr>
        <xdr:cNvPr id="6" name="image61.png">
          <a:extLst>
            <a:ext uri="{FF2B5EF4-FFF2-40B4-BE49-F238E27FC236}">
              <a16:creationId xmlns:a16="http://schemas.microsoft.com/office/drawing/2014/main" id="{56136E34-C244-4AA1-8F7F-78C9E0FF3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4813" y="1460500"/>
          <a:ext cx="12382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365124</xdr:colOff>
      <xdr:row>7</xdr:row>
      <xdr:rowOff>873125</xdr:rowOff>
    </xdr:from>
    <xdr:to>
      <xdr:col>5</xdr:col>
      <xdr:colOff>469899</xdr:colOff>
      <xdr:row>8</xdr:row>
      <xdr:rowOff>71438</xdr:rowOff>
    </xdr:to>
    <xdr:pic>
      <xdr:nvPicPr>
        <xdr:cNvPr id="7" name="image62.png">
          <a:extLst>
            <a:ext uri="{FF2B5EF4-FFF2-40B4-BE49-F238E27FC236}">
              <a16:creationId xmlns:a16="http://schemas.microsoft.com/office/drawing/2014/main" id="{7DC173E5-39B7-4469-B2F8-3661893F9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8562" y="1452563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workbookViewId="0">
      <selection activeCell="M8" sqref="M8"/>
    </sheetView>
  </sheetViews>
  <sheetFormatPr defaultRowHeight="15" x14ac:dyDescent="0.25"/>
  <cols>
    <col min="1" max="1" width="9.140625" style="103" customWidth="1"/>
    <col min="2" max="16384" width="9.140625" style="103"/>
  </cols>
  <sheetData>
    <row r="14" spans="2:10" ht="15" customHeight="1" x14ac:dyDescent="0.25">
      <c r="B14" s="108" t="s">
        <v>209</v>
      </c>
      <c r="C14" s="108"/>
      <c r="D14" s="108"/>
      <c r="E14" s="108"/>
      <c r="F14" s="108"/>
      <c r="G14" s="108"/>
      <c r="H14" s="108"/>
      <c r="I14" s="108"/>
      <c r="J14" s="108"/>
    </row>
    <row r="15" spans="2:10" ht="15" customHeight="1" x14ac:dyDescent="0.25">
      <c r="B15" s="108"/>
      <c r="C15" s="108"/>
      <c r="D15" s="108"/>
      <c r="E15" s="108"/>
      <c r="F15" s="108"/>
      <c r="G15" s="108"/>
      <c r="H15" s="108"/>
      <c r="I15" s="108"/>
      <c r="J15" s="108"/>
    </row>
    <row r="16" spans="2:10" x14ac:dyDescent="0.25">
      <c r="B16" s="108"/>
      <c r="C16" s="108"/>
      <c r="D16" s="108"/>
      <c r="E16" s="108"/>
      <c r="F16" s="108"/>
      <c r="G16" s="108"/>
      <c r="H16" s="108"/>
      <c r="I16" s="108"/>
      <c r="J16" s="108"/>
    </row>
    <row r="17" spans="2:10" x14ac:dyDescent="0.25">
      <c r="C17" s="107" t="s">
        <v>211</v>
      </c>
      <c r="D17" s="107"/>
      <c r="E17" s="106" t="s">
        <v>210</v>
      </c>
      <c r="F17" s="106"/>
      <c r="G17" s="106"/>
      <c r="H17" s="106"/>
      <c r="I17" s="106"/>
      <c r="J17" s="106"/>
    </row>
    <row r="18" spans="2:10" x14ac:dyDescent="0.25">
      <c r="C18" s="107" t="s">
        <v>212</v>
      </c>
      <c r="D18" s="107"/>
      <c r="E18" s="106" t="s">
        <v>213</v>
      </c>
      <c r="F18" s="106"/>
      <c r="G18" s="106"/>
      <c r="H18" s="106"/>
      <c r="I18" s="106"/>
      <c r="J18" s="106"/>
    </row>
    <row r="19" spans="2:10" x14ac:dyDescent="0.25">
      <c r="C19" s="107" t="s">
        <v>214</v>
      </c>
      <c r="D19" s="107"/>
      <c r="E19" s="106" t="s">
        <v>215</v>
      </c>
      <c r="F19" s="106"/>
      <c r="G19" s="106"/>
      <c r="H19" s="106"/>
      <c r="I19" s="106"/>
      <c r="J19" s="106"/>
    </row>
    <row r="20" spans="2:10" x14ac:dyDescent="0.25">
      <c r="C20" s="107" t="s">
        <v>217</v>
      </c>
      <c r="D20" s="107"/>
      <c r="E20" s="106" t="s">
        <v>216</v>
      </c>
      <c r="F20" s="106"/>
      <c r="G20" s="106"/>
      <c r="H20" s="106"/>
      <c r="I20" s="106"/>
      <c r="J20" s="106"/>
    </row>
    <row r="21" spans="2:10" x14ac:dyDescent="0.25">
      <c r="C21" s="107" t="s">
        <v>218</v>
      </c>
      <c r="D21" s="107"/>
      <c r="E21" s="106" t="s">
        <v>219</v>
      </c>
      <c r="F21" s="106"/>
      <c r="G21" s="106"/>
      <c r="H21" s="106"/>
      <c r="I21" s="106"/>
      <c r="J21" s="106"/>
    </row>
    <row r="22" spans="2:10" x14ac:dyDescent="0.25">
      <c r="C22" s="107" t="s">
        <v>220</v>
      </c>
      <c r="D22" s="107"/>
      <c r="E22" s="106" t="s">
        <v>221</v>
      </c>
      <c r="F22" s="106"/>
      <c r="G22" s="106"/>
      <c r="H22" s="106"/>
      <c r="I22" s="106"/>
      <c r="J22" s="106"/>
    </row>
    <row r="24" spans="2:10" ht="15" customHeight="1" x14ac:dyDescent="0.25">
      <c r="B24" s="105" t="s">
        <v>222</v>
      </c>
      <c r="C24" s="105"/>
      <c r="D24" s="105"/>
      <c r="E24" s="105"/>
      <c r="F24" s="105"/>
      <c r="G24" s="105"/>
      <c r="H24" s="105"/>
      <c r="I24" s="105"/>
      <c r="J24" s="105"/>
    </row>
    <row r="25" spans="2:10" ht="15" customHeight="1" x14ac:dyDescent="0.25">
      <c r="B25" s="105"/>
      <c r="C25" s="105"/>
      <c r="D25" s="105"/>
      <c r="E25" s="105"/>
      <c r="F25" s="105"/>
      <c r="G25" s="105"/>
      <c r="H25" s="105"/>
      <c r="I25" s="105"/>
      <c r="J25" s="105"/>
    </row>
    <row r="26" spans="2:10" ht="15" customHeight="1" x14ac:dyDescent="0.25">
      <c r="B26" s="105"/>
      <c r="C26" s="105"/>
      <c r="D26" s="105"/>
      <c r="E26" s="105"/>
      <c r="F26" s="105"/>
      <c r="G26" s="105"/>
      <c r="H26" s="105"/>
      <c r="I26" s="105"/>
      <c r="J26" s="105"/>
    </row>
    <row r="27" spans="2:10" x14ac:dyDescent="0.25">
      <c r="B27" s="105"/>
      <c r="C27" s="105"/>
      <c r="D27" s="105"/>
      <c r="E27" s="105"/>
      <c r="F27" s="105"/>
      <c r="G27" s="105"/>
      <c r="H27" s="105"/>
      <c r="I27" s="105"/>
      <c r="J27" s="105"/>
    </row>
    <row r="34" spans="1:13" ht="15.75" x14ac:dyDescent="0.25">
      <c r="A34" s="104" t="s">
        <v>225</v>
      </c>
      <c r="B34" s="106" t="s">
        <v>226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</row>
    <row r="35" spans="1:13" ht="15.75" x14ac:dyDescent="0.25">
      <c r="A35" s="104"/>
    </row>
    <row r="36" spans="1:13" ht="15.75" x14ac:dyDescent="0.25">
      <c r="A36" s="104" t="s">
        <v>224</v>
      </c>
      <c r="B36" s="106" t="s">
        <v>223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B14:J16"/>
    <mergeCell ref="C17:D17"/>
    <mergeCell ref="C18:D18"/>
    <mergeCell ref="E17:J17"/>
    <mergeCell ref="E18:J18"/>
    <mergeCell ref="B24:J27"/>
    <mergeCell ref="B34:M34"/>
    <mergeCell ref="B36:M36"/>
    <mergeCell ref="C19:D19"/>
    <mergeCell ref="C20:D20"/>
    <mergeCell ref="C21:D21"/>
    <mergeCell ref="C22:D22"/>
    <mergeCell ref="E21:J21"/>
    <mergeCell ref="E20:J20"/>
    <mergeCell ref="E19:J19"/>
    <mergeCell ref="E22:J22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zoomScale="110" zoomScaleNormal="110" workbookViewId="0">
      <selection activeCell="K19" sqref="K19"/>
    </sheetView>
  </sheetViews>
  <sheetFormatPr defaultRowHeight="15" x14ac:dyDescent="0.25"/>
  <cols>
    <col min="1" max="1" width="9.140625" style="38"/>
    <col min="2" max="2" width="8.5703125" style="38" customWidth="1"/>
    <col min="3" max="4" width="9.140625" style="38"/>
    <col min="5" max="5" width="11.7109375" style="38" customWidth="1"/>
    <col min="6" max="6" width="57.7109375" style="38" bestFit="1" customWidth="1"/>
    <col min="7" max="7" width="13.7109375" style="38" customWidth="1"/>
    <col min="8" max="8" width="19.28515625" style="38" customWidth="1"/>
    <col min="9" max="9" width="10.5703125" style="38" customWidth="1"/>
    <col min="10" max="10" width="9.140625" style="38"/>
    <col min="11" max="11" width="15.5703125" style="38" customWidth="1"/>
    <col min="12" max="12" width="11.85546875" style="38" customWidth="1"/>
    <col min="13" max="18" width="9.140625" style="38"/>
    <col min="19" max="19" width="14.85546875" style="38" customWidth="1"/>
    <col min="20" max="16384" width="9.140625" style="38"/>
  </cols>
  <sheetData>
    <row r="1" spans="2:19" ht="33.75" x14ac:dyDescent="0.5">
      <c r="B1" s="116" t="s">
        <v>207</v>
      </c>
      <c r="C1" s="116"/>
      <c r="D1" s="116"/>
      <c r="E1" s="116"/>
      <c r="F1" s="116"/>
      <c r="G1" s="116"/>
      <c r="H1" s="116"/>
      <c r="I1" s="116"/>
      <c r="J1" s="116"/>
      <c r="K1" s="116"/>
    </row>
    <row r="2" spans="2:19" ht="37.5" customHeight="1" x14ac:dyDescent="0.25">
      <c r="B2" s="117" t="s">
        <v>208</v>
      </c>
      <c r="C2" s="117"/>
      <c r="D2" s="117"/>
      <c r="E2" s="117"/>
      <c r="F2" s="117"/>
      <c r="G2" s="117"/>
      <c r="H2" s="117"/>
      <c r="I2" s="117"/>
      <c r="J2" s="117"/>
      <c r="K2" s="117"/>
    </row>
    <row r="3" spans="2:19" ht="23.25" x14ac:dyDescent="0.35">
      <c r="B3" s="118" t="s">
        <v>184</v>
      </c>
      <c r="C3" s="118"/>
      <c r="D3" s="118"/>
      <c r="E3" s="118"/>
      <c r="F3" s="118"/>
      <c r="G3" s="118"/>
      <c r="H3" s="118"/>
      <c r="I3" s="118"/>
      <c r="J3" s="118"/>
      <c r="K3" s="118"/>
    </row>
    <row r="4" spans="2:19" x14ac:dyDescent="0.25">
      <c r="B4" s="119" t="s">
        <v>185</v>
      </c>
      <c r="C4" s="119"/>
      <c r="D4" s="119"/>
      <c r="E4" s="119"/>
      <c r="F4" s="119"/>
      <c r="G4" s="119"/>
      <c r="H4" s="119"/>
      <c r="I4" s="119"/>
      <c r="J4" s="119"/>
      <c r="K4" s="119"/>
    </row>
    <row r="6" spans="2:19" x14ac:dyDescent="0.25">
      <c r="M6" s="38" t="s">
        <v>200</v>
      </c>
    </row>
    <row r="8" spans="2:19" ht="1.5" customHeight="1" x14ac:dyDescent="0.25"/>
    <row r="9" spans="2:19" ht="50.25" customHeight="1" x14ac:dyDescent="0.25">
      <c r="B9" s="39" t="s">
        <v>151</v>
      </c>
      <c r="C9" s="39" t="s">
        <v>149</v>
      </c>
      <c r="D9" s="39" t="s">
        <v>150</v>
      </c>
      <c r="E9" s="40" t="s">
        <v>154</v>
      </c>
      <c r="F9" s="41" t="s">
        <v>68</v>
      </c>
      <c r="G9" s="41" t="s">
        <v>81</v>
      </c>
      <c r="H9" s="41" t="s">
        <v>0</v>
      </c>
      <c r="I9" s="41" t="s">
        <v>1</v>
      </c>
      <c r="J9" s="41" t="s">
        <v>82</v>
      </c>
      <c r="K9" s="42" t="s">
        <v>83</v>
      </c>
      <c r="L9" s="42" t="s">
        <v>84</v>
      </c>
    </row>
    <row r="10" spans="2:19" ht="33" customHeight="1" x14ac:dyDescent="0.25">
      <c r="B10" s="43">
        <v>120</v>
      </c>
      <c r="C10" s="43">
        <v>100</v>
      </c>
      <c r="D10" s="43">
        <v>6</v>
      </c>
      <c r="E10" s="43">
        <v>200</v>
      </c>
      <c r="F10" s="43">
        <v>97</v>
      </c>
      <c r="G10" s="43" t="s">
        <v>74</v>
      </c>
      <c r="H10" s="43" t="s">
        <v>54</v>
      </c>
      <c r="I10" s="44">
        <f>VLOOKUP(H10,Sheet2!C14:D79,2,FALSE)</f>
        <v>0.2</v>
      </c>
      <c r="J10" s="44">
        <f>IF(I10=0.12,1,IF(I10=0.2,2,IF(I10=0.28,3,IF(I10=0.36,4,""))))</f>
        <v>2</v>
      </c>
      <c r="K10" s="43" t="s">
        <v>85</v>
      </c>
      <c r="L10" s="45">
        <f>VLOOKUP(K10,Sheet2!L14:M16,2,FALSE)</f>
        <v>1</v>
      </c>
    </row>
    <row r="12" spans="2:19" ht="15.75" thickBot="1" x14ac:dyDescent="0.3"/>
    <row r="13" spans="2:19" ht="19.5" thickBot="1" x14ac:dyDescent="0.35">
      <c r="B13" s="121" t="s">
        <v>123</v>
      </c>
      <c r="C13" s="121"/>
      <c r="D13" s="121"/>
      <c r="E13" s="121"/>
      <c r="F13" s="46" t="s">
        <v>196</v>
      </c>
      <c r="G13" s="122" t="s">
        <v>127</v>
      </c>
      <c r="H13" s="122"/>
      <c r="I13" s="122"/>
      <c r="N13" s="123" t="s">
        <v>170</v>
      </c>
      <c r="O13" s="124"/>
      <c r="P13" s="124"/>
      <c r="Q13" s="124"/>
      <c r="R13" s="124"/>
      <c r="S13" s="125"/>
    </row>
    <row r="14" spans="2:19" x14ac:dyDescent="0.25">
      <c r="B14" s="121" t="s">
        <v>124</v>
      </c>
      <c r="C14" s="121"/>
      <c r="D14" s="121"/>
      <c r="E14" s="121"/>
      <c r="F14" s="47" t="s">
        <v>188</v>
      </c>
      <c r="G14" s="48" t="s">
        <v>128</v>
      </c>
      <c r="H14" s="48" t="s">
        <v>129</v>
      </c>
      <c r="I14" s="48" t="s">
        <v>130</v>
      </c>
      <c r="N14" s="126" t="s">
        <v>181</v>
      </c>
      <c r="O14" s="127"/>
      <c r="P14" s="128"/>
      <c r="Q14" s="129" t="s">
        <v>201</v>
      </c>
      <c r="R14" s="127"/>
      <c r="S14" s="128"/>
    </row>
    <row r="15" spans="2:19" x14ac:dyDescent="0.25">
      <c r="B15" s="121" t="s">
        <v>125</v>
      </c>
      <c r="C15" s="121"/>
      <c r="D15" s="121"/>
      <c r="E15" s="121"/>
      <c r="F15" s="49">
        <v>0.05</v>
      </c>
      <c r="G15" s="50" t="s">
        <v>135</v>
      </c>
      <c r="H15" s="51">
        <f>VLOOKUP(G15,Sheet2!P14:Q17,2,0)</f>
        <v>4.6600000000000003E-2</v>
      </c>
      <c r="I15" s="51">
        <f>VLOOKUP(G15,Sheet2!P14:R17,3,FALSE)</f>
        <v>0.9</v>
      </c>
      <c r="N15" s="109" t="s">
        <v>174</v>
      </c>
      <c r="O15" s="110"/>
      <c r="P15" s="98">
        <f>I20</f>
        <v>0.98218663040723642</v>
      </c>
      <c r="Q15" s="130" t="s">
        <v>93</v>
      </c>
      <c r="R15" s="131"/>
      <c r="S15" s="101">
        <f>F27/100</f>
        <v>5.23613026653071E-2</v>
      </c>
    </row>
    <row r="16" spans="2:19" ht="15.75" thickBot="1" x14ac:dyDescent="0.3">
      <c r="B16" s="121" t="s">
        <v>126</v>
      </c>
      <c r="C16" s="121"/>
      <c r="D16" s="121"/>
      <c r="E16" s="121"/>
      <c r="F16" s="51">
        <f>VLOOKUP(F14,Sheet3!C10:D37,2,0)</f>
        <v>7</v>
      </c>
      <c r="N16" s="109" t="s">
        <v>171</v>
      </c>
      <c r="O16" s="110"/>
      <c r="P16" s="99">
        <f>F16</f>
        <v>7</v>
      </c>
      <c r="Q16" s="132" t="s">
        <v>155</v>
      </c>
      <c r="R16" s="133"/>
      <c r="S16" s="102">
        <f>G29</f>
        <v>1.2410933152036181</v>
      </c>
    </row>
    <row r="17" spans="5:16" x14ac:dyDescent="0.25">
      <c r="N17" s="109" t="s">
        <v>147</v>
      </c>
      <c r="O17" s="110"/>
      <c r="P17" s="99">
        <f>I25</f>
        <v>5.5</v>
      </c>
    </row>
    <row r="18" spans="5:16" x14ac:dyDescent="0.25">
      <c r="N18" s="109" t="s">
        <v>166</v>
      </c>
      <c r="O18" s="110"/>
      <c r="P18" s="99">
        <f>HLOOKUP(J10,Sheet2!G23:J25,2,FALSE)</f>
        <v>0.5</v>
      </c>
    </row>
    <row r="19" spans="5:16" x14ac:dyDescent="0.25">
      <c r="E19" s="52" t="s">
        <v>140</v>
      </c>
      <c r="F19" s="53" t="s">
        <v>141</v>
      </c>
      <c r="N19" s="109" t="s">
        <v>165</v>
      </c>
      <c r="O19" s="110"/>
      <c r="P19" s="99">
        <f>HLOOKUP(J10,Sheet2!G23:J25,3,FALSE)</f>
        <v>0.2</v>
      </c>
    </row>
    <row r="20" spans="5:16" x14ac:dyDescent="0.25">
      <c r="E20" s="54">
        <f>SQRT((10/(5+F15*100)))</f>
        <v>1</v>
      </c>
      <c r="F20" s="55">
        <f>IF(E20&lt;0.55,0.55,E20)</f>
        <v>1</v>
      </c>
      <c r="G20" s="56" t="s">
        <v>141</v>
      </c>
      <c r="H20" s="57" t="s">
        <v>146</v>
      </c>
      <c r="I20" s="58">
        <f>H15*((F10/3.28)^I15)</f>
        <v>0.98218663040723642</v>
      </c>
      <c r="N20" s="109" t="s">
        <v>172</v>
      </c>
      <c r="O20" s="110"/>
      <c r="P20" s="99">
        <f>INDEX(Sheet2!G30:J34,MATCH('EQ Analysis'!G10,Sheet2!F30:F34,0),MATCH('EQ Analysis'!J10,Sheet2!G29:J29,0))</f>
        <v>1.35</v>
      </c>
    </row>
    <row r="21" spans="5:16" x14ac:dyDescent="0.25">
      <c r="E21" s="59" t="s">
        <v>142</v>
      </c>
      <c r="F21" s="60">
        <f>I24*(1+((I20/I21)*((2.5*F20)-1)))</f>
        <v>11.294639632873269</v>
      </c>
      <c r="G21" s="61">
        <f>IF(AND(0&lt;=I20,I20&lt;=I21),F21,0)</f>
        <v>0</v>
      </c>
      <c r="H21" s="57" t="s">
        <v>143</v>
      </c>
      <c r="I21" s="62">
        <f>VLOOKUP(G10,Sheet2!F14:H18,3,0)</f>
        <v>0.2</v>
      </c>
      <c r="K21" s="63"/>
      <c r="N21" s="111" t="s">
        <v>173</v>
      </c>
      <c r="O21" s="112"/>
      <c r="P21" s="99">
        <f>INDEX(Sheet2!G39:J43,MATCH('EQ Analysis'!G10,Sheet2!F39:F43,0),MATCH('EQ Analysis'!J10,Sheet2!G38:J38,0))</f>
        <v>2.7</v>
      </c>
    </row>
    <row r="22" spans="5:16" x14ac:dyDescent="0.25">
      <c r="E22" s="64" t="s">
        <v>142</v>
      </c>
      <c r="F22" s="65">
        <f>2.5*I24*F20</f>
        <v>3.375</v>
      </c>
      <c r="G22" s="66">
        <f>IF(G21&lt;&gt;0,0,IF(AND(I21&lt;=I20,I20&lt;=I22),F22,0))</f>
        <v>0</v>
      </c>
      <c r="H22" s="57" t="s">
        <v>144</v>
      </c>
      <c r="I22" s="62">
        <f>VLOOKUP(G10,Sheet2!F14:I18,4,0)</f>
        <v>0.8</v>
      </c>
      <c r="N22" s="111" t="s">
        <v>179</v>
      </c>
      <c r="O22" s="112"/>
      <c r="P22" s="99">
        <f>IF(I20&lt;2,2,4)</f>
        <v>2</v>
      </c>
    </row>
    <row r="23" spans="5:16" ht="15.75" thickBot="1" x14ac:dyDescent="0.3">
      <c r="E23" s="64" t="s">
        <v>142</v>
      </c>
      <c r="F23" s="65">
        <f>2.5*I24*F20*(I22/I20)</f>
        <v>2.7489683899286228</v>
      </c>
      <c r="G23" s="66">
        <f>IF(SUM(G21:G22)&lt;&gt;0,0,IF(AND(I22&lt;=I20,I20&lt;=I23),F23,0))</f>
        <v>2.7489683899286228</v>
      </c>
      <c r="H23" s="57" t="s">
        <v>145</v>
      </c>
      <c r="I23" s="62">
        <f>VLOOKUP(G10,Sheet2!F14:J18,5,0)</f>
        <v>2</v>
      </c>
      <c r="L23" s="67"/>
      <c r="N23" s="114" t="s">
        <v>180</v>
      </c>
      <c r="O23" s="115"/>
      <c r="P23" s="100">
        <f>VLOOKUP(F14,Sheet3!C10:F37,3,FALSE)</f>
        <v>2.5</v>
      </c>
    </row>
    <row r="24" spans="5:16" ht="15.75" thickBot="1" x14ac:dyDescent="0.3">
      <c r="E24" s="68" t="s">
        <v>142</v>
      </c>
      <c r="F24" s="69">
        <f>2.5*I24*F20*((I22*I23)/I20^2)</f>
        <v>5.5976497843161219</v>
      </c>
      <c r="G24" s="70">
        <f>IF(SUM(G21:G23)&lt;&gt;0,0,IF(AND(I22&lt;=I20,I20&lt;=4),F24,0))</f>
        <v>0</v>
      </c>
      <c r="H24" s="57" t="s">
        <v>70</v>
      </c>
      <c r="I24" s="62">
        <f>VLOOKUP(G10,Sheet2!F14:G18,2,0)</f>
        <v>1.35</v>
      </c>
      <c r="L24" s="71"/>
    </row>
    <row r="25" spans="5:16" ht="15.75" thickBot="1" x14ac:dyDescent="0.3">
      <c r="E25" s="72" t="s">
        <v>142</v>
      </c>
      <c r="F25" s="73">
        <f>SUM(G21:G24)</f>
        <v>2.7489683899286228</v>
      </c>
      <c r="G25" s="74">
        <f>F25</f>
        <v>2.7489683899286228</v>
      </c>
      <c r="H25" s="75" t="s">
        <v>147</v>
      </c>
      <c r="I25" s="76">
        <f>VLOOKUP(F14,Sheet3!C10:F37,4,FALSE)</f>
        <v>5.5</v>
      </c>
    </row>
    <row r="27" spans="5:16" x14ac:dyDescent="0.25">
      <c r="E27" s="77" t="s">
        <v>148</v>
      </c>
      <c r="F27" s="78">
        <f>MAX(((2*I10*L10*G25)/(3*F16)),(0.67*0.15*I10*L10*I24*I24))*100</f>
        <v>5.2361302665307097</v>
      </c>
      <c r="G27" s="113" t="s">
        <v>155</v>
      </c>
    </row>
    <row r="28" spans="5:16" x14ac:dyDescent="0.25">
      <c r="E28" s="77" t="s">
        <v>152</v>
      </c>
      <c r="F28" s="79">
        <f>B10*C10*D10*E10/1000</f>
        <v>14400</v>
      </c>
      <c r="G28" s="113"/>
    </row>
    <row r="29" spans="5:16" x14ac:dyDescent="0.25">
      <c r="E29" s="77" t="s">
        <v>153</v>
      </c>
      <c r="F29" s="80">
        <f>F28*F27/100</f>
        <v>754.00275838042216</v>
      </c>
      <c r="G29" s="81">
        <f>IF(I20&lt;=0.5,1,IF(I20&gt;=2.5,2,IF(AND(I20&gt;0.5,I20&lt;2.5),(1+(0.5*(I20-0.5))),"")))</f>
        <v>1.2410933152036181</v>
      </c>
    </row>
    <row r="34" spans="1:9" x14ac:dyDescent="0.25">
      <c r="B34" s="120" t="s">
        <v>156</v>
      </c>
      <c r="C34" s="120"/>
      <c r="D34" s="120"/>
      <c r="E34" s="120"/>
      <c r="F34" s="120"/>
      <c r="G34" s="120"/>
      <c r="H34" s="120"/>
      <c r="I34" s="120"/>
    </row>
    <row r="35" spans="1:9" ht="60" x14ac:dyDescent="0.25">
      <c r="B35" s="82" t="s">
        <v>157</v>
      </c>
      <c r="C35" s="83" t="s">
        <v>158</v>
      </c>
      <c r="D35" s="83" t="s">
        <v>159</v>
      </c>
      <c r="E35" s="83" t="s">
        <v>160</v>
      </c>
      <c r="F35" s="83" t="s">
        <v>161</v>
      </c>
      <c r="G35" s="83" t="s">
        <v>162</v>
      </c>
      <c r="H35" s="83" t="s">
        <v>163</v>
      </c>
      <c r="I35" s="83" t="s">
        <v>164</v>
      </c>
    </row>
    <row r="36" spans="1:9" x14ac:dyDescent="0.25">
      <c r="A36" s="38">
        <v>1</v>
      </c>
      <c r="B36" s="84" t="s">
        <v>202</v>
      </c>
      <c r="C36" s="84">
        <v>10</v>
      </c>
      <c r="D36" s="85">
        <f>IF(C36="","",C36)</f>
        <v>10</v>
      </c>
      <c r="E36" s="84">
        <f t="shared" ref="E36:E44" si="0">IF(D36="","",F$28/D$10)</f>
        <v>2400</v>
      </c>
      <c r="F36" s="84">
        <f>IF(E36="","",(E36*D36^G$29))</f>
        <v>41812.348056488656</v>
      </c>
      <c r="G36" s="84">
        <f>SUM(F36:F50)</f>
        <v>845919.03974841209</v>
      </c>
      <c r="H36" s="86">
        <f>IF(F36="","",(F36*F$29)/G$36)</f>
        <v>37.269081658607874</v>
      </c>
      <c r="I36" s="85">
        <f>IF(H36="","",(H36*4.45))</f>
        <v>165.84741338080505</v>
      </c>
    </row>
    <row r="37" spans="1:9" x14ac:dyDescent="0.25">
      <c r="A37" s="38">
        <v>2</v>
      </c>
      <c r="B37" s="84" t="s">
        <v>203</v>
      </c>
      <c r="C37" s="84">
        <v>10</v>
      </c>
      <c r="D37" s="85">
        <f>IF(C37="","",(C37+D36))</f>
        <v>20</v>
      </c>
      <c r="E37" s="84">
        <f t="shared" si="0"/>
        <v>2400</v>
      </c>
      <c r="F37" s="84">
        <f t="shared" ref="F37:F50" si="1">IF(E37="","",(E37*D37^G$29))</f>
        <v>98835.02403347283</v>
      </c>
      <c r="G37" s="84"/>
      <c r="H37" s="86">
        <f t="shared" ref="H37:H50" si="2">IF(F37="","",(F37*F$29)/G$36)</f>
        <v>88.095760048145578</v>
      </c>
      <c r="I37" s="85">
        <f t="shared" ref="I37:I50" si="3">IF(H37="","",(H37*4.45))</f>
        <v>392.02613221424787</v>
      </c>
    </row>
    <row r="38" spans="1:9" x14ac:dyDescent="0.25">
      <c r="A38" s="38">
        <v>3</v>
      </c>
      <c r="B38" s="84" t="s">
        <v>204</v>
      </c>
      <c r="C38" s="84">
        <v>10</v>
      </c>
      <c r="D38" s="85">
        <f t="shared" ref="D38:D50" si="4">IF(C38="","",(C38+D37))</f>
        <v>30</v>
      </c>
      <c r="E38" s="84">
        <f t="shared" si="0"/>
        <v>2400</v>
      </c>
      <c r="F38" s="84">
        <f t="shared" si="1"/>
        <v>163476.96138081286</v>
      </c>
      <c r="G38" s="84"/>
      <c r="H38" s="86">
        <f t="shared" si="2"/>
        <v>145.71380241003024</v>
      </c>
      <c r="I38" s="85">
        <f t="shared" si="3"/>
        <v>648.42642072463457</v>
      </c>
    </row>
    <row r="39" spans="1:9" x14ac:dyDescent="0.25">
      <c r="A39" s="38">
        <v>4</v>
      </c>
      <c r="B39" s="84" t="s">
        <v>205</v>
      </c>
      <c r="C39" s="84">
        <v>10</v>
      </c>
      <c r="D39" s="85">
        <f t="shared" si="4"/>
        <v>40</v>
      </c>
      <c r="E39" s="84">
        <f t="shared" si="0"/>
        <v>2400</v>
      </c>
      <c r="F39" s="84">
        <f t="shared" si="1"/>
        <v>233623.85586430266</v>
      </c>
      <c r="G39" s="84"/>
      <c r="H39" s="86">
        <f t="shared" si="2"/>
        <v>208.23864160516436</v>
      </c>
      <c r="I39" s="85">
        <f t="shared" si="3"/>
        <v>926.66195514298147</v>
      </c>
    </row>
    <row r="40" spans="1:9" x14ac:dyDescent="0.25">
      <c r="A40" s="38">
        <v>5</v>
      </c>
      <c r="B40" s="84" t="s">
        <v>206</v>
      </c>
      <c r="C40" s="84">
        <v>10</v>
      </c>
      <c r="D40" s="85">
        <f t="shared" si="4"/>
        <v>50</v>
      </c>
      <c r="E40" s="84">
        <f t="shared" si="0"/>
        <v>2400</v>
      </c>
      <c r="F40" s="84">
        <f t="shared" si="1"/>
        <v>308170.85041333508</v>
      </c>
      <c r="G40" s="84"/>
      <c r="H40" s="86">
        <f t="shared" si="2"/>
        <v>274.68547265847405</v>
      </c>
      <c r="I40" s="85">
        <f t="shared" si="3"/>
        <v>1222.3503533302096</v>
      </c>
    </row>
    <row r="41" spans="1:9" x14ac:dyDescent="0.25">
      <c r="B41" s="84"/>
      <c r="C41" s="84"/>
      <c r="D41" s="85" t="str">
        <f t="shared" si="4"/>
        <v/>
      </c>
      <c r="E41" s="84" t="str">
        <f t="shared" si="0"/>
        <v/>
      </c>
      <c r="F41" s="84" t="str">
        <f t="shared" si="1"/>
        <v/>
      </c>
      <c r="G41" s="84"/>
      <c r="H41" s="86" t="str">
        <f t="shared" si="2"/>
        <v/>
      </c>
      <c r="I41" s="85" t="str">
        <f t="shared" si="3"/>
        <v/>
      </c>
    </row>
    <row r="42" spans="1:9" x14ac:dyDescent="0.25">
      <c r="B42" s="84"/>
      <c r="C42" s="84"/>
      <c r="D42" s="85" t="str">
        <f t="shared" si="4"/>
        <v/>
      </c>
      <c r="E42" s="84" t="str">
        <f t="shared" si="0"/>
        <v/>
      </c>
      <c r="F42" s="84" t="str">
        <f t="shared" si="1"/>
        <v/>
      </c>
      <c r="G42" s="84"/>
      <c r="H42" s="86" t="str">
        <f t="shared" si="2"/>
        <v/>
      </c>
      <c r="I42" s="85" t="str">
        <f t="shared" si="3"/>
        <v/>
      </c>
    </row>
    <row r="43" spans="1:9" x14ac:dyDescent="0.25">
      <c r="B43" s="84"/>
      <c r="C43" s="84"/>
      <c r="D43" s="85" t="str">
        <f t="shared" si="4"/>
        <v/>
      </c>
      <c r="E43" s="84" t="str">
        <f t="shared" si="0"/>
        <v/>
      </c>
      <c r="F43" s="84" t="str">
        <f t="shared" si="1"/>
        <v/>
      </c>
      <c r="G43" s="84"/>
      <c r="H43" s="86" t="str">
        <f t="shared" si="2"/>
        <v/>
      </c>
      <c r="I43" s="85" t="str">
        <f t="shared" si="3"/>
        <v/>
      </c>
    </row>
    <row r="44" spans="1:9" x14ac:dyDescent="0.25">
      <c r="B44" s="84"/>
      <c r="C44" s="84"/>
      <c r="D44" s="85" t="str">
        <f t="shared" si="4"/>
        <v/>
      </c>
      <c r="E44" s="84" t="str">
        <f t="shared" si="0"/>
        <v/>
      </c>
      <c r="F44" s="84" t="str">
        <f t="shared" si="1"/>
        <v/>
      </c>
      <c r="G44" s="84"/>
      <c r="H44" s="86" t="str">
        <f t="shared" si="2"/>
        <v/>
      </c>
      <c r="I44" s="85" t="str">
        <f t="shared" si="3"/>
        <v/>
      </c>
    </row>
    <row r="45" spans="1:9" x14ac:dyDescent="0.25">
      <c r="B45" s="84"/>
      <c r="C45" s="84"/>
      <c r="D45" s="85" t="str">
        <f t="shared" si="4"/>
        <v/>
      </c>
      <c r="E45" s="84" t="str">
        <f>IF(D45="","",F$28/D$10)</f>
        <v/>
      </c>
      <c r="F45" s="84" t="str">
        <f t="shared" si="1"/>
        <v/>
      </c>
      <c r="G45" s="84"/>
      <c r="H45" s="86" t="str">
        <f t="shared" si="2"/>
        <v/>
      </c>
      <c r="I45" s="84" t="str">
        <f t="shared" si="3"/>
        <v/>
      </c>
    </row>
    <row r="46" spans="1:9" x14ac:dyDescent="0.25">
      <c r="B46" s="84"/>
      <c r="C46" s="84"/>
      <c r="D46" s="85" t="str">
        <f t="shared" si="4"/>
        <v/>
      </c>
      <c r="E46" s="84" t="str">
        <f t="shared" ref="E46:E50" si="5">IF(D46="","",F$28/D$10)</f>
        <v/>
      </c>
      <c r="F46" s="84" t="str">
        <f t="shared" si="1"/>
        <v/>
      </c>
      <c r="G46" s="84"/>
      <c r="H46" s="86" t="str">
        <f t="shared" si="2"/>
        <v/>
      </c>
      <c r="I46" s="84" t="str">
        <f t="shared" si="3"/>
        <v/>
      </c>
    </row>
    <row r="47" spans="1:9" x14ac:dyDescent="0.25">
      <c r="B47" s="84"/>
      <c r="C47" s="84"/>
      <c r="D47" s="85" t="str">
        <f t="shared" si="4"/>
        <v/>
      </c>
      <c r="E47" s="84" t="str">
        <f t="shared" si="5"/>
        <v/>
      </c>
      <c r="F47" s="84" t="str">
        <f t="shared" si="1"/>
        <v/>
      </c>
      <c r="G47" s="84"/>
      <c r="H47" s="86" t="str">
        <f t="shared" si="2"/>
        <v/>
      </c>
      <c r="I47" s="84" t="str">
        <f t="shared" si="3"/>
        <v/>
      </c>
    </row>
    <row r="48" spans="1:9" x14ac:dyDescent="0.25">
      <c r="B48" s="84"/>
      <c r="C48" s="84"/>
      <c r="D48" s="85" t="str">
        <f t="shared" si="4"/>
        <v/>
      </c>
      <c r="E48" s="84" t="str">
        <f t="shared" si="5"/>
        <v/>
      </c>
      <c r="F48" s="84" t="str">
        <f t="shared" si="1"/>
        <v/>
      </c>
      <c r="G48" s="84"/>
      <c r="H48" s="86" t="str">
        <f t="shared" si="2"/>
        <v/>
      </c>
      <c r="I48" s="84" t="str">
        <f t="shared" si="3"/>
        <v/>
      </c>
    </row>
    <row r="49" spans="2:9" x14ac:dyDescent="0.25">
      <c r="B49" s="84"/>
      <c r="C49" s="84"/>
      <c r="D49" s="85" t="str">
        <f t="shared" si="4"/>
        <v/>
      </c>
      <c r="E49" s="84" t="str">
        <f t="shared" si="5"/>
        <v/>
      </c>
      <c r="F49" s="84" t="str">
        <f t="shared" si="1"/>
        <v/>
      </c>
      <c r="G49" s="84"/>
      <c r="H49" s="86" t="str">
        <f t="shared" si="2"/>
        <v/>
      </c>
      <c r="I49" s="84" t="str">
        <f t="shared" si="3"/>
        <v/>
      </c>
    </row>
    <row r="50" spans="2:9" x14ac:dyDescent="0.25">
      <c r="B50" s="84"/>
      <c r="C50" s="84"/>
      <c r="D50" s="85" t="str">
        <f t="shared" si="4"/>
        <v/>
      </c>
      <c r="E50" s="84" t="str">
        <f t="shared" si="5"/>
        <v/>
      </c>
      <c r="F50" s="84" t="str">
        <f t="shared" si="1"/>
        <v/>
      </c>
      <c r="G50" s="84"/>
      <c r="H50" s="86" t="str">
        <f t="shared" si="2"/>
        <v/>
      </c>
      <c r="I50" s="84" t="str">
        <f t="shared" si="3"/>
        <v/>
      </c>
    </row>
    <row r="51" spans="2:9" x14ac:dyDescent="0.25">
      <c r="C51" s="84"/>
      <c r="D51" s="85" t="str">
        <f t="shared" ref="D51" si="6">IF(C51="","",(C51+D50))</f>
        <v/>
      </c>
      <c r="E51" s="84" t="str">
        <f t="shared" ref="E51" si="7">IF(D51="","",F$28/D$10)</f>
        <v/>
      </c>
      <c r="F51" s="84" t="str">
        <f t="shared" ref="F51" si="8">IF(E51="","",(E51*D51^G$29))</f>
        <v/>
      </c>
      <c r="G51" s="84"/>
      <c r="H51" s="86" t="str">
        <f t="shared" ref="H51" si="9">IF(F51="","",(F51*F$29)/G$36)</f>
        <v/>
      </c>
      <c r="I51" s="84" t="str">
        <f t="shared" ref="I51" si="10">IF(H51="","",(H51*4.45))</f>
        <v/>
      </c>
    </row>
  </sheetData>
  <sheetProtection algorithmName="SHA-512" hashValue="z3MclVz/fnAlIkxRtJOxMPbmMZui0KiTFVZKYrX2eIb+bYvdH6MV3DVYzVTVp1JprGm2csDAHldRNcC2v6Ez7A==" saltValue="c9tYwTTfBSNGnwAyF893QA==" spinCount="100000" sheet="1" formatCells="0" formatColumns="0" formatRows="0" insertColumns="0" insertRows="0" insertHyperlinks="0" deleteColumns="0" deleteRows="0" selectLockedCells="1" sort="0" autoFilter="0" pivotTables="0"/>
  <mergeCells count="25">
    <mergeCell ref="N13:S13"/>
    <mergeCell ref="N14:P14"/>
    <mergeCell ref="Q14:S14"/>
    <mergeCell ref="N15:O15"/>
    <mergeCell ref="N16:O16"/>
    <mergeCell ref="Q15:R15"/>
    <mergeCell ref="Q16:R16"/>
    <mergeCell ref="B1:K1"/>
    <mergeCell ref="B2:K2"/>
    <mergeCell ref="B3:K3"/>
    <mergeCell ref="B4:K4"/>
    <mergeCell ref="B34:I34"/>
    <mergeCell ref="B14:E14"/>
    <mergeCell ref="B13:E13"/>
    <mergeCell ref="B15:E15"/>
    <mergeCell ref="B16:E16"/>
    <mergeCell ref="G13:I13"/>
    <mergeCell ref="N20:O20"/>
    <mergeCell ref="N21:O21"/>
    <mergeCell ref="N22:O22"/>
    <mergeCell ref="G27:G28"/>
    <mergeCell ref="N17:O17"/>
    <mergeCell ref="N18:O18"/>
    <mergeCell ref="N23:O23"/>
    <mergeCell ref="N19:O19"/>
  </mergeCells>
  <phoneticPr fontId="17" type="noConversion"/>
  <dataValidations count="2">
    <dataValidation type="list" allowBlank="1" showInputMessage="1" showErrorMessage="1" sqref="F13">
      <formula1>framesystem</formula1>
    </dataValidation>
    <dataValidation type="list" allowBlank="1" showInputMessage="1" showErrorMessage="1" sqref="F14">
      <formula1>INDIRECT($F$13)</formula1>
    </dataValidation>
  </dataValidation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Sheet2!$F$14:$F$18</xm:f>
          </x14:formula1>
          <xm:sqref>G10</xm:sqref>
        </x14:dataValidation>
        <x14:dataValidation type="list" allowBlank="1" showInputMessage="1" showErrorMessage="1">
          <x14:formula1>
            <xm:f>Sheet2!$C$14:$C$79</xm:f>
          </x14:formula1>
          <xm:sqref>H10</xm:sqref>
        </x14:dataValidation>
        <x14:dataValidation type="list" allowBlank="1" showInputMessage="1" showErrorMessage="1">
          <x14:formula1>
            <xm:f>Sheet2!$L$14:$L$16</xm:f>
          </x14:formula1>
          <xm:sqref>K10</xm:sqref>
        </x14:dataValidation>
        <x14:dataValidation type="list" allowBlank="1" showInputMessage="1" showErrorMessage="1">
          <x14:formula1>
            <xm:f>Sheet2!$P$14:$P$17</xm:f>
          </x14:formula1>
          <xm:sqref>G15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79"/>
  <sheetViews>
    <sheetView topLeftCell="A43" workbookViewId="0">
      <selection activeCell="D61" sqref="D61"/>
    </sheetView>
  </sheetViews>
  <sheetFormatPr defaultRowHeight="15" x14ac:dyDescent="0.25"/>
  <cols>
    <col min="3" max="3" width="14.42578125" customWidth="1"/>
    <col min="4" max="4" width="9.28515625" customWidth="1"/>
    <col min="5" max="5" width="11.85546875" customWidth="1"/>
    <col min="6" max="6" width="10.28515625" customWidth="1"/>
    <col min="7" max="7" width="13.42578125" customWidth="1"/>
    <col min="8" max="8" width="11.5703125" customWidth="1"/>
    <col min="9" max="9" width="11" customWidth="1"/>
    <col min="10" max="10" width="10.42578125" customWidth="1"/>
    <col min="15" max="15" width="27.42578125" bestFit="1" customWidth="1"/>
    <col min="16" max="16" width="6.42578125" customWidth="1"/>
    <col min="17" max="19" width="9.140625" customWidth="1"/>
  </cols>
  <sheetData>
    <row r="1" spans="2:18" s="38" customFormat="1" ht="33.75" x14ac:dyDescent="0.5">
      <c r="B1" s="134" t="s">
        <v>182</v>
      </c>
      <c r="C1" s="134"/>
      <c r="D1" s="134"/>
      <c r="E1" s="134"/>
      <c r="F1" s="134"/>
      <c r="G1" s="134"/>
      <c r="H1" s="134"/>
      <c r="I1" s="134"/>
      <c r="J1" s="134"/>
      <c r="K1" s="134"/>
    </row>
    <row r="2" spans="2:18" s="38" customFormat="1" ht="37.5" customHeight="1" x14ac:dyDescent="0.25">
      <c r="B2" s="135" t="s">
        <v>183</v>
      </c>
      <c r="C2" s="135"/>
      <c r="D2" s="135"/>
      <c r="E2" s="135"/>
      <c r="F2" s="135"/>
      <c r="G2" s="135"/>
      <c r="H2" s="135"/>
      <c r="I2" s="135"/>
      <c r="J2" s="135"/>
      <c r="K2" s="135"/>
    </row>
    <row r="3" spans="2:18" s="38" customFormat="1" ht="23.25" x14ac:dyDescent="0.35">
      <c r="B3" s="136" t="s">
        <v>184</v>
      </c>
      <c r="C3" s="136"/>
      <c r="D3" s="136"/>
      <c r="E3" s="136"/>
      <c r="F3" s="136"/>
      <c r="G3" s="136"/>
      <c r="H3" s="136"/>
      <c r="I3" s="136"/>
      <c r="J3" s="136"/>
      <c r="K3" s="136"/>
    </row>
    <row r="4" spans="2:18" s="38" customFormat="1" x14ac:dyDescent="0.25">
      <c r="B4" s="137" t="s">
        <v>185</v>
      </c>
      <c r="C4" s="137"/>
      <c r="D4" s="137"/>
      <c r="E4" s="137"/>
      <c r="F4" s="137"/>
      <c r="G4" s="137"/>
      <c r="H4" s="137"/>
      <c r="I4" s="137"/>
      <c r="J4" s="137"/>
      <c r="K4" s="137"/>
    </row>
    <row r="9" spans="2:18" ht="15.75" thickBot="1" x14ac:dyDescent="0.3"/>
    <row r="10" spans="2:18" x14ac:dyDescent="0.25">
      <c r="B10" s="143" t="s">
        <v>76</v>
      </c>
      <c r="C10" s="144"/>
      <c r="D10" s="144"/>
      <c r="E10" s="145"/>
      <c r="F10" s="143" t="s">
        <v>77</v>
      </c>
      <c r="G10" s="144"/>
      <c r="H10" s="144"/>
      <c r="I10" s="144"/>
      <c r="J10" s="145"/>
      <c r="K10" s="152" t="s">
        <v>88</v>
      </c>
      <c r="L10" s="153"/>
      <c r="M10" s="153"/>
      <c r="N10" s="154"/>
      <c r="O10" s="143" t="s">
        <v>139</v>
      </c>
      <c r="P10" s="144"/>
      <c r="Q10" s="144"/>
      <c r="R10" s="145"/>
    </row>
    <row r="11" spans="2:18" x14ac:dyDescent="0.25">
      <c r="B11" s="146"/>
      <c r="C11" s="147"/>
      <c r="D11" s="147"/>
      <c r="E11" s="148"/>
      <c r="F11" s="146"/>
      <c r="G11" s="147"/>
      <c r="H11" s="147"/>
      <c r="I11" s="147"/>
      <c r="J11" s="148"/>
      <c r="K11" s="155"/>
      <c r="L11" s="156"/>
      <c r="M11" s="156"/>
      <c r="N11" s="157"/>
      <c r="O11" s="146"/>
      <c r="P11" s="147"/>
      <c r="Q11" s="147"/>
      <c r="R11" s="148"/>
    </row>
    <row r="12" spans="2:18" ht="26.25" customHeight="1" thickBot="1" x14ac:dyDescent="0.3">
      <c r="B12" s="149"/>
      <c r="C12" s="150"/>
      <c r="D12" s="150"/>
      <c r="E12" s="151"/>
      <c r="F12" s="149"/>
      <c r="G12" s="150"/>
      <c r="H12" s="150"/>
      <c r="I12" s="150"/>
      <c r="J12" s="151"/>
      <c r="K12" s="158"/>
      <c r="L12" s="159"/>
      <c r="M12" s="159"/>
      <c r="N12" s="160"/>
      <c r="O12" s="149"/>
      <c r="P12" s="150"/>
      <c r="Q12" s="150"/>
      <c r="R12" s="151"/>
    </row>
    <row r="13" spans="2:18" s="5" customFormat="1" ht="24" x14ac:dyDescent="0.25">
      <c r="C13" s="7" t="s">
        <v>0</v>
      </c>
      <c r="D13" s="8" t="s">
        <v>1</v>
      </c>
      <c r="E13" s="9"/>
      <c r="F13" s="8" t="s">
        <v>69</v>
      </c>
      <c r="G13" s="8" t="s">
        <v>70</v>
      </c>
      <c r="H13" s="8" t="s">
        <v>78</v>
      </c>
      <c r="I13" s="8" t="s">
        <v>79</v>
      </c>
      <c r="J13" s="8" t="s">
        <v>80</v>
      </c>
      <c r="L13" s="19" t="s">
        <v>83</v>
      </c>
      <c r="M13" s="19" t="s">
        <v>84</v>
      </c>
      <c r="O13" s="21" t="s">
        <v>128</v>
      </c>
      <c r="P13" s="21"/>
      <c r="Q13" s="22" t="s">
        <v>129</v>
      </c>
      <c r="R13" s="22" t="s">
        <v>130</v>
      </c>
    </row>
    <row r="14" spans="2:18" x14ac:dyDescent="0.25">
      <c r="C14" s="3" t="s">
        <v>2</v>
      </c>
      <c r="D14" s="4">
        <v>0.12</v>
      </c>
      <c r="E14" s="2"/>
      <c r="F14" s="6" t="s">
        <v>71</v>
      </c>
      <c r="G14" s="4">
        <v>1</v>
      </c>
      <c r="H14" s="6">
        <v>0.15</v>
      </c>
      <c r="I14" s="4">
        <v>0.4</v>
      </c>
      <c r="J14" s="6">
        <v>2</v>
      </c>
      <c r="L14" s="20" t="s">
        <v>85</v>
      </c>
      <c r="M14" s="20">
        <v>1</v>
      </c>
      <c r="O14" s="23" t="s">
        <v>131</v>
      </c>
      <c r="P14" s="23" t="s">
        <v>135</v>
      </c>
      <c r="Q14" s="24">
        <v>4.6600000000000003E-2</v>
      </c>
      <c r="R14" s="24">
        <v>0.9</v>
      </c>
    </row>
    <row r="15" spans="2:18" x14ac:dyDescent="0.25">
      <c r="C15" s="3" t="s">
        <v>6</v>
      </c>
      <c r="D15" s="4">
        <v>0.28000000000000003</v>
      </c>
      <c r="E15" s="2"/>
      <c r="F15" s="6" t="s">
        <v>72</v>
      </c>
      <c r="G15" s="4">
        <v>1.2</v>
      </c>
      <c r="H15" s="6">
        <v>0.15</v>
      </c>
      <c r="I15" s="4">
        <v>0.5</v>
      </c>
      <c r="J15" s="6">
        <v>2</v>
      </c>
      <c r="L15" s="20" t="s">
        <v>86</v>
      </c>
      <c r="M15" s="20">
        <v>1.25</v>
      </c>
      <c r="O15" s="25" t="s">
        <v>132</v>
      </c>
      <c r="P15" s="25" t="s">
        <v>136</v>
      </c>
      <c r="Q15" s="24">
        <v>7.2400000000000006E-2</v>
      </c>
      <c r="R15" s="24">
        <v>0.8</v>
      </c>
    </row>
    <row r="16" spans="2:18" x14ac:dyDescent="0.25">
      <c r="C16" s="3" t="s">
        <v>10</v>
      </c>
      <c r="D16" s="4">
        <v>0.12</v>
      </c>
      <c r="E16" s="2"/>
      <c r="F16" s="6" t="s">
        <v>73</v>
      </c>
      <c r="G16" s="4">
        <v>1.1499999999999999</v>
      </c>
      <c r="H16" s="6">
        <v>0.2</v>
      </c>
      <c r="I16" s="4">
        <v>0.6</v>
      </c>
      <c r="J16" s="6">
        <v>2</v>
      </c>
      <c r="L16" s="20" t="s">
        <v>87</v>
      </c>
      <c r="M16" s="20">
        <v>1.5</v>
      </c>
      <c r="O16" s="23" t="s">
        <v>133</v>
      </c>
      <c r="P16" s="23" t="s">
        <v>137</v>
      </c>
      <c r="Q16" s="24">
        <v>7.3099999999999998E-2</v>
      </c>
      <c r="R16" s="24">
        <v>0.75</v>
      </c>
    </row>
    <row r="17" spans="3:18" x14ac:dyDescent="0.25">
      <c r="C17" s="3" t="s">
        <v>14</v>
      </c>
      <c r="D17" s="4">
        <v>0.12</v>
      </c>
      <c r="E17" s="2"/>
      <c r="F17" s="6" t="s">
        <v>74</v>
      </c>
      <c r="G17" s="4">
        <v>1.35</v>
      </c>
      <c r="H17" s="6">
        <v>0.2</v>
      </c>
      <c r="I17" s="4">
        <v>0.8</v>
      </c>
      <c r="J17" s="6">
        <v>2</v>
      </c>
      <c r="O17" s="25" t="s">
        <v>134</v>
      </c>
      <c r="P17" s="25" t="s">
        <v>138</v>
      </c>
      <c r="Q17" s="24">
        <v>4.8800000000000003E-2</v>
      </c>
      <c r="R17" s="24">
        <v>0.75</v>
      </c>
    </row>
    <row r="18" spans="3:18" x14ac:dyDescent="0.25">
      <c r="C18" s="3" t="s">
        <v>18</v>
      </c>
      <c r="D18" s="4">
        <v>0.12</v>
      </c>
      <c r="E18" s="2"/>
      <c r="F18" s="6" t="s">
        <v>75</v>
      </c>
      <c r="G18" s="4">
        <v>1.4</v>
      </c>
      <c r="H18" s="6">
        <v>0.15</v>
      </c>
      <c r="I18" s="4">
        <v>0.5</v>
      </c>
      <c r="J18" s="6">
        <v>2</v>
      </c>
    </row>
    <row r="19" spans="3:18" x14ac:dyDescent="0.25">
      <c r="C19" s="3" t="s">
        <v>22</v>
      </c>
      <c r="D19" s="4">
        <v>0.28000000000000003</v>
      </c>
      <c r="E19" s="2"/>
    </row>
    <row r="20" spans="3:18" x14ac:dyDescent="0.25">
      <c r="C20" s="3" t="s">
        <v>26</v>
      </c>
      <c r="D20" s="4">
        <v>0.28000000000000003</v>
      </c>
      <c r="E20" s="2"/>
      <c r="F20" s="138" t="s">
        <v>168</v>
      </c>
      <c r="G20" s="138"/>
      <c r="H20" s="138"/>
      <c r="I20" s="138"/>
      <c r="J20" s="138"/>
    </row>
    <row r="21" spans="3:18" x14ac:dyDescent="0.25">
      <c r="C21" s="3" t="s">
        <v>30</v>
      </c>
      <c r="D21" s="4">
        <v>0.2</v>
      </c>
      <c r="E21" s="2"/>
      <c r="F21" s="138"/>
      <c r="G21" s="138"/>
      <c r="H21" s="138"/>
      <c r="I21" s="138"/>
      <c r="J21" s="138"/>
    </row>
    <row r="22" spans="3:18" x14ac:dyDescent="0.25">
      <c r="C22" s="3" t="s">
        <v>34</v>
      </c>
      <c r="D22" s="4">
        <v>0.12</v>
      </c>
      <c r="E22" s="2"/>
      <c r="F22" s="139"/>
      <c r="G22" s="139"/>
      <c r="H22" s="139"/>
      <c r="I22" s="139"/>
      <c r="J22" s="139"/>
    </row>
    <row r="23" spans="3:18" x14ac:dyDescent="0.25">
      <c r="C23" s="3" t="s">
        <v>38</v>
      </c>
      <c r="D23" s="4">
        <v>0.28000000000000003</v>
      </c>
      <c r="E23" s="2"/>
      <c r="F23" s="26" t="s">
        <v>169</v>
      </c>
      <c r="G23" s="26">
        <v>1</v>
      </c>
      <c r="H23" s="26">
        <v>2</v>
      </c>
      <c r="I23" s="26">
        <v>3</v>
      </c>
      <c r="J23" s="26">
        <v>4</v>
      </c>
    </row>
    <row r="24" spans="3:18" x14ac:dyDescent="0.25">
      <c r="C24" s="3" t="s">
        <v>42</v>
      </c>
      <c r="D24" s="4">
        <v>0.12</v>
      </c>
      <c r="E24" s="2"/>
      <c r="F24" s="27" t="s">
        <v>166</v>
      </c>
      <c r="G24" s="28">
        <v>0.3</v>
      </c>
      <c r="H24" s="29">
        <v>0.5</v>
      </c>
      <c r="I24" s="28">
        <v>0.7</v>
      </c>
      <c r="J24" s="29">
        <v>0.9</v>
      </c>
    </row>
    <row r="25" spans="3:18" x14ac:dyDescent="0.25">
      <c r="C25" s="3" t="s">
        <v>46</v>
      </c>
      <c r="D25" s="4">
        <v>0.2</v>
      </c>
      <c r="E25" s="2"/>
      <c r="F25" s="27" t="s">
        <v>167</v>
      </c>
      <c r="G25" s="28">
        <v>0.12</v>
      </c>
      <c r="H25" s="29">
        <v>0.2</v>
      </c>
      <c r="I25" s="28">
        <v>0.28000000000000003</v>
      </c>
      <c r="J25" s="29">
        <v>0.36</v>
      </c>
    </row>
    <row r="26" spans="3:18" x14ac:dyDescent="0.25">
      <c r="C26" s="3" t="s">
        <v>50</v>
      </c>
      <c r="D26" s="4">
        <v>0.28000000000000003</v>
      </c>
      <c r="E26" s="2"/>
      <c r="F26" s="1"/>
      <c r="G26" s="2"/>
      <c r="H26" s="1"/>
      <c r="I26" s="2"/>
      <c r="J26" s="1"/>
    </row>
    <row r="27" spans="3:18" x14ac:dyDescent="0.25">
      <c r="C27" s="3" t="s">
        <v>54</v>
      </c>
      <c r="D27" s="4">
        <v>0.2</v>
      </c>
      <c r="E27" s="2"/>
      <c r="F27" s="138" t="s">
        <v>176</v>
      </c>
      <c r="G27" s="138"/>
      <c r="H27" s="138"/>
      <c r="I27" s="138"/>
      <c r="J27" s="138"/>
    </row>
    <row r="28" spans="3:18" ht="15.75" thickBot="1" x14ac:dyDescent="0.3">
      <c r="C28" s="3" t="s">
        <v>58</v>
      </c>
      <c r="D28" s="4">
        <v>0.2</v>
      </c>
      <c r="E28" s="2"/>
      <c r="F28" s="140"/>
      <c r="G28" s="140"/>
      <c r="H28" s="140"/>
      <c r="I28" s="140"/>
      <c r="J28" s="140"/>
    </row>
    <row r="29" spans="3:18" ht="16.5" thickBot="1" x14ac:dyDescent="0.3">
      <c r="C29" s="3" t="s">
        <v>62</v>
      </c>
      <c r="D29" s="4">
        <v>0.2</v>
      </c>
      <c r="E29" s="2"/>
      <c r="F29" s="34" t="s">
        <v>175</v>
      </c>
      <c r="G29" s="35">
        <v>1</v>
      </c>
      <c r="H29" s="35">
        <v>2</v>
      </c>
      <c r="I29" s="35">
        <v>3</v>
      </c>
      <c r="J29" s="35">
        <v>4</v>
      </c>
    </row>
    <row r="30" spans="3:18" ht="16.5" thickBot="1" x14ac:dyDescent="0.3">
      <c r="C30" s="3" t="s">
        <v>65</v>
      </c>
      <c r="D30" s="4">
        <v>0.2</v>
      </c>
      <c r="E30" s="2"/>
      <c r="F30" s="32" t="s">
        <v>71</v>
      </c>
      <c r="G30" s="33">
        <v>1</v>
      </c>
      <c r="H30" s="33">
        <v>1</v>
      </c>
      <c r="I30" s="33">
        <v>1</v>
      </c>
      <c r="J30" s="33">
        <v>1</v>
      </c>
    </row>
    <row r="31" spans="3:18" ht="16.5" thickBot="1" x14ac:dyDescent="0.3">
      <c r="C31" s="3" t="s">
        <v>3</v>
      </c>
      <c r="D31" s="4">
        <v>0.28000000000000003</v>
      </c>
      <c r="F31" s="32" t="s">
        <v>72</v>
      </c>
      <c r="G31" s="33">
        <v>1.2</v>
      </c>
      <c r="H31" s="33">
        <v>1.2</v>
      </c>
      <c r="I31" s="33">
        <v>1.2</v>
      </c>
      <c r="J31" s="33">
        <v>1.2</v>
      </c>
    </row>
    <row r="32" spans="3:18" ht="16.5" thickBot="1" x14ac:dyDescent="0.3">
      <c r="C32" s="3" t="s">
        <v>7</v>
      </c>
      <c r="D32" s="4">
        <v>0.2</v>
      </c>
      <c r="F32" s="32" t="s">
        <v>73</v>
      </c>
      <c r="G32" s="33">
        <v>1.1499999999999999</v>
      </c>
      <c r="H32" s="33">
        <v>1.1499999999999999</v>
      </c>
      <c r="I32" s="33">
        <v>1.1499999999999999</v>
      </c>
      <c r="J32" s="33">
        <v>1.1499999999999999</v>
      </c>
    </row>
    <row r="33" spans="3:10" ht="16.5" thickBot="1" x14ac:dyDescent="0.3">
      <c r="C33" s="3" t="s">
        <v>11</v>
      </c>
      <c r="D33" s="4">
        <v>0.12</v>
      </c>
      <c r="F33" s="32" t="s">
        <v>74</v>
      </c>
      <c r="G33" s="33">
        <v>1.35</v>
      </c>
      <c r="H33" s="33">
        <v>1.35</v>
      </c>
      <c r="I33" s="33">
        <v>1.35</v>
      </c>
      <c r="J33" s="33">
        <v>1.35</v>
      </c>
    </row>
    <row r="34" spans="3:10" ht="16.5" thickBot="1" x14ac:dyDescent="0.3">
      <c r="C34" s="3" t="s">
        <v>15</v>
      </c>
      <c r="D34" s="4">
        <v>0.36</v>
      </c>
      <c r="F34" s="32" t="s">
        <v>75</v>
      </c>
      <c r="G34" s="33">
        <v>1.4</v>
      </c>
      <c r="H34" s="33">
        <v>1.4</v>
      </c>
      <c r="I34" s="33">
        <v>1.4</v>
      </c>
      <c r="J34" s="33">
        <v>1.4</v>
      </c>
    </row>
    <row r="35" spans="3:10" x14ac:dyDescent="0.25">
      <c r="C35" s="3" t="s">
        <v>19</v>
      </c>
      <c r="D35" s="4">
        <v>0.2</v>
      </c>
    </row>
    <row r="36" spans="3:10" x14ac:dyDescent="0.25">
      <c r="C36" s="3" t="s">
        <v>23</v>
      </c>
      <c r="D36" s="4">
        <v>0.36</v>
      </c>
      <c r="F36" s="141" t="s">
        <v>178</v>
      </c>
      <c r="G36" s="141"/>
      <c r="H36" s="141"/>
      <c r="I36" s="141"/>
      <c r="J36" s="141"/>
    </row>
    <row r="37" spans="3:10" ht="15.75" thickBot="1" x14ac:dyDescent="0.3">
      <c r="C37" s="3" t="s">
        <v>27</v>
      </c>
      <c r="D37" s="4">
        <v>0.12</v>
      </c>
      <c r="F37" s="142"/>
      <c r="G37" s="142"/>
      <c r="H37" s="142"/>
      <c r="I37" s="142"/>
      <c r="J37" s="142"/>
    </row>
    <row r="38" spans="3:10" ht="15.75" thickBot="1" x14ac:dyDescent="0.3">
      <c r="C38" s="3" t="s">
        <v>31</v>
      </c>
      <c r="D38" s="4">
        <v>0.12</v>
      </c>
      <c r="F38" s="36" t="s">
        <v>177</v>
      </c>
      <c r="G38" s="37">
        <v>1</v>
      </c>
      <c r="H38" s="37">
        <v>2</v>
      </c>
      <c r="I38" s="37">
        <v>3</v>
      </c>
      <c r="J38" s="37">
        <v>4</v>
      </c>
    </row>
    <row r="39" spans="3:10" ht="15.75" thickBot="1" x14ac:dyDescent="0.3">
      <c r="C39" s="3" t="s">
        <v>35</v>
      </c>
      <c r="D39" s="4">
        <v>0.12</v>
      </c>
      <c r="F39" s="30" t="s">
        <v>71</v>
      </c>
      <c r="G39" s="31">
        <v>1</v>
      </c>
      <c r="H39" s="31">
        <v>1</v>
      </c>
      <c r="I39" s="31">
        <v>1</v>
      </c>
      <c r="J39" s="31">
        <v>1</v>
      </c>
    </row>
    <row r="40" spans="3:10" ht="15.75" thickBot="1" x14ac:dyDescent="0.3">
      <c r="C40" s="3" t="s">
        <v>39</v>
      </c>
      <c r="D40" s="4">
        <v>0.28000000000000003</v>
      </c>
      <c r="F40" s="30" t="s">
        <v>72</v>
      </c>
      <c r="G40" s="31">
        <v>1.5</v>
      </c>
      <c r="H40" s="31">
        <v>1.5</v>
      </c>
      <c r="I40" s="31">
        <v>1.5</v>
      </c>
      <c r="J40" s="31">
        <v>1.5</v>
      </c>
    </row>
    <row r="41" spans="3:10" ht="15.75" thickBot="1" x14ac:dyDescent="0.3">
      <c r="C41" s="3" t="s">
        <v>43</v>
      </c>
      <c r="D41" s="4">
        <v>0.12</v>
      </c>
      <c r="F41" s="30" t="s">
        <v>73</v>
      </c>
      <c r="G41" s="31">
        <v>1.7250000000000001</v>
      </c>
      <c r="H41" s="31">
        <v>1.7250000000000001</v>
      </c>
      <c r="I41" s="31">
        <v>1.7250000000000001</v>
      </c>
      <c r="J41" s="31">
        <v>1.7250000000000001</v>
      </c>
    </row>
    <row r="42" spans="3:10" ht="15.75" thickBot="1" x14ac:dyDescent="0.3">
      <c r="C42" s="3" t="s">
        <v>47</v>
      </c>
      <c r="D42" s="4">
        <v>0.36</v>
      </c>
      <c r="F42" s="30" t="s">
        <v>74</v>
      </c>
      <c r="G42" s="31">
        <v>2.7</v>
      </c>
      <c r="H42" s="31">
        <v>2.7</v>
      </c>
      <c r="I42" s="31">
        <v>2.7</v>
      </c>
      <c r="J42" s="31">
        <v>2.7</v>
      </c>
    </row>
    <row r="43" spans="3:10" ht="15.75" thickBot="1" x14ac:dyDescent="0.3">
      <c r="C43" s="3" t="s">
        <v>51</v>
      </c>
      <c r="D43" s="4">
        <v>0.36</v>
      </c>
      <c r="F43" s="30" t="s">
        <v>75</v>
      </c>
      <c r="G43" s="31">
        <v>1.75</v>
      </c>
      <c r="H43" s="31">
        <v>1.75</v>
      </c>
      <c r="I43" s="31">
        <v>1.75</v>
      </c>
      <c r="J43" s="31">
        <v>1.75</v>
      </c>
    </row>
    <row r="44" spans="3:10" x14ac:dyDescent="0.25">
      <c r="C44" s="3" t="s">
        <v>55</v>
      </c>
      <c r="D44" s="4">
        <v>0.2</v>
      </c>
    </row>
    <row r="45" spans="3:10" x14ac:dyDescent="0.25">
      <c r="C45" s="3" t="s">
        <v>59</v>
      </c>
      <c r="D45" s="4">
        <v>0.2</v>
      </c>
    </row>
    <row r="46" spans="3:10" x14ac:dyDescent="0.25">
      <c r="C46" s="3" t="s">
        <v>63</v>
      </c>
      <c r="D46" s="4">
        <v>0.28000000000000003</v>
      </c>
    </row>
    <row r="47" spans="3:10" x14ac:dyDescent="0.25">
      <c r="C47" s="3" t="s">
        <v>66</v>
      </c>
      <c r="D47" s="4">
        <v>0.2</v>
      </c>
    </row>
    <row r="48" spans="3:10" x14ac:dyDescent="0.25">
      <c r="C48" s="3" t="s">
        <v>4</v>
      </c>
      <c r="D48" s="4">
        <v>0.12</v>
      </c>
    </row>
    <row r="49" spans="3:4" x14ac:dyDescent="0.25">
      <c r="C49" s="3" t="s">
        <v>8</v>
      </c>
      <c r="D49" s="4">
        <v>0.2</v>
      </c>
    </row>
    <row r="50" spans="3:4" x14ac:dyDescent="0.25">
      <c r="C50" s="3" t="s">
        <v>12</v>
      </c>
      <c r="D50" s="4">
        <v>0.36</v>
      </c>
    </row>
    <row r="51" spans="3:4" x14ac:dyDescent="0.25">
      <c r="C51" s="3" t="s">
        <v>16</v>
      </c>
      <c r="D51" s="4">
        <v>0.12</v>
      </c>
    </row>
    <row r="52" spans="3:4" x14ac:dyDescent="0.25">
      <c r="C52" s="3" t="s">
        <v>20</v>
      </c>
      <c r="D52" s="4">
        <v>0.12</v>
      </c>
    </row>
    <row r="53" spans="3:4" x14ac:dyDescent="0.25">
      <c r="C53" s="3" t="s">
        <v>24</v>
      </c>
      <c r="D53" s="4">
        <v>0.2</v>
      </c>
    </row>
    <row r="54" spans="3:4" x14ac:dyDescent="0.25">
      <c r="C54" s="3" t="s">
        <v>28</v>
      </c>
      <c r="D54" s="4">
        <v>0.36</v>
      </c>
    </row>
    <row r="55" spans="3:4" x14ac:dyDescent="0.25">
      <c r="C55" s="3" t="s">
        <v>32</v>
      </c>
      <c r="D55" s="4">
        <v>0.12</v>
      </c>
    </row>
    <row r="56" spans="3:4" ht="15" customHeight="1" x14ac:dyDescent="0.25">
      <c r="C56" s="3" t="s">
        <v>36</v>
      </c>
      <c r="D56" s="4">
        <v>0.2</v>
      </c>
    </row>
    <row r="57" spans="3:4" x14ac:dyDescent="0.25">
      <c r="C57" s="3" t="s">
        <v>40</v>
      </c>
      <c r="D57" s="4">
        <v>0.28000000000000003</v>
      </c>
    </row>
    <row r="58" spans="3:4" x14ac:dyDescent="0.25">
      <c r="C58" s="3" t="s">
        <v>44</v>
      </c>
      <c r="D58" s="4">
        <v>0.2</v>
      </c>
    </row>
    <row r="59" spans="3:4" x14ac:dyDescent="0.25">
      <c r="C59" s="3" t="s">
        <v>48</v>
      </c>
      <c r="D59" s="4">
        <v>0.2</v>
      </c>
    </row>
    <row r="60" spans="3:4" x14ac:dyDescent="0.25">
      <c r="C60" s="3" t="s">
        <v>52</v>
      </c>
      <c r="D60" s="4">
        <v>0.36</v>
      </c>
    </row>
    <row r="61" spans="3:4" x14ac:dyDescent="0.25">
      <c r="C61" s="3" t="s">
        <v>56</v>
      </c>
      <c r="D61" s="4">
        <v>0.12</v>
      </c>
    </row>
    <row r="62" spans="3:4" x14ac:dyDescent="0.25">
      <c r="C62" s="3" t="s">
        <v>60</v>
      </c>
      <c r="D62" s="4">
        <v>0.2</v>
      </c>
    </row>
    <row r="63" spans="3:4" x14ac:dyDescent="0.25">
      <c r="C63" s="3" t="s">
        <v>64</v>
      </c>
      <c r="D63" s="4">
        <v>0.2</v>
      </c>
    </row>
    <row r="64" spans="3:4" x14ac:dyDescent="0.25">
      <c r="C64" s="3" t="s">
        <v>67</v>
      </c>
      <c r="D64" s="4">
        <v>0.2</v>
      </c>
    </row>
    <row r="65" spans="3:4" x14ac:dyDescent="0.25">
      <c r="C65" s="3" t="s">
        <v>5</v>
      </c>
      <c r="D65" s="4">
        <v>0.12</v>
      </c>
    </row>
    <row r="66" spans="3:4" x14ac:dyDescent="0.25">
      <c r="C66" s="3" t="s">
        <v>9</v>
      </c>
      <c r="D66" s="4">
        <v>0.12</v>
      </c>
    </row>
    <row r="67" spans="3:4" x14ac:dyDescent="0.25">
      <c r="C67" s="3" t="s">
        <v>13</v>
      </c>
      <c r="D67" s="4">
        <v>0.2</v>
      </c>
    </row>
    <row r="68" spans="3:4" x14ac:dyDescent="0.25">
      <c r="C68" s="3" t="s">
        <v>17</v>
      </c>
      <c r="D68" s="4">
        <v>0.12</v>
      </c>
    </row>
    <row r="69" spans="3:4" x14ac:dyDescent="0.25">
      <c r="C69" s="3" t="s">
        <v>21</v>
      </c>
      <c r="D69" s="4">
        <v>0.28000000000000003</v>
      </c>
    </row>
    <row r="70" spans="3:4" x14ac:dyDescent="0.25">
      <c r="C70" s="3" t="s">
        <v>25</v>
      </c>
      <c r="D70" s="4">
        <v>0.28000000000000003</v>
      </c>
    </row>
    <row r="71" spans="3:4" x14ac:dyDescent="0.25">
      <c r="C71" s="3" t="s">
        <v>29</v>
      </c>
      <c r="D71" s="4">
        <v>0.12</v>
      </c>
    </row>
    <row r="72" spans="3:4" x14ac:dyDescent="0.25">
      <c r="C72" s="3" t="s">
        <v>33</v>
      </c>
      <c r="D72" s="4">
        <v>0.2</v>
      </c>
    </row>
    <row r="73" spans="3:4" x14ac:dyDescent="0.25">
      <c r="C73" s="3" t="s">
        <v>37</v>
      </c>
      <c r="D73" s="4">
        <v>0.36</v>
      </c>
    </row>
    <row r="74" spans="3:4" x14ac:dyDescent="0.25">
      <c r="C74" s="3" t="s">
        <v>41</v>
      </c>
      <c r="D74" s="4">
        <v>0.28000000000000003</v>
      </c>
    </row>
    <row r="75" spans="3:4" x14ac:dyDescent="0.25">
      <c r="C75" s="3" t="s">
        <v>45</v>
      </c>
      <c r="D75" s="4">
        <v>0.36</v>
      </c>
    </row>
    <row r="76" spans="3:4" x14ac:dyDescent="0.25">
      <c r="C76" s="3" t="s">
        <v>49</v>
      </c>
      <c r="D76" s="4">
        <v>0.36</v>
      </c>
    </row>
    <row r="77" spans="3:4" x14ac:dyDescent="0.25">
      <c r="C77" s="3" t="s">
        <v>53</v>
      </c>
      <c r="D77" s="4">
        <v>0.36</v>
      </c>
    </row>
    <row r="78" spans="3:4" x14ac:dyDescent="0.25">
      <c r="C78" s="3" t="s">
        <v>57</v>
      </c>
      <c r="D78" s="4">
        <v>0.28000000000000003</v>
      </c>
    </row>
    <row r="79" spans="3:4" x14ac:dyDescent="0.25">
      <c r="C79" s="3" t="s">
        <v>61</v>
      </c>
      <c r="D79" s="4">
        <v>0.2</v>
      </c>
    </row>
  </sheetData>
  <sheetProtection selectLockedCells="1" selectUnlockedCells="1"/>
  <mergeCells count="11">
    <mergeCell ref="F27:J28"/>
    <mergeCell ref="F36:J37"/>
    <mergeCell ref="O10:R12"/>
    <mergeCell ref="B10:E12"/>
    <mergeCell ref="F10:J12"/>
    <mergeCell ref="K10:N12"/>
    <mergeCell ref="B1:K1"/>
    <mergeCell ref="B2:K2"/>
    <mergeCell ref="B3:K3"/>
    <mergeCell ref="B4:K4"/>
    <mergeCell ref="F20:J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7"/>
  <sheetViews>
    <sheetView topLeftCell="A14" zoomScaleNormal="100" workbookViewId="0">
      <selection activeCell="B14" sqref="B14:B21"/>
    </sheetView>
  </sheetViews>
  <sheetFormatPr defaultRowHeight="15" x14ac:dyDescent="0.25"/>
  <cols>
    <col min="2" max="2" width="52.85546875" bestFit="1" customWidth="1"/>
    <col min="3" max="3" width="37" customWidth="1"/>
    <col min="4" max="4" width="11.5703125" customWidth="1"/>
    <col min="5" max="5" width="12.28515625" customWidth="1"/>
    <col min="6" max="6" width="10.7109375" customWidth="1"/>
  </cols>
  <sheetData>
    <row r="1" spans="2:11" s="38" customFormat="1" ht="33.75" x14ac:dyDescent="0.5">
      <c r="B1" s="134" t="s">
        <v>182</v>
      </c>
      <c r="C1" s="134"/>
      <c r="D1" s="134"/>
      <c r="E1" s="134"/>
      <c r="F1" s="134"/>
      <c r="G1" s="134"/>
      <c r="H1" s="134"/>
      <c r="I1" s="134"/>
      <c r="J1" s="134"/>
      <c r="K1" s="134"/>
    </row>
    <row r="2" spans="2:11" s="38" customFormat="1" ht="37.5" customHeight="1" x14ac:dyDescent="0.25">
      <c r="B2" s="135" t="s">
        <v>183</v>
      </c>
      <c r="C2" s="135"/>
      <c r="D2" s="135"/>
      <c r="E2" s="135"/>
      <c r="F2" s="135"/>
      <c r="G2" s="135"/>
      <c r="H2" s="135"/>
      <c r="I2" s="135"/>
      <c r="J2" s="135"/>
      <c r="K2" s="135"/>
    </row>
    <row r="3" spans="2:11" s="38" customFormat="1" ht="23.25" x14ac:dyDescent="0.35">
      <c r="B3" s="136" t="s">
        <v>184</v>
      </c>
      <c r="C3" s="136"/>
      <c r="D3" s="136"/>
      <c r="E3" s="136"/>
      <c r="F3" s="136"/>
      <c r="G3" s="136"/>
      <c r="H3" s="136"/>
      <c r="I3" s="136"/>
      <c r="J3" s="136"/>
      <c r="K3" s="136"/>
    </row>
    <row r="4" spans="2:11" s="38" customFormat="1" x14ac:dyDescent="0.25">
      <c r="B4" s="137" t="s">
        <v>185</v>
      </c>
      <c r="C4" s="137"/>
      <c r="D4" s="137"/>
      <c r="E4" s="137"/>
      <c r="F4" s="137"/>
      <c r="G4" s="137"/>
      <c r="H4" s="137"/>
      <c r="I4" s="137"/>
      <c r="J4" s="137"/>
      <c r="K4" s="137"/>
    </row>
    <row r="7" spans="2:11" ht="19.5" thickBot="1" x14ac:dyDescent="0.35">
      <c r="B7" s="167" t="s">
        <v>121</v>
      </c>
      <c r="C7" s="167"/>
      <c r="D7" s="167"/>
      <c r="E7" s="167"/>
      <c r="F7" s="167"/>
      <c r="G7" s="167"/>
      <c r="H7" s="167"/>
      <c r="I7" s="167"/>
    </row>
    <row r="8" spans="2:11" ht="70.5" customHeight="1" thickBot="1" x14ac:dyDescent="0.3">
      <c r="B8" s="168" t="s">
        <v>122</v>
      </c>
      <c r="C8" s="15" t="s">
        <v>89</v>
      </c>
      <c r="D8" s="176" t="s">
        <v>90</v>
      </c>
      <c r="E8" s="176" t="s">
        <v>91</v>
      </c>
      <c r="F8" s="176" t="s">
        <v>92</v>
      </c>
      <c r="G8" s="14" t="s">
        <v>94</v>
      </c>
      <c r="H8" s="14" t="s">
        <v>96</v>
      </c>
      <c r="I8" s="14" t="s">
        <v>97</v>
      </c>
    </row>
    <row r="9" spans="2:11" ht="15.75" thickBot="1" x14ac:dyDescent="0.3">
      <c r="B9" s="169"/>
      <c r="C9" s="16"/>
      <c r="D9" s="177"/>
      <c r="E9" s="177"/>
      <c r="F9" s="177"/>
      <c r="G9" s="178" t="s">
        <v>95</v>
      </c>
      <c r="H9" s="179"/>
      <c r="I9" s="180"/>
    </row>
    <row r="10" spans="2:11" ht="15.75" customHeight="1" thickBot="1" x14ac:dyDescent="0.3">
      <c r="B10" s="170" t="s">
        <v>118</v>
      </c>
      <c r="C10" s="17" t="s">
        <v>98</v>
      </c>
      <c r="D10" s="10">
        <v>5</v>
      </c>
      <c r="E10" s="10">
        <v>2.5</v>
      </c>
      <c r="F10" s="10">
        <v>5</v>
      </c>
      <c r="G10" s="10" t="s">
        <v>102</v>
      </c>
      <c r="H10" s="10" t="s">
        <v>102</v>
      </c>
      <c r="I10" s="10">
        <v>50</v>
      </c>
    </row>
    <row r="11" spans="2:11" ht="15.75" customHeight="1" thickBot="1" x14ac:dyDescent="0.3">
      <c r="B11" s="171"/>
      <c r="C11" s="17" t="s">
        <v>99</v>
      </c>
      <c r="D11" s="11">
        <v>4</v>
      </c>
      <c r="E11" s="11">
        <v>2.5</v>
      </c>
      <c r="F11" s="11">
        <v>4</v>
      </c>
      <c r="G11" s="11" t="s">
        <v>102</v>
      </c>
      <c r="H11" s="11" t="s">
        <v>102</v>
      </c>
      <c r="I11" s="11" t="s">
        <v>103</v>
      </c>
    </row>
    <row r="12" spans="2:11" ht="15.75" customHeight="1" thickBot="1" x14ac:dyDescent="0.3">
      <c r="B12" s="171"/>
      <c r="C12" s="17" t="s">
        <v>100</v>
      </c>
      <c r="D12" s="11">
        <v>2</v>
      </c>
      <c r="E12" s="11">
        <v>2.5</v>
      </c>
      <c r="F12" s="11">
        <v>1.75</v>
      </c>
      <c r="G12" s="11" t="s">
        <v>102</v>
      </c>
      <c r="H12" s="11">
        <v>50</v>
      </c>
      <c r="I12" s="11" t="s">
        <v>103</v>
      </c>
    </row>
    <row r="13" spans="2:11" ht="15.75" customHeight="1" thickBot="1" x14ac:dyDescent="0.3">
      <c r="B13" s="172"/>
      <c r="C13" s="17" t="s">
        <v>101</v>
      </c>
      <c r="D13" s="11">
        <v>1.5</v>
      </c>
      <c r="E13" s="11">
        <v>2.5</v>
      </c>
      <c r="F13" s="11">
        <v>1.25</v>
      </c>
      <c r="G13" s="11">
        <v>18</v>
      </c>
      <c r="H13" s="11" t="s">
        <v>103</v>
      </c>
      <c r="I13" s="11" t="s">
        <v>103</v>
      </c>
    </row>
    <row r="14" spans="2:11" ht="24.75" customHeight="1" thickBot="1" x14ac:dyDescent="0.3">
      <c r="B14" s="173" t="s">
        <v>119</v>
      </c>
      <c r="C14" s="18" t="s">
        <v>110</v>
      </c>
      <c r="D14" s="12">
        <v>8</v>
      </c>
      <c r="E14" s="12">
        <v>2</v>
      </c>
      <c r="F14" s="12">
        <v>4</v>
      </c>
      <c r="G14" s="12" t="s">
        <v>102</v>
      </c>
      <c r="H14" s="12" t="s">
        <v>102</v>
      </c>
      <c r="I14" s="12">
        <v>50</v>
      </c>
    </row>
    <row r="15" spans="2:11" ht="24" customHeight="1" thickBot="1" x14ac:dyDescent="0.3">
      <c r="B15" s="174"/>
      <c r="C15" s="18" t="s">
        <v>111</v>
      </c>
      <c r="D15" s="13">
        <v>7</v>
      </c>
      <c r="E15" s="13">
        <v>2</v>
      </c>
      <c r="F15" s="13">
        <v>4</v>
      </c>
      <c r="G15" s="13" t="s">
        <v>102</v>
      </c>
      <c r="H15" s="13" t="s">
        <v>102</v>
      </c>
      <c r="I15" s="13">
        <v>50</v>
      </c>
    </row>
    <row r="16" spans="2:11" ht="15.75" customHeight="1" thickBot="1" x14ac:dyDescent="0.3">
      <c r="B16" s="174"/>
      <c r="C16" s="18" t="s">
        <v>104</v>
      </c>
      <c r="D16" s="13">
        <v>6</v>
      </c>
      <c r="E16" s="13">
        <v>2</v>
      </c>
      <c r="F16" s="13">
        <v>5</v>
      </c>
      <c r="G16" s="13" t="s">
        <v>102</v>
      </c>
      <c r="H16" s="13" t="s">
        <v>102</v>
      </c>
      <c r="I16" s="13">
        <v>50</v>
      </c>
    </row>
    <row r="17" spans="2:9" ht="15.75" customHeight="1" thickBot="1" x14ac:dyDescent="0.3">
      <c r="B17" s="174"/>
      <c r="C17" s="18" t="s">
        <v>105</v>
      </c>
      <c r="D17" s="13">
        <v>3.25</v>
      </c>
      <c r="E17" s="13">
        <v>2</v>
      </c>
      <c r="F17" s="13">
        <v>3.25</v>
      </c>
      <c r="G17" s="13" t="s">
        <v>102</v>
      </c>
      <c r="H17" s="13" t="s">
        <v>102</v>
      </c>
      <c r="I17" s="13">
        <v>11</v>
      </c>
    </row>
    <row r="18" spans="2:9" ht="15.75" customHeight="1" thickBot="1" x14ac:dyDescent="0.3">
      <c r="B18" s="174"/>
      <c r="C18" s="18" t="s">
        <v>106</v>
      </c>
      <c r="D18" s="13">
        <v>6</v>
      </c>
      <c r="E18" s="13">
        <v>2.5</v>
      </c>
      <c r="F18" s="13">
        <v>5</v>
      </c>
      <c r="G18" s="13" t="s">
        <v>102</v>
      </c>
      <c r="H18" s="13">
        <v>50</v>
      </c>
      <c r="I18" s="13">
        <v>50</v>
      </c>
    </row>
    <row r="19" spans="2:9" ht="15.75" customHeight="1" thickBot="1" x14ac:dyDescent="0.3">
      <c r="B19" s="174"/>
      <c r="C19" s="18" t="s">
        <v>107</v>
      </c>
      <c r="D19" s="13">
        <v>5</v>
      </c>
      <c r="E19" s="13">
        <v>2.5</v>
      </c>
      <c r="F19" s="13">
        <v>4.25</v>
      </c>
      <c r="G19" s="13" t="s">
        <v>102</v>
      </c>
      <c r="H19" s="13" t="s">
        <v>102</v>
      </c>
      <c r="I19" s="13" t="s">
        <v>103</v>
      </c>
    </row>
    <row r="20" spans="2:9" ht="15.75" customHeight="1" thickBot="1" x14ac:dyDescent="0.3">
      <c r="B20" s="174"/>
      <c r="C20" s="18" t="s">
        <v>108</v>
      </c>
      <c r="D20" s="13">
        <v>2</v>
      </c>
      <c r="E20" s="13">
        <v>2.5</v>
      </c>
      <c r="F20" s="13">
        <v>2</v>
      </c>
      <c r="G20" s="13" t="s">
        <v>102</v>
      </c>
      <c r="H20" s="13">
        <v>50</v>
      </c>
      <c r="I20" s="13" t="s">
        <v>103</v>
      </c>
    </row>
    <row r="21" spans="2:9" ht="15.75" customHeight="1" thickBot="1" x14ac:dyDescent="0.3">
      <c r="B21" s="175"/>
      <c r="C21" s="18" t="s">
        <v>109</v>
      </c>
      <c r="D21" s="13">
        <v>1.5</v>
      </c>
      <c r="E21" s="13">
        <v>2.5</v>
      </c>
      <c r="F21" s="13">
        <v>1.25</v>
      </c>
      <c r="G21" s="13">
        <v>18</v>
      </c>
      <c r="H21" s="13" t="s">
        <v>103</v>
      </c>
      <c r="I21" s="13" t="s">
        <v>103</v>
      </c>
    </row>
    <row r="22" spans="2:9" ht="15.75" customHeight="1" thickBot="1" x14ac:dyDescent="0.3">
      <c r="B22" s="170" t="s">
        <v>120</v>
      </c>
      <c r="C22" s="17" t="s">
        <v>112</v>
      </c>
      <c r="D22" s="10">
        <v>8</v>
      </c>
      <c r="E22" s="10">
        <v>3</v>
      </c>
      <c r="F22" s="10">
        <v>5.5</v>
      </c>
      <c r="G22" s="10" t="s">
        <v>102</v>
      </c>
      <c r="H22" s="10" t="s">
        <v>102</v>
      </c>
      <c r="I22" s="10" t="s">
        <v>102</v>
      </c>
    </row>
    <row r="23" spans="2:9" ht="15.75" customHeight="1" thickBot="1" x14ac:dyDescent="0.3">
      <c r="B23" s="171"/>
      <c r="C23" s="17" t="s">
        <v>113</v>
      </c>
      <c r="D23" s="11">
        <v>4.5</v>
      </c>
      <c r="E23" s="11">
        <v>3</v>
      </c>
      <c r="F23" s="11">
        <v>4</v>
      </c>
      <c r="G23" s="11" t="s">
        <v>102</v>
      </c>
      <c r="H23" s="11" t="s">
        <v>102</v>
      </c>
      <c r="I23" s="11">
        <v>35</v>
      </c>
    </row>
    <row r="24" spans="2:9" ht="15.75" customHeight="1" thickBot="1" x14ac:dyDescent="0.3">
      <c r="B24" s="171"/>
      <c r="C24" s="17" t="s">
        <v>114</v>
      </c>
      <c r="D24" s="11">
        <v>3.5</v>
      </c>
      <c r="E24" s="11">
        <v>3</v>
      </c>
      <c r="F24" s="11">
        <v>3</v>
      </c>
      <c r="G24" s="11" t="s">
        <v>102</v>
      </c>
      <c r="H24" s="11" t="s">
        <v>102</v>
      </c>
      <c r="I24" s="11" t="s">
        <v>103</v>
      </c>
    </row>
    <row r="25" spans="2:9" ht="15.75" customHeight="1" thickBot="1" x14ac:dyDescent="0.3">
      <c r="B25" s="171"/>
      <c r="C25" s="17" t="s">
        <v>116</v>
      </c>
      <c r="D25" s="11">
        <v>8</v>
      </c>
      <c r="E25" s="11">
        <v>3</v>
      </c>
      <c r="F25" s="11">
        <v>5.5</v>
      </c>
      <c r="G25" s="11" t="s">
        <v>102</v>
      </c>
      <c r="H25" s="11" t="s">
        <v>102</v>
      </c>
      <c r="I25" s="11" t="s">
        <v>102</v>
      </c>
    </row>
    <row r="26" spans="2:9" ht="15.75" customHeight="1" thickBot="1" x14ac:dyDescent="0.3">
      <c r="B26" s="171"/>
      <c r="C26" s="17" t="s">
        <v>117</v>
      </c>
      <c r="D26" s="11">
        <v>5</v>
      </c>
      <c r="E26" s="11">
        <v>3</v>
      </c>
      <c r="F26" s="11">
        <v>4.5</v>
      </c>
      <c r="G26" s="11" t="s">
        <v>102</v>
      </c>
      <c r="H26" s="11" t="s">
        <v>102</v>
      </c>
      <c r="I26" s="11" t="s">
        <v>103</v>
      </c>
    </row>
    <row r="27" spans="2:9" ht="15.75" customHeight="1" thickBot="1" x14ac:dyDescent="0.3">
      <c r="B27" s="172"/>
      <c r="C27" s="87" t="s">
        <v>115</v>
      </c>
      <c r="D27" s="11">
        <v>3</v>
      </c>
      <c r="E27" s="11">
        <v>3</v>
      </c>
      <c r="F27" s="11">
        <v>2.5</v>
      </c>
      <c r="G27" s="11" t="s">
        <v>102</v>
      </c>
      <c r="H27" s="11" t="s">
        <v>103</v>
      </c>
      <c r="I27" s="11" t="s">
        <v>103</v>
      </c>
    </row>
    <row r="28" spans="2:9" ht="15.75" thickBot="1" x14ac:dyDescent="0.3">
      <c r="B28" s="161" t="s">
        <v>196</v>
      </c>
      <c r="C28" s="90" t="s">
        <v>186</v>
      </c>
      <c r="D28" s="91">
        <v>8</v>
      </c>
      <c r="E28" s="91">
        <v>2.5</v>
      </c>
      <c r="F28" s="91">
        <v>4</v>
      </c>
      <c r="G28" s="91" t="s">
        <v>102</v>
      </c>
      <c r="H28" s="91" t="s">
        <v>102</v>
      </c>
      <c r="I28" s="91" t="s">
        <v>102</v>
      </c>
    </row>
    <row r="29" spans="2:9" ht="15.75" thickBot="1" x14ac:dyDescent="0.3">
      <c r="B29" s="162"/>
      <c r="C29" s="90" t="s">
        <v>187</v>
      </c>
      <c r="D29" s="91">
        <v>7</v>
      </c>
      <c r="E29" s="91">
        <v>2.5</v>
      </c>
      <c r="F29" s="91">
        <v>5.5</v>
      </c>
      <c r="G29" s="91" t="s">
        <v>102</v>
      </c>
      <c r="H29" s="91" t="s">
        <v>102</v>
      </c>
      <c r="I29" s="91" t="s">
        <v>102</v>
      </c>
    </row>
    <row r="30" spans="2:9" ht="15.75" thickBot="1" x14ac:dyDescent="0.3">
      <c r="B30" s="162"/>
      <c r="C30" s="90" t="s">
        <v>188</v>
      </c>
      <c r="D30" s="91">
        <v>7</v>
      </c>
      <c r="E30" s="91">
        <v>2.5</v>
      </c>
      <c r="F30" s="91">
        <v>5.5</v>
      </c>
      <c r="G30" s="91" t="s">
        <v>102</v>
      </c>
      <c r="H30" s="91" t="s">
        <v>102</v>
      </c>
      <c r="I30" s="91" t="s">
        <v>102</v>
      </c>
    </row>
    <row r="31" spans="2:9" ht="15.75" thickBot="1" x14ac:dyDescent="0.3">
      <c r="B31" s="163"/>
      <c r="C31" s="90" t="s">
        <v>189</v>
      </c>
      <c r="D31" s="91">
        <v>6</v>
      </c>
      <c r="E31" s="91">
        <v>2.5</v>
      </c>
      <c r="F31" s="91">
        <v>5</v>
      </c>
      <c r="G31" s="91" t="s">
        <v>102</v>
      </c>
      <c r="H31" s="91" t="s">
        <v>102</v>
      </c>
      <c r="I31" s="91" t="s">
        <v>103</v>
      </c>
    </row>
    <row r="32" spans="2:9" ht="15.75" thickBot="1" x14ac:dyDescent="0.3">
      <c r="B32" s="164" t="s">
        <v>197</v>
      </c>
      <c r="C32" s="92" t="s">
        <v>190</v>
      </c>
      <c r="D32" s="93">
        <v>6</v>
      </c>
      <c r="E32" s="93">
        <v>2.5</v>
      </c>
      <c r="F32" s="93">
        <v>5</v>
      </c>
      <c r="G32" s="93" t="s">
        <v>102</v>
      </c>
      <c r="H32" s="93" t="s">
        <v>102</v>
      </c>
      <c r="I32" s="93">
        <v>11</v>
      </c>
    </row>
    <row r="33" spans="2:9" ht="15.75" thickBot="1" x14ac:dyDescent="0.3">
      <c r="B33" s="165"/>
      <c r="C33" s="92" t="s">
        <v>191</v>
      </c>
      <c r="D33" s="93">
        <v>6.5</v>
      </c>
      <c r="E33" s="93">
        <v>2.5</v>
      </c>
      <c r="F33" s="93">
        <v>5</v>
      </c>
      <c r="G33" s="93" t="s">
        <v>102</v>
      </c>
      <c r="H33" s="93" t="s">
        <v>102</v>
      </c>
      <c r="I33" s="93">
        <v>50</v>
      </c>
    </row>
    <row r="34" spans="2:9" ht="15.75" thickBot="1" x14ac:dyDescent="0.3">
      <c r="B34" s="165"/>
      <c r="C34" s="92" t="s">
        <v>199</v>
      </c>
      <c r="D34" s="93">
        <v>3</v>
      </c>
      <c r="E34" s="93">
        <v>3</v>
      </c>
      <c r="F34" s="93">
        <v>3</v>
      </c>
      <c r="G34" s="93" t="s">
        <v>102</v>
      </c>
      <c r="H34" s="93">
        <v>50</v>
      </c>
      <c r="I34" s="93" t="s">
        <v>103</v>
      </c>
    </row>
    <row r="35" spans="2:9" ht="15.75" thickBot="1" x14ac:dyDescent="0.3">
      <c r="B35" s="166"/>
      <c r="C35" s="92" t="s">
        <v>198</v>
      </c>
      <c r="D35" s="93">
        <v>5.5</v>
      </c>
      <c r="E35" s="93">
        <v>2.5</v>
      </c>
      <c r="F35" s="93">
        <v>4.5</v>
      </c>
      <c r="G35" s="93" t="s">
        <v>102</v>
      </c>
      <c r="H35" s="93" t="s">
        <v>102</v>
      </c>
      <c r="I35" s="93" t="s">
        <v>103</v>
      </c>
    </row>
    <row r="36" spans="2:9" ht="15.75" thickBot="1" x14ac:dyDescent="0.3">
      <c r="B36" s="94" t="s">
        <v>194</v>
      </c>
      <c r="C36" s="95" t="s">
        <v>192</v>
      </c>
      <c r="D36" s="89">
        <v>4.5</v>
      </c>
      <c r="E36" s="89">
        <v>2.5</v>
      </c>
      <c r="F36" s="89">
        <v>4</v>
      </c>
      <c r="G36" s="89" t="s">
        <v>102</v>
      </c>
      <c r="H36" s="89" t="s">
        <v>103</v>
      </c>
      <c r="I36" s="89" t="s">
        <v>103</v>
      </c>
    </row>
    <row r="37" spans="2:9" ht="23.25" thickBot="1" x14ac:dyDescent="0.3">
      <c r="B37" s="96" t="s">
        <v>195</v>
      </c>
      <c r="C37" s="97" t="s">
        <v>193</v>
      </c>
      <c r="D37" s="88">
        <v>3</v>
      </c>
      <c r="E37" s="88">
        <v>3</v>
      </c>
      <c r="F37" s="88">
        <v>3</v>
      </c>
      <c r="G37" s="88" t="s">
        <v>102</v>
      </c>
      <c r="H37" s="88" t="s">
        <v>102</v>
      </c>
      <c r="I37" s="88" t="s">
        <v>103</v>
      </c>
    </row>
    <row r="39" spans="2:9" x14ac:dyDescent="0.25">
      <c r="B39" t="str">
        <f>B10</f>
        <v>BEARING_WALL_SYSTEMS_no_frame</v>
      </c>
    </row>
    <row r="40" spans="2:9" x14ac:dyDescent="0.25">
      <c r="B40" t="str">
        <f>B14</f>
        <v>BUILDING_FRAME_SYSTEMS_with_bracing_or_shear_wall</v>
      </c>
    </row>
    <row r="41" spans="2:9" x14ac:dyDescent="0.25">
      <c r="B41" t="str">
        <f>B22</f>
        <v>MOMENT_RESISTING_FRAME_SYSTEMS_no_shear_wall</v>
      </c>
    </row>
    <row r="42" spans="2:9" x14ac:dyDescent="0.25">
      <c r="B42" t="str">
        <f>B28</f>
        <v>DUAL_SYSTEMS_SPECIAL_MOMENT_FRAMES</v>
      </c>
    </row>
    <row r="43" spans="2:9" x14ac:dyDescent="0.25">
      <c r="B43" t="str">
        <f>B32</f>
        <v>DUAL_SYSTEMS_INTERMEDIATE_MOMENT_FRAMES</v>
      </c>
    </row>
    <row r="44" spans="2:9" x14ac:dyDescent="0.25">
      <c r="B44" t="str">
        <f>B36</f>
        <v>DUAL_SHEAR_WALL_FRAME_SYSTEM</v>
      </c>
    </row>
    <row r="45" spans="2:9" x14ac:dyDescent="0.25">
      <c r="B45" t="str">
        <f>B37</f>
        <v xml:space="preserve">STEEL_SYSTEMS_NOT_SPECIFICALLY_DETAILED </v>
      </c>
    </row>
    <row r="52" ht="24" customHeight="1" x14ac:dyDescent="0.25"/>
    <row r="53" ht="29.2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</sheetData>
  <sheetProtection algorithmName="SHA-512" hashValue="InlY2gZGwxUReYVP2aWEQnUYFpS3m4lV6Ow/VksExWTOL/dggVvP3RG1euL92ox0vPH173ty6zxhQbCy02zLPQ==" saltValue="gKVB8T47lm0xhYiJY001Yg==" spinCount="100000" sheet="1" objects="1" scenarios="1" selectLockedCells="1" selectUnlockedCells="1"/>
  <mergeCells count="15">
    <mergeCell ref="B32:B35"/>
    <mergeCell ref="B7:I7"/>
    <mergeCell ref="B8:B9"/>
    <mergeCell ref="B10:B13"/>
    <mergeCell ref="B14:B21"/>
    <mergeCell ref="B22:B27"/>
    <mergeCell ref="E8:E9"/>
    <mergeCell ref="F8:F9"/>
    <mergeCell ref="G9:I9"/>
    <mergeCell ref="D8:D9"/>
    <mergeCell ref="B1:K1"/>
    <mergeCell ref="B2:K2"/>
    <mergeCell ref="B3:K3"/>
    <mergeCell ref="B4:K4"/>
    <mergeCell ref="B28:B31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Video &amp; Instruction </vt:lpstr>
      <vt:lpstr>EQ Analysis</vt:lpstr>
      <vt:lpstr>Sheet2</vt:lpstr>
      <vt:lpstr>Sheet3</vt:lpstr>
      <vt:lpstr>BEARING_WALL_SYSTEMS_no_frame</vt:lpstr>
      <vt:lpstr>BUILDING_FRAME_SYSTEMS_with_bracing_or_shear_wall</vt:lpstr>
      <vt:lpstr>BWS</vt:lpstr>
      <vt:lpstr>DUAL_SHEAR_WALL_FRAME_SYSTEM</vt:lpstr>
      <vt:lpstr>DUAL_SYSTEMS_INTERMEDIATE_MOMENT_FRAMES</vt:lpstr>
      <vt:lpstr>DUAL_SYSTEMS_SPECIAL_MOMENT_FRAMES</vt:lpstr>
      <vt:lpstr>framesystem</vt:lpstr>
      <vt:lpstr>make</vt:lpstr>
      <vt:lpstr>MOMENT_RESISTING_FRAME_SYSTEMS_no_shear_wall</vt:lpstr>
      <vt:lpstr>STEEL_SYSTEMS_NOT_SPECIFICALLY_DETAILED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Hedaetullah</dc:creator>
  <cp:lastModifiedBy>SM Hedaetullah</cp:lastModifiedBy>
  <dcterms:created xsi:type="dcterms:W3CDTF">2015-06-05T18:17:20Z</dcterms:created>
  <dcterms:modified xsi:type="dcterms:W3CDTF">2025-09-24T18:45:50Z</dcterms:modified>
</cp:coreProperties>
</file>