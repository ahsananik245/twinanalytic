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1FA4CD65-211C-40FF-9B4D-6FA740358F26}" xr6:coauthVersionLast="47" xr6:coauthVersionMax="47" xr10:uidLastSave="{00000000-0000-0000-0000-000000000000}"/>
  <bookViews>
    <workbookView xWindow="330" yWindow="0" windowWidth="15405" windowHeight="15600" tabRatio="569" xr2:uid="{00000000-000D-0000-FFFF-FFFF00000000}"/>
  </bookViews>
  <sheets>
    <sheet name="Video &amp; Instruction " sheetId="5" r:id="rId1"/>
    <sheet name="Data Sheet" sheetId="1" r:id="rId2"/>
    <sheet name="Calculation" sheetId="2" r:id="rId3"/>
    <sheet name="Estimating" sheetId="3" r:id="rId4"/>
    <sheet name="Calculate Nos of Bar" sheetId="4" r:id="rId5"/>
  </sheets>
  <externalReferences>
    <externalReference r:id="rId6"/>
  </externalReferences>
  <definedNames>
    <definedName name="CC">'Calculate Nos of Bar'!$E$6</definedName>
    <definedName name="DiaofBar">'Calculate Nos of Bar'!$E$7</definedName>
    <definedName name="framesystem">[1]Sheet3!$B$39:$B$45</definedName>
    <definedName name="L">'Calculate Nos of Bar'!$E$5</definedName>
    <definedName name="SpacingofBar">'Calculate Nos of Bar'!$E$8</definedName>
  </definedNames>
  <calcPr calcId="181029"/>
</workbook>
</file>

<file path=xl/calcChain.xml><?xml version="1.0" encoding="utf-8"?>
<calcChain xmlns="http://schemas.openxmlformats.org/spreadsheetml/2006/main">
  <c r="E14" i="2" l="1"/>
  <c r="E13" i="2"/>
  <c r="L5" i="4"/>
  <c r="I2" i="3" l="1"/>
  <c r="E6" i="2" l="1"/>
  <c r="E21" i="3" s="1"/>
  <c r="G21" i="3" s="1"/>
  <c r="E6" i="1"/>
  <c r="G7" i="2" l="1"/>
  <c r="E12" i="2" s="1"/>
  <c r="G14" i="2"/>
  <c r="G13" i="2"/>
  <c r="D18" i="3" s="1"/>
  <c r="E7" i="2"/>
  <c r="E22" i="3" s="1"/>
  <c r="G22" i="3" s="1"/>
  <c r="E9" i="2"/>
  <c r="E10" i="2"/>
  <c r="I13" i="2" l="1"/>
  <c r="E18" i="3" s="1"/>
  <c r="G18" i="3" s="1"/>
  <c r="I14" i="2"/>
  <c r="E19" i="3" s="1"/>
  <c r="G19" i="3" s="1"/>
  <c r="D19" i="3"/>
  <c r="G12" i="2"/>
  <c r="G11" i="2"/>
  <c r="D16" i="3" s="1"/>
  <c r="E11" i="2"/>
  <c r="AG8" i="2"/>
  <c r="AF8" i="2"/>
  <c r="Y8" i="2"/>
  <c r="X8" i="2"/>
  <c r="W8" i="2"/>
  <c r="Q8" i="2"/>
  <c r="P8" i="2"/>
  <c r="O8" i="2"/>
  <c r="I12" i="2" l="1"/>
  <c r="E17" i="3" s="1"/>
  <c r="G17" i="3" s="1"/>
  <c r="D17" i="3"/>
  <c r="I11" i="2"/>
  <c r="E16" i="3" s="1"/>
  <c r="G16" i="3" s="1"/>
  <c r="AF9" i="2"/>
  <c r="W10" i="2"/>
  <c r="Y10" i="2" s="1"/>
  <c r="E8" i="2"/>
  <c r="O10" i="2" s="1"/>
  <c r="Q10" i="2" s="1"/>
  <c r="O14" i="2" l="1"/>
  <c r="O13" i="2"/>
  <c r="O12" i="2"/>
  <c r="W13" i="2"/>
  <c r="W12" i="2"/>
  <c r="W14" i="2"/>
  <c r="AF13" i="2"/>
  <c r="E13" i="3" s="1"/>
  <c r="G13" i="3" s="1"/>
  <c r="AF11" i="2"/>
  <c r="D20" i="3" s="1"/>
  <c r="G20" i="3" s="1"/>
  <c r="AF12" i="2"/>
  <c r="E15" i="3" l="1"/>
  <c r="G15" i="3" s="1"/>
  <c r="E11" i="3"/>
  <c r="G11" i="3" s="1"/>
  <c r="E14" i="3"/>
  <c r="G14" i="3" s="1"/>
  <c r="E12" i="3"/>
  <c r="G12" i="3" s="1"/>
  <c r="G23" i="3" l="1"/>
</calcChain>
</file>

<file path=xl/sharedStrings.xml><?xml version="1.0" encoding="utf-8"?>
<sst xmlns="http://schemas.openxmlformats.org/spreadsheetml/2006/main" count="147" uniqueCount="104">
  <si>
    <t>ft</t>
  </si>
  <si>
    <t>Length, L=</t>
  </si>
  <si>
    <t xml:space="preserve">in BS </t>
  </si>
  <si>
    <t>C</t>
  </si>
  <si>
    <t>S</t>
  </si>
  <si>
    <t>K/S</t>
  </si>
  <si>
    <t>Ratio</t>
  </si>
  <si>
    <t>Width, B=</t>
  </si>
  <si>
    <t>in RCC</t>
  </si>
  <si>
    <t>GROUND LEVEL</t>
  </si>
  <si>
    <t>L</t>
  </si>
  <si>
    <t>in</t>
  </si>
  <si>
    <t>Φ</t>
  </si>
  <si>
    <t>Reinforcement</t>
  </si>
  <si>
    <t>Total Earthwork Volume=</t>
  </si>
  <si>
    <t>cft</t>
  </si>
  <si>
    <t>Total Footing Concrete Volume=</t>
  </si>
  <si>
    <t>Total Footing CC Soling Volume=</t>
  </si>
  <si>
    <t>Total Footing Brick Soling Volume=</t>
  </si>
  <si>
    <t>Cement</t>
  </si>
  <si>
    <t>Sand</t>
  </si>
  <si>
    <t>Khoa/Stone</t>
  </si>
  <si>
    <t>Requred Ratio of Morter=</t>
  </si>
  <si>
    <t>Enter The Total wet Volume Of RCC=</t>
  </si>
  <si>
    <t>Requirment Of Cement=</t>
  </si>
  <si>
    <t>Bags</t>
  </si>
  <si>
    <t xml:space="preserve">Requirment Of Sand= </t>
  </si>
  <si>
    <t>Requriment Of Khoa=</t>
  </si>
  <si>
    <t>Nos</t>
  </si>
  <si>
    <t>Enter the ratio of Morter Have to use =</t>
  </si>
  <si>
    <t>Enter The total volume of Brick Work =</t>
  </si>
  <si>
    <r>
      <t xml:space="preserve">Total </t>
    </r>
    <r>
      <rPr>
        <sz val="11"/>
        <color rgb="FFFF0000"/>
        <rFont val="Calibri"/>
        <family val="2"/>
        <scheme val="minor"/>
      </rPr>
      <t>Bricks</t>
    </r>
    <r>
      <rPr>
        <sz val="11"/>
        <color theme="1"/>
        <rFont val="Calibri"/>
        <family val="2"/>
        <scheme val="minor"/>
      </rPr>
      <t xml:space="preserve"> Need=</t>
    </r>
  </si>
  <si>
    <r>
      <t xml:space="preserve">Requirment Of </t>
    </r>
    <r>
      <rPr>
        <b/>
        <sz val="11"/>
        <color rgb="FFFF0000"/>
        <rFont val="Calibri"/>
        <family val="2"/>
        <scheme val="minor"/>
      </rPr>
      <t>Cement =</t>
    </r>
  </si>
  <si>
    <r>
      <t xml:space="preserve">Requirment Of </t>
    </r>
    <r>
      <rPr>
        <sz val="11"/>
        <color rgb="FFFF0000"/>
        <rFont val="Calibri"/>
        <family val="2"/>
        <scheme val="minor"/>
      </rPr>
      <t>Sand</t>
    </r>
    <r>
      <rPr>
        <sz val="11"/>
        <color theme="1"/>
        <rFont val="Calibri"/>
        <family val="2"/>
        <scheme val="minor"/>
      </rPr>
      <t xml:space="preserve"> =</t>
    </r>
  </si>
  <si>
    <t>Bottom Reinforcement (L Direction)=</t>
  </si>
  <si>
    <t>Top Reinforcement (L Direction)=</t>
  </si>
  <si>
    <t>Bottom Reinforcement (B Direction)=</t>
  </si>
  <si>
    <t>Top Reinforcement (B Direction)=</t>
  </si>
  <si>
    <t>Do you have Top Rebar?</t>
  </si>
  <si>
    <t>Yes</t>
  </si>
  <si>
    <t>No</t>
  </si>
  <si>
    <t>in CS</t>
  </si>
  <si>
    <t>Side Clear Cover=</t>
  </si>
  <si>
    <t>Side soil Cutting=</t>
  </si>
  <si>
    <t>mm Bar</t>
  </si>
  <si>
    <t>kg</t>
  </si>
  <si>
    <t>sq.ft</t>
  </si>
  <si>
    <t>Total Shuttering Work=</t>
  </si>
  <si>
    <t>Concrete Work</t>
  </si>
  <si>
    <t>CC Work</t>
  </si>
  <si>
    <t>Brick Work</t>
  </si>
  <si>
    <t>Project:</t>
  </si>
  <si>
    <t>Location:</t>
  </si>
  <si>
    <t>Estimator:</t>
  </si>
  <si>
    <t>Desinger:</t>
  </si>
  <si>
    <t>Contract Us:</t>
  </si>
  <si>
    <t>Sr. No.</t>
  </si>
  <si>
    <t>Material List</t>
  </si>
  <si>
    <t>Quantity</t>
  </si>
  <si>
    <t>Aprx. Prices</t>
  </si>
  <si>
    <t>Toral</t>
  </si>
  <si>
    <t>Sand (Coarse)</t>
  </si>
  <si>
    <t>Sand (Local)</t>
  </si>
  <si>
    <t>Stone chips</t>
  </si>
  <si>
    <t>Brick chips</t>
  </si>
  <si>
    <t>Used Steel Bar</t>
  </si>
  <si>
    <t xml:space="preserve">Bricks </t>
  </si>
  <si>
    <t>Total cost</t>
  </si>
  <si>
    <t>Total Foundation Cost</t>
  </si>
  <si>
    <t>Aggrigate Types=</t>
  </si>
  <si>
    <t>Brick</t>
  </si>
  <si>
    <t>Stone</t>
  </si>
  <si>
    <t>Inovative Engineering &amp; Construction Consaltant</t>
  </si>
  <si>
    <t>Engr Hedaetullah</t>
  </si>
  <si>
    <t>Shuttering Work</t>
  </si>
  <si>
    <t>Earthwork</t>
  </si>
  <si>
    <t>L/B=</t>
  </si>
  <si>
    <t>CC=</t>
  </si>
  <si>
    <t>Dia of bar=</t>
  </si>
  <si>
    <t>mm</t>
  </si>
  <si>
    <t>Spacing of bar=</t>
  </si>
  <si>
    <t>Nos of bar=</t>
  </si>
  <si>
    <t>(long) L - Rebar</t>
  </si>
  <si>
    <t>(Short) B - Rebar</t>
  </si>
  <si>
    <t>Proposed B+G+4 Storey Building.</t>
  </si>
  <si>
    <t>Matidhali, Bogura Sadar, Bagura.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</si>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</sst>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\ \:"/>
    <numFmt numFmtId="165" formatCode="0.0\:"/>
    <numFmt numFmtId="166" formatCode="0\ &quot;Nos&quot;"/>
    <numFmt numFmtId="167" formatCode="0\ &quot;mm Φ&quot;"/>
    <numFmt numFmtId="168" formatCode="0.0"/>
    <numFmt numFmtId="169" formatCode="0.0\ \:"/>
    <numFmt numFmtId="170" formatCode="0\ &quot;TK&quot;"/>
    <numFmt numFmtId="171" formatCode="0\ &quot;Bags&quot;"/>
    <numFmt numFmtId="172" formatCode="0\ \c\f\t"/>
    <numFmt numFmtId="173" formatCode="0\ &quot;mm&quot;"/>
    <numFmt numFmtId="174" formatCode="0.00000\ &quot;Tons&quot;"/>
    <numFmt numFmtId="175" formatCode="0\ &quot;Sq.ft&quot;"/>
    <numFmt numFmtId="176" formatCode="0\ &quot;cft&quot;"/>
    <numFmt numFmtId="177" formatCode="&quot;(long) L - &quot;0\ &quot;Nos&quot;"/>
    <numFmt numFmtId="178" formatCode="&quot;(Short) B - &quot;0&quot; Nos&quot;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0" fillId="5" borderId="4" xfId="0" applyFill="1" applyBorder="1"/>
    <xf numFmtId="164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4" fillId="0" borderId="0" xfId="0" applyFont="1"/>
    <xf numFmtId="167" fontId="0" fillId="3" borderId="4" xfId="0" applyNumberFormat="1" applyFill="1" applyBorder="1" applyAlignment="1">
      <alignment horizontal="center"/>
    </xf>
    <xf numFmtId="0" fontId="0" fillId="0" borderId="0" xfId="0" applyProtection="1"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8" borderId="2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8" fontId="2" fillId="2" borderId="1" xfId="0" applyNumberFormat="1" applyFont="1" applyFill="1" applyBorder="1" applyProtection="1">
      <protection locked="0"/>
    </xf>
    <xf numFmtId="2" fontId="2" fillId="8" borderId="1" xfId="0" applyNumberFormat="1" applyFont="1" applyFill="1" applyBorder="1" applyProtection="1">
      <protection locked="0"/>
    </xf>
    <xf numFmtId="168" fontId="0" fillId="3" borderId="4" xfId="0" applyNumberFormat="1" applyFill="1" applyBorder="1" applyAlignment="1">
      <alignment horizontal="left"/>
    </xf>
    <xf numFmtId="169" fontId="0" fillId="3" borderId="4" xfId="0" applyNumberFormat="1" applyFill="1" applyBorder="1"/>
    <xf numFmtId="168" fontId="0" fillId="3" borderId="3" xfId="0" applyNumberFormat="1" applyFill="1" applyBorder="1" applyAlignment="1">
      <alignment horizontal="left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6" borderId="1" xfId="0" applyFill="1" applyBorder="1" applyProtection="1">
      <protection locked="0"/>
    </xf>
    <xf numFmtId="2" fontId="0" fillId="6" borderId="1" xfId="0" applyNumberFormat="1" applyFill="1" applyBorder="1" applyProtection="1">
      <protection locked="0"/>
    </xf>
    <xf numFmtId="168" fontId="0" fillId="6" borderId="1" xfId="0" applyNumberFormat="1" applyFill="1" applyBorder="1" applyProtection="1">
      <protection locked="0"/>
    </xf>
    <xf numFmtId="2" fontId="0" fillId="8" borderId="10" xfId="0" applyNumberFormat="1" applyFill="1" applyBorder="1" applyProtection="1">
      <protection locked="0"/>
    </xf>
    <xf numFmtId="0" fontId="0" fillId="0" borderId="4" xfId="0" applyBorder="1" applyAlignment="1">
      <alignment horizontal="center"/>
    </xf>
    <xf numFmtId="167" fontId="0" fillId="3" borderId="4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/>
    </xf>
    <xf numFmtId="0" fontId="3" fillId="0" borderId="0" xfId="0" applyFont="1"/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1" xfId="0" applyNumberFormat="1" applyFont="1" applyFill="1" applyBorder="1"/>
    <xf numFmtId="168" fontId="2" fillId="2" borderId="1" xfId="0" applyNumberFormat="1" applyFont="1" applyFill="1" applyBorder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71" fontId="0" fillId="0" borderId="4" xfId="0" applyNumberFormat="1" applyBorder="1"/>
    <xf numFmtId="170" fontId="0" fillId="0" borderId="4" xfId="0" applyNumberFormat="1" applyBorder="1"/>
    <xf numFmtId="172" fontId="0" fillId="0" borderId="4" xfId="0" applyNumberFormat="1" applyBorder="1"/>
    <xf numFmtId="0" fontId="0" fillId="0" borderId="16" xfId="0" applyBorder="1"/>
    <xf numFmtId="0" fontId="0" fillId="9" borderId="4" xfId="0" applyFill="1" applyBorder="1" applyAlignment="1">
      <alignment horizontal="center"/>
    </xf>
    <xf numFmtId="173" fontId="0" fillId="0" borderId="4" xfId="0" applyNumberFormat="1" applyBorder="1" applyAlignment="1">
      <alignment horizontal="center"/>
    </xf>
    <xf numFmtId="173" fontId="0" fillId="0" borderId="4" xfId="0" applyNumberFormat="1" applyBorder="1" applyAlignment="1">
      <alignment horizontal="center" vertical="center"/>
    </xf>
    <xf numFmtId="174" fontId="0" fillId="0" borderId="4" xfId="0" applyNumberFormat="1" applyBorder="1"/>
    <xf numFmtId="175" fontId="0" fillId="0" borderId="1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4" xfId="0" applyNumberFormat="1" applyBorder="1" applyAlignment="1">
      <alignment horizontal="center"/>
    </xf>
    <xf numFmtId="170" fontId="0" fillId="3" borderId="4" xfId="0" applyNumberFormat="1" applyFill="1" applyBorder="1"/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/>
    <xf numFmtId="2" fontId="0" fillId="2" borderId="4" xfId="0" applyNumberFormat="1" applyFill="1" applyBorder="1"/>
    <xf numFmtId="177" fontId="0" fillId="3" borderId="4" xfId="0" applyNumberFormat="1" applyFill="1" applyBorder="1" applyAlignment="1">
      <alignment vertical="center"/>
    </xf>
    <xf numFmtId="178" fontId="0" fillId="3" borderId="4" xfId="0" applyNumberForma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0" fillId="0" borderId="7" xfId="0" applyBorder="1" applyAlignment="1" applyProtection="1">
      <alignment horizontal="right"/>
      <protection locked="0"/>
    </xf>
    <xf numFmtId="0" fontId="7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5" borderId="14" xfId="0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8" fillId="0" borderId="0" xfId="1" applyAlignment="1" applyProtection="1">
      <alignment horizontal="left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Estimating!A1"/><Relationship Id="rId2" Type="http://schemas.openxmlformats.org/officeDocument/2006/relationships/hyperlink" Target="#Calculation!A1"/><Relationship Id="rId1" Type="http://schemas.openxmlformats.org/officeDocument/2006/relationships/image" Target="../media/image2.jpeg"/><Relationship Id="rId4" Type="http://schemas.openxmlformats.org/officeDocument/2006/relationships/hyperlink" Target="#'Calculate Nos of Bar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Estimating!A1"/><Relationship Id="rId1" Type="http://schemas.openxmlformats.org/officeDocument/2006/relationships/hyperlink" Target="#'Data Sheet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lculation!A1"/><Relationship Id="rId1" Type="http://schemas.openxmlformats.org/officeDocument/2006/relationships/hyperlink" Target="#'Data Sheet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Data Shee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90D23-BFC7-4FD7-9CE2-023D4F8E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44FE3CCA-64DD-40E3-A52A-54C7A38B1B28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608238</xdr:colOff>
      <xdr:row>1</xdr:row>
      <xdr:rowOff>44828</xdr:rowOff>
    </xdr:from>
    <xdr:to>
      <xdr:col>12</xdr:col>
      <xdr:colOff>104</xdr:colOff>
      <xdr:row>23</xdr:row>
      <xdr:rowOff>91167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1" t="14123" r="10148" b="9721"/>
        <a:stretch/>
      </xdr:blipFill>
      <xdr:spPr>
        <a:xfrm>
          <a:off x="6704238" y="2140328"/>
          <a:ext cx="6096001" cy="4275439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22</xdr:row>
      <xdr:rowOff>104775</xdr:rowOff>
    </xdr:from>
    <xdr:to>
      <xdr:col>13</xdr:col>
      <xdr:colOff>9525</xdr:colOff>
      <xdr:row>22</xdr:row>
      <xdr:rowOff>123825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6858000" y="4324350"/>
          <a:ext cx="1076325" cy="19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21</xdr:row>
      <xdr:rowOff>28575</xdr:rowOff>
    </xdr:from>
    <xdr:to>
      <xdr:col>12</xdr:col>
      <xdr:colOff>590552</xdr:colOff>
      <xdr:row>21</xdr:row>
      <xdr:rowOff>67917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 flipV="1">
          <a:off x="6848475" y="4048125"/>
          <a:ext cx="1057277" cy="3934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74543</xdr:colOff>
      <xdr:row>19</xdr:row>
      <xdr:rowOff>115957</xdr:rowOff>
    </xdr:from>
    <xdr:to>
      <xdr:col>12</xdr:col>
      <xdr:colOff>165652</xdr:colOff>
      <xdr:row>19</xdr:row>
      <xdr:rowOff>124239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11719891" y="4306957"/>
          <a:ext cx="704022" cy="828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157369</xdr:colOff>
      <xdr:row>19</xdr:row>
      <xdr:rowOff>115957</xdr:rowOff>
    </xdr:from>
    <xdr:to>
      <xdr:col>13</xdr:col>
      <xdr:colOff>9525</xdr:colOff>
      <xdr:row>20</xdr:row>
      <xdr:rowOff>95250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15630" y="4306957"/>
          <a:ext cx="465069" cy="17807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14</xdr:row>
      <xdr:rowOff>57150</xdr:rowOff>
    </xdr:from>
    <xdr:to>
      <xdr:col>11</xdr:col>
      <xdr:colOff>95250</xdr:colOff>
      <xdr:row>20</xdr:row>
      <xdr:rowOff>85725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6791325" y="2724150"/>
          <a:ext cx="9525" cy="118110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20</xdr:row>
      <xdr:rowOff>90488</xdr:rowOff>
    </xdr:from>
    <xdr:to>
      <xdr:col>11</xdr:col>
      <xdr:colOff>100013</xdr:colOff>
      <xdr:row>21</xdr:row>
      <xdr:rowOff>142875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2268200" y="4481513"/>
          <a:ext cx="23813" cy="252412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90487</xdr:colOff>
      <xdr:row>21</xdr:row>
      <xdr:rowOff>142876</xdr:rowOff>
    </xdr:from>
    <xdr:to>
      <xdr:col>11</xdr:col>
      <xdr:colOff>107674</xdr:colOff>
      <xdr:row>23</xdr:row>
      <xdr:rowOff>66261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2348748" y="4731441"/>
          <a:ext cx="17187" cy="32095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556846</xdr:colOff>
      <xdr:row>6</xdr:row>
      <xdr:rowOff>0</xdr:rowOff>
    </xdr:from>
    <xdr:to>
      <xdr:col>14</xdr:col>
      <xdr:colOff>0</xdr:colOff>
      <xdr:row>6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556846" y="1143000"/>
          <a:ext cx="7977554" cy="0"/>
        </a:xfrm>
        <a:prstGeom prst="line">
          <a:avLst/>
        </a:prstGeom>
        <a:ln w="28575"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92320</xdr:colOff>
      <xdr:row>6</xdr:row>
      <xdr:rowOff>19050</xdr:rowOff>
    </xdr:from>
    <xdr:to>
      <xdr:col>11</xdr:col>
      <xdr:colOff>114300</xdr:colOff>
      <xdr:row>14</xdr:row>
      <xdr:rowOff>56417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>
          <a:off x="6797920" y="1162050"/>
          <a:ext cx="21980" cy="1561367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191745</xdr:colOff>
      <xdr:row>9</xdr:row>
      <xdr:rowOff>107674</xdr:rowOff>
    </xdr:from>
    <xdr:to>
      <xdr:col>13</xdr:col>
      <xdr:colOff>8283</xdr:colOff>
      <xdr:row>9</xdr:row>
      <xdr:rowOff>109330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2450006" y="2393674"/>
          <a:ext cx="1042364" cy="165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41414</xdr:colOff>
      <xdr:row>24</xdr:row>
      <xdr:rowOff>2</xdr:rowOff>
    </xdr:from>
    <xdr:to>
      <xdr:col>11</xdr:col>
      <xdr:colOff>513522</xdr:colOff>
      <xdr:row>24</xdr:row>
      <xdr:rowOff>2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170544" y="5176632"/>
          <a:ext cx="5988326" cy="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266287</xdr:colOff>
      <xdr:row>16</xdr:row>
      <xdr:rowOff>107674</xdr:rowOff>
    </xdr:from>
    <xdr:to>
      <xdr:col>12</xdr:col>
      <xdr:colOff>596348</xdr:colOff>
      <xdr:row>16</xdr:row>
      <xdr:rowOff>109330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H="1">
          <a:off x="11911635" y="3727174"/>
          <a:ext cx="942974" cy="165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57976</xdr:rowOff>
    </xdr:from>
    <xdr:to>
      <xdr:col>13</xdr:col>
      <xdr:colOff>16567</xdr:colOff>
      <xdr:row>18</xdr:row>
      <xdr:rowOff>57977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1032435" y="3486976"/>
          <a:ext cx="1855306" cy="571501"/>
        </a:xfrm>
        <a:prstGeom prst="bentConnector3">
          <a:avLst>
            <a:gd name="adj1" fmla="val 10044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5</xdr:row>
      <xdr:rowOff>47625</xdr:rowOff>
    </xdr:from>
    <xdr:to>
      <xdr:col>20</xdr:col>
      <xdr:colOff>0</xdr:colOff>
      <xdr:row>7</xdr:row>
      <xdr:rowOff>133350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639300" y="1000125"/>
          <a:ext cx="1724025" cy="4667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Calculation</a:t>
          </a:r>
        </a:p>
      </xdr:txBody>
    </xdr:sp>
    <xdr:clientData/>
  </xdr:twoCellAnchor>
  <xdr:twoCellAnchor>
    <xdr:from>
      <xdr:col>16</xdr:col>
      <xdr:colOff>152399</xdr:colOff>
      <xdr:row>8</xdr:row>
      <xdr:rowOff>104775</xdr:rowOff>
    </xdr:from>
    <xdr:to>
      <xdr:col>20</xdr:col>
      <xdr:colOff>9525</xdr:colOff>
      <xdr:row>11</xdr:row>
      <xdr:rowOff>9525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658349" y="1628775"/>
          <a:ext cx="1714501" cy="476250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Estimating</a:t>
          </a:r>
        </a:p>
      </xdr:txBody>
    </xdr:sp>
    <xdr:clientData/>
  </xdr:twoCellAnchor>
  <xdr:twoCellAnchor>
    <xdr:from>
      <xdr:col>20</xdr:col>
      <xdr:colOff>171450</xdr:colOff>
      <xdr:row>5</xdr:row>
      <xdr:rowOff>85725</xdr:rowOff>
    </xdr:from>
    <xdr:to>
      <xdr:col>23</xdr:col>
      <xdr:colOff>104775</xdr:colOff>
      <xdr:row>11</xdr:row>
      <xdr:rowOff>66675</xdr:rowOff>
    </xdr:to>
    <xdr:sp macro="" textlink="">
      <xdr:nvSpPr>
        <xdr:cNvPr id="8" name="Rounded 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534775" y="1038225"/>
          <a:ext cx="1762125" cy="1123950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Calculate Nos of Rebar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16</xdr:row>
      <xdr:rowOff>180975</xdr:rowOff>
    </xdr:from>
    <xdr:to>
      <xdr:col>9</xdr:col>
      <xdr:colOff>123825</xdr:colOff>
      <xdr:row>19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191000" y="3314700"/>
          <a:ext cx="1933575" cy="4667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Data</a:t>
          </a:r>
          <a:r>
            <a:rPr lang="en-US" sz="2400" b="1" baseline="0"/>
            <a:t> Sheet</a:t>
          </a:r>
          <a:endParaRPr lang="en-US" sz="2400" b="1"/>
        </a:p>
      </xdr:txBody>
    </xdr:sp>
    <xdr:clientData/>
  </xdr:twoCellAnchor>
  <xdr:twoCellAnchor>
    <xdr:from>
      <xdr:col>9</xdr:col>
      <xdr:colOff>390525</xdr:colOff>
      <xdr:row>16</xdr:row>
      <xdr:rowOff>180975</xdr:rowOff>
    </xdr:from>
    <xdr:to>
      <xdr:col>12</xdr:col>
      <xdr:colOff>495300</xdr:colOff>
      <xdr:row>19</xdr:row>
      <xdr:rowOff>76200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391275" y="3314700"/>
          <a:ext cx="1933575" cy="4667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Estimating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8</xdr:row>
      <xdr:rowOff>95250</xdr:rowOff>
    </xdr:from>
    <xdr:to>
      <xdr:col>10</xdr:col>
      <xdr:colOff>400050</xdr:colOff>
      <xdr:row>10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029325" y="1704975"/>
          <a:ext cx="1933575" cy="4667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Data</a:t>
          </a:r>
          <a:r>
            <a:rPr lang="en-US" sz="2400" b="1" baseline="0"/>
            <a:t> Sheet</a:t>
          </a:r>
          <a:endParaRPr lang="en-US" sz="2400" b="1"/>
        </a:p>
      </xdr:txBody>
    </xdr:sp>
    <xdr:clientData/>
  </xdr:twoCellAnchor>
  <xdr:twoCellAnchor>
    <xdr:from>
      <xdr:col>7</xdr:col>
      <xdr:colOff>323850</xdr:colOff>
      <xdr:row>11</xdr:row>
      <xdr:rowOff>180975</xdr:rowOff>
    </xdr:from>
    <xdr:to>
      <xdr:col>10</xdr:col>
      <xdr:colOff>428625</xdr:colOff>
      <xdr:row>14</xdr:row>
      <xdr:rowOff>76200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057900" y="2371725"/>
          <a:ext cx="1933575" cy="4667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Calculation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7</xdr:row>
      <xdr:rowOff>114300</xdr:rowOff>
    </xdr:from>
    <xdr:to>
      <xdr:col>11</xdr:col>
      <xdr:colOff>476250</xdr:colOff>
      <xdr:row>10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91150" y="1447800"/>
          <a:ext cx="2143125" cy="609600"/>
        </a:xfrm>
        <a:prstGeom prst="roundRect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Data</a:t>
          </a:r>
          <a:r>
            <a:rPr lang="en-US" sz="2800" b="1" baseline="0"/>
            <a:t> Sheet</a:t>
          </a:r>
          <a:endParaRPr lang="en-US" sz="2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5970-B42C-40D9-AF98-500F691B3C68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87" customWidth="1"/>
    <col min="2" max="16384" width="9.140625" style="87"/>
  </cols>
  <sheetData>
    <row r="14" spans="2:10" ht="15" customHeight="1" x14ac:dyDescent="0.25">
      <c r="B14" s="86" t="s">
        <v>86</v>
      </c>
      <c r="C14" s="86"/>
      <c r="D14" s="86"/>
      <c r="E14" s="86"/>
      <c r="F14" s="86"/>
      <c r="G14" s="86"/>
      <c r="H14" s="86"/>
      <c r="I14" s="86"/>
      <c r="J14" s="86"/>
    </row>
    <row r="15" spans="2:10" ht="15" customHeight="1" x14ac:dyDescent="0.25">
      <c r="B15" s="86"/>
      <c r="C15" s="86"/>
      <c r="D15" s="86"/>
      <c r="E15" s="86"/>
      <c r="F15" s="86"/>
      <c r="G15" s="86"/>
      <c r="H15" s="86"/>
      <c r="I15" s="86"/>
      <c r="J15" s="86"/>
    </row>
    <row r="16" spans="2:10" x14ac:dyDescent="0.25">
      <c r="B16" s="86"/>
      <c r="C16" s="86"/>
      <c r="D16" s="86"/>
      <c r="E16" s="86"/>
      <c r="F16" s="86"/>
      <c r="G16" s="86"/>
      <c r="H16" s="86"/>
      <c r="I16" s="86"/>
      <c r="J16" s="86"/>
    </row>
    <row r="17" spans="2:10" x14ac:dyDescent="0.25">
      <c r="C17" s="88" t="s">
        <v>87</v>
      </c>
      <c r="D17" s="88"/>
      <c r="E17" s="89" t="s">
        <v>88</v>
      </c>
      <c r="F17" s="89"/>
      <c r="G17" s="89"/>
      <c r="H17" s="89"/>
      <c r="I17" s="89"/>
      <c r="J17" s="89"/>
    </row>
    <row r="18" spans="2:10" x14ac:dyDescent="0.25">
      <c r="C18" s="88" t="s">
        <v>89</v>
      </c>
      <c r="D18" s="88"/>
      <c r="E18" s="89" t="s">
        <v>90</v>
      </c>
      <c r="F18" s="89"/>
      <c r="G18" s="89"/>
      <c r="H18" s="89"/>
      <c r="I18" s="89"/>
      <c r="J18" s="89"/>
    </row>
    <row r="19" spans="2:10" x14ac:dyDescent="0.25">
      <c r="C19" s="88" t="s">
        <v>91</v>
      </c>
      <c r="D19" s="88"/>
      <c r="E19" s="89" t="s">
        <v>92</v>
      </c>
      <c r="F19" s="89"/>
      <c r="G19" s="89"/>
      <c r="H19" s="89"/>
      <c r="I19" s="89"/>
      <c r="J19" s="89"/>
    </row>
    <row r="20" spans="2:10" x14ac:dyDescent="0.25">
      <c r="C20" s="88" t="s">
        <v>93</v>
      </c>
      <c r="D20" s="88"/>
      <c r="E20" s="89" t="s">
        <v>94</v>
      </c>
      <c r="F20" s="89"/>
      <c r="G20" s="89"/>
      <c r="H20" s="89"/>
      <c r="I20" s="89"/>
      <c r="J20" s="89"/>
    </row>
    <row r="21" spans="2:10" x14ac:dyDescent="0.25">
      <c r="C21" s="88" t="s">
        <v>95</v>
      </c>
      <c r="D21" s="88"/>
      <c r="E21" s="89" t="s">
        <v>96</v>
      </c>
      <c r="F21" s="89"/>
      <c r="G21" s="89"/>
      <c r="H21" s="89"/>
      <c r="I21" s="89"/>
      <c r="J21" s="89"/>
    </row>
    <row r="22" spans="2:10" x14ac:dyDescent="0.25">
      <c r="C22" s="88" t="s">
        <v>97</v>
      </c>
      <c r="D22" s="88"/>
      <c r="E22" s="89" t="s">
        <v>98</v>
      </c>
      <c r="F22" s="89"/>
      <c r="G22" s="89"/>
      <c r="H22" s="89"/>
      <c r="I22" s="89"/>
      <c r="J22" s="89"/>
    </row>
    <row r="24" spans="2:10" ht="15" customHeight="1" x14ac:dyDescent="0.25">
      <c r="B24" s="90" t="s">
        <v>99</v>
      </c>
      <c r="C24" s="90"/>
      <c r="D24" s="90"/>
      <c r="E24" s="90"/>
      <c r="F24" s="90"/>
      <c r="G24" s="90"/>
      <c r="H24" s="90"/>
      <c r="I24" s="90"/>
      <c r="J24" s="90"/>
    </row>
    <row r="25" spans="2:10" ht="15" customHeight="1" x14ac:dyDescent="0.25">
      <c r="B25" s="90"/>
      <c r="C25" s="90"/>
      <c r="D25" s="90"/>
      <c r="E25" s="90"/>
      <c r="F25" s="90"/>
      <c r="G25" s="90"/>
      <c r="H25" s="90"/>
      <c r="I25" s="90"/>
      <c r="J25" s="90"/>
    </row>
    <row r="26" spans="2:10" ht="15" customHeight="1" x14ac:dyDescent="0.25">
      <c r="B26" s="90"/>
      <c r="C26" s="90"/>
      <c r="D26" s="90"/>
      <c r="E26" s="90"/>
      <c r="F26" s="90"/>
      <c r="G26" s="90"/>
      <c r="H26" s="90"/>
      <c r="I26" s="90"/>
      <c r="J26" s="90"/>
    </row>
    <row r="27" spans="2:10" x14ac:dyDescent="0.25">
      <c r="B27" s="90"/>
      <c r="C27" s="90"/>
      <c r="D27" s="90"/>
      <c r="E27" s="90"/>
      <c r="F27" s="90"/>
      <c r="G27" s="90"/>
      <c r="H27" s="90"/>
      <c r="I27" s="90"/>
      <c r="J27" s="90"/>
    </row>
    <row r="34" spans="1:13" ht="15.75" x14ac:dyDescent="0.25">
      <c r="A34" s="91" t="s">
        <v>100</v>
      </c>
      <c r="B34" s="89" t="s">
        <v>101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</row>
    <row r="35" spans="1:13" ht="15.75" x14ac:dyDescent="0.25">
      <c r="A35" s="91"/>
    </row>
    <row r="36" spans="1:13" ht="15.75" x14ac:dyDescent="0.25">
      <c r="A36" s="91" t="s">
        <v>102</v>
      </c>
      <c r="B36" s="89" t="s">
        <v>103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C36EBE32-BCE4-42C1-B9F0-7E09E767376C}"/>
    <hyperlink ref="E18" r:id="rId2" xr:uid="{BDB78717-1E4F-4D81-A688-BA746588C27B}"/>
    <hyperlink ref="E19" r:id="rId3" xr:uid="{76212098-250F-4876-993F-A187EDF5CB3D}"/>
    <hyperlink ref="E21" r:id="rId4" xr:uid="{7A93B12B-9B29-4B20-88BC-503847C587C0}"/>
    <hyperlink ref="E22" r:id="rId5" xr:uid="{6E5C517E-4A4F-48E2-A356-5DA29A68FAD0}"/>
    <hyperlink ref="B36" r:id="rId6" xr:uid="{85E751B7-2875-426C-8E17-D8D188EB210C}"/>
    <hyperlink ref="B34" r:id="rId7" xr:uid="{6B2FFC70-7826-4B87-91D8-1FCBDA83F850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Y29"/>
  <sheetViews>
    <sheetView zoomScaleNormal="100" workbookViewId="0">
      <selection activeCell="N28" sqref="N28"/>
    </sheetView>
  </sheetViews>
  <sheetFormatPr defaultRowHeight="15" x14ac:dyDescent="0.25"/>
  <cols>
    <col min="14" max="14" width="16.28515625" customWidth="1"/>
    <col min="16" max="16" width="5.42578125" customWidth="1"/>
    <col min="17" max="17" width="4.42578125" customWidth="1"/>
    <col min="18" max="18" width="5.140625" customWidth="1"/>
  </cols>
  <sheetData>
    <row r="6" spans="5:25" x14ac:dyDescent="0.25">
      <c r="E6">
        <f>(2*'Data Sheet'!G26+2*'Data Sheet'!G27)*(('Data Sheet'!N21+'Data Sheet'!N22)/12)</f>
        <v>25</v>
      </c>
      <c r="M6" s="64" t="s">
        <v>9</v>
      </c>
      <c r="N6" s="64"/>
    </row>
    <row r="10" spans="5:25" x14ac:dyDescent="0.25">
      <c r="N10" s="29">
        <v>3</v>
      </c>
      <c r="O10" t="s">
        <v>0</v>
      </c>
    </row>
    <row r="13" spans="5:25" x14ac:dyDescent="0.25">
      <c r="O13" s="6" t="s">
        <v>12</v>
      </c>
    </row>
    <row r="15" spans="5:25" x14ac:dyDescent="0.25">
      <c r="N15" s="67" t="s">
        <v>13</v>
      </c>
      <c r="O15" s="67"/>
      <c r="S15" s="61" t="s">
        <v>38</v>
      </c>
      <c r="T15" s="62"/>
      <c r="U15" s="63"/>
      <c r="V15" s="25" t="s">
        <v>39</v>
      </c>
      <c r="Y15" s="28" t="s">
        <v>39</v>
      </c>
    </row>
    <row r="16" spans="5:25" x14ac:dyDescent="0.25">
      <c r="N16" s="59">
        <v>15</v>
      </c>
      <c r="O16" s="26">
        <v>12</v>
      </c>
      <c r="S16" s="60" t="s">
        <v>82</v>
      </c>
      <c r="T16" s="60"/>
      <c r="U16" s="27">
        <v>12</v>
      </c>
      <c r="V16" s="7">
        <v>16</v>
      </c>
      <c r="Y16" s="28" t="s">
        <v>40</v>
      </c>
    </row>
    <row r="17" spans="4:24" x14ac:dyDescent="0.25">
      <c r="N17" s="58">
        <v>10</v>
      </c>
      <c r="O17" s="26">
        <v>16</v>
      </c>
      <c r="S17" s="60" t="s">
        <v>83</v>
      </c>
      <c r="T17" s="60"/>
      <c r="U17" s="27">
        <v>15</v>
      </c>
      <c r="V17" s="7">
        <v>20</v>
      </c>
    </row>
    <row r="19" spans="4:24" x14ac:dyDescent="0.25">
      <c r="P19" s="66" t="s">
        <v>6</v>
      </c>
      <c r="Q19" s="66"/>
      <c r="R19" s="66"/>
      <c r="T19" s="64" t="s">
        <v>69</v>
      </c>
      <c r="U19" s="64"/>
      <c r="V19" s="45" t="s">
        <v>70</v>
      </c>
      <c r="X19" s="28" t="s">
        <v>71</v>
      </c>
    </row>
    <row r="20" spans="4:24" ht="15.75" thickBot="1" x14ac:dyDescent="0.3">
      <c r="P20" s="3" t="s">
        <v>3</v>
      </c>
      <c r="Q20" s="3" t="s">
        <v>4</v>
      </c>
      <c r="R20" s="3" t="s">
        <v>5</v>
      </c>
      <c r="X20" s="28" t="s">
        <v>70</v>
      </c>
    </row>
    <row r="21" spans="4:24" ht="15.75" thickBot="1" x14ac:dyDescent="0.3">
      <c r="N21" s="30">
        <v>12</v>
      </c>
      <c r="O21" t="s">
        <v>8</v>
      </c>
      <c r="P21" s="15">
        <v>1</v>
      </c>
      <c r="Q21" s="2">
        <v>1.5</v>
      </c>
      <c r="R21" s="14">
        <v>3</v>
      </c>
    </row>
    <row r="22" spans="4:24" ht="15.75" thickBot="1" x14ac:dyDescent="0.3">
      <c r="N22" s="30">
        <v>3</v>
      </c>
      <c r="O22" t="s">
        <v>41</v>
      </c>
      <c r="P22" s="15">
        <v>1</v>
      </c>
      <c r="Q22" s="2">
        <v>3</v>
      </c>
      <c r="R22" s="14">
        <v>6</v>
      </c>
    </row>
    <row r="23" spans="4:24" ht="15.75" thickBot="1" x14ac:dyDescent="0.3">
      <c r="N23" s="30">
        <v>3</v>
      </c>
      <c r="O23" t="s">
        <v>2</v>
      </c>
      <c r="P23" s="15">
        <v>1</v>
      </c>
      <c r="Q23" s="16">
        <v>5</v>
      </c>
    </row>
    <row r="24" spans="4:24" x14ac:dyDescent="0.25">
      <c r="P24" s="4"/>
      <c r="Q24" s="1"/>
    </row>
    <row r="25" spans="4:24" x14ac:dyDescent="0.25">
      <c r="H25" s="5" t="s">
        <v>10</v>
      </c>
    </row>
    <row r="26" spans="4:24" x14ac:dyDescent="0.25">
      <c r="D26" s="65" t="s">
        <v>1</v>
      </c>
      <c r="E26" s="65"/>
      <c r="F26" s="65"/>
      <c r="G26" s="29">
        <v>6</v>
      </c>
      <c r="H26" t="s">
        <v>0</v>
      </c>
    </row>
    <row r="27" spans="4:24" x14ac:dyDescent="0.25">
      <c r="D27" s="65" t="s">
        <v>7</v>
      </c>
      <c r="E27" s="65"/>
      <c r="F27" s="65"/>
      <c r="G27" s="29">
        <v>4</v>
      </c>
      <c r="H27" t="s">
        <v>0</v>
      </c>
    </row>
    <row r="28" spans="4:24" x14ac:dyDescent="0.25">
      <c r="D28" s="65" t="s">
        <v>43</v>
      </c>
      <c r="E28" s="65"/>
      <c r="F28" s="65"/>
      <c r="G28" s="29">
        <v>12</v>
      </c>
      <c r="H28" t="s">
        <v>11</v>
      </c>
    </row>
    <row r="29" spans="4:24" x14ac:dyDescent="0.25">
      <c r="D29" s="65" t="s">
        <v>42</v>
      </c>
      <c r="E29" s="65"/>
      <c r="F29" s="65"/>
      <c r="G29" s="29">
        <v>3</v>
      </c>
      <c r="H29" t="s">
        <v>11</v>
      </c>
    </row>
  </sheetData>
  <mergeCells count="11">
    <mergeCell ref="M6:N6"/>
    <mergeCell ref="D28:F28"/>
    <mergeCell ref="N15:O15"/>
    <mergeCell ref="S16:T16"/>
    <mergeCell ref="S17:T17"/>
    <mergeCell ref="S15:U15"/>
    <mergeCell ref="T19:U19"/>
    <mergeCell ref="D29:F29"/>
    <mergeCell ref="D26:F26"/>
    <mergeCell ref="P19:R19"/>
    <mergeCell ref="D27:F27"/>
  </mergeCells>
  <dataValidations count="2">
    <dataValidation type="list" allowBlank="1" showInputMessage="1" showErrorMessage="1" sqref="V15" xr:uid="{00000000-0002-0000-0000-000000000000}">
      <formula1>$Y$15:$Y$16</formula1>
    </dataValidation>
    <dataValidation type="list" allowBlank="1" showInputMessage="1" showErrorMessage="1" sqref="V19" xr:uid="{00000000-0002-0000-0000-000001000000}">
      <formula1>$X$19:$X$20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G15"/>
  <sheetViews>
    <sheetView workbookViewId="0"/>
  </sheetViews>
  <sheetFormatPr defaultRowHeight="15" x14ac:dyDescent="0.25"/>
  <cols>
    <col min="3" max="3" width="14.42578125" customWidth="1"/>
    <col min="4" max="4" width="11.5703125" customWidth="1"/>
  </cols>
  <sheetData>
    <row r="4" spans="2:33" x14ac:dyDescent="0.25">
      <c r="T4" s="29">
        <v>1.5</v>
      </c>
    </row>
    <row r="6" spans="2:33" ht="15.75" thickBot="1" x14ac:dyDescent="0.3">
      <c r="B6" s="64" t="s">
        <v>47</v>
      </c>
      <c r="C6" s="64"/>
      <c r="D6" s="64"/>
      <c r="E6" s="38">
        <f>(2*'Data Sheet'!G26+2*'Data Sheet'!G27)*(('Data Sheet'!N21+'Data Sheet'!N22)/12)</f>
        <v>25</v>
      </c>
      <c r="F6" t="s">
        <v>46</v>
      </c>
      <c r="L6" s="64" t="s">
        <v>48</v>
      </c>
      <c r="M6" s="64"/>
      <c r="N6" s="64"/>
      <c r="O6" s="64"/>
      <c r="P6" s="64"/>
      <c r="Q6" s="64"/>
      <c r="T6" s="64" t="s">
        <v>49</v>
      </c>
      <c r="U6" s="64"/>
      <c r="V6" s="64"/>
      <c r="W6" s="64"/>
      <c r="X6" s="64"/>
      <c r="Y6" s="64"/>
      <c r="AB6" s="64" t="s">
        <v>50</v>
      </c>
      <c r="AC6" s="64"/>
      <c r="AD6" s="64"/>
      <c r="AE6" s="64"/>
      <c r="AF6" s="64"/>
      <c r="AG6" s="64"/>
    </row>
    <row r="7" spans="2:33" ht="15.75" thickBot="1" x14ac:dyDescent="0.3">
      <c r="B7" s="64" t="s">
        <v>14</v>
      </c>
      <c r="C7" s="64"/>
      <c r="D7" s="64"/>
      <c r="E7" s="31">
        <f>(('Data Sheet'!N10+('Data Sheet'!N21/12)+('Data Sheet'!N22/12)+('Data Sheet'!N23/12))*(('Data Sheet'!G26+('Data Sheet'!G28/12))*('Data Sheet'!G27+('Data Sheet'!G28/12))))</f>
        <v>157.5</v>
      </c>
      <c r="F7" t="s">
        <v>15</v>
      </c>
      <c r="G7" s="28" t="str">
        <f>'Data Sheet'!V15</f>
        <v>Yes</v>
      </c>
      <c r="I7" s="8"/>
      <c r="J7" s="8"/>
      <c r="K7" s="8"/>
      <c r="L7" s="8"/>
      <c r="M7" s="8"/>
      <c r="N7" s="8"/>
      <c r="O7" s="8" t="s">
        <v>19</v>
      </c>
      <c r="P7" s="8" t="s">
        <v>20</v>
      </c>
      <c r="Q7" s="8" t="s">
        <v>21</v>
      </c>
      <c r="S7" s="8"/>
      <c r="T7" s="8"/>
      <c r="U7" s="8"/>
      <c r="V7" s="8"/>
      <c r="W7" s="8" t="s">
        <v>19</v>
      </c>
      <c r="X7" s="8" t="s">
        <v>20</v>
      </c>
      <c r="Y7" s="8" t="s">
        <v>21</v>
      </c>
      <c r="AB7" s="8"/>
      <c r="AC7" s="8"/>
      <c r="AD7" s="8"/>
      <c r="AE7" s="8"/>
      <c r="AF7" s="17" t="s">
        <v>19</v>
      </c>
      <c r="AG7" s="18" t="s">
        <v>20</v>
      </c>
    </row>
    <row r="8" spans="2:33" ht="15.75" thickBot="1" x14ac:dyDescent="0.3">
      <c r="B8" s="64" t="s">
        <v>16</v>
      </c>
      <c r="C8" s="64"/>
      <c r="D8" s="64"/>
      <c r="E8" s="31">
        <f>('Data Sheet'!N21/12)*('Data Sheet'!G26)*('Data Sheet'!G27)</f>
        <v>24</v>
      </c>
      <c r="F8" t="s">
        <v>15</v>
      </c>
      <c r="I8" s="8"/>
      <c r="J8" s="8"/>
      <c r="K8" s="8"/>
      <c r="L8" s="68" t="s">
        <v>22</v>
      </c>
      <c r="M8" s="68"/>
      <c r="N8" s="68"/>
      <c r="O8" s="32">
        <f>'Data Sheet'!P21</f>
        <v>1</v>
      </c>
      <c r="P8" s="33">
        <f>'Data Sheet'!Q21</f>
        <v>1.5</v>
      </c>
      <c r="Q8" s="32">
        <f>'Data Sheet'!R21</f>
        <v>3</v>
      </c>
      <c r="S8" s="8"/>
      <c r="T8" s="68" t="s">
        <v>22</v>
      </c>
      <c r="U8" s="68"/>
      <c r="V8" s="68"/>
      <c r="W8" s="9">
        <f>'Data Sheet'!P22</f>
        <v>1</v>
      </c>
      <c r="X8" s="10">
        <f>'Data Sheet'!Q22</f>
        <v>3</v>
      </c>
      <c r="Y8" s="9">
        <f>'Data Sheet'!R22</f>
        <v>6</v>
      </c>
      <c r="AB8" s="68" t="s">
        <v>29</v>
      </c>
      <c r="AC8" s="68"/>
      <c r="AD8" s="68"/>
      <c r="AE8" s="69"/>
      <c r="AF8" s="19">
        <f>'Data Sheet'!P23</f>
        <v>1</v>
      </c>
      <c r="AG8" s="20">
        <f>'Data Sheet'!Q23</f>
        <v>5</v>
      </c>
    </row>
    <row r="9" spans="2:33" ht="15.75" thickBot="1" x14ac:dyDescent="0.3">
      <c r="B9" s="64" t="s">
        <v>17</v>
      </c>
      <c r="C9" s="64"/>
      <c r="D9" s="64"/>
      <c r="E9" s="31">
        <f>('Data Sheet'!N22/12)*('Data Sheet'!G26)*('Data Sheet'!G27)</f>
        <v>6</v>
      </c>
      <c r="F9" t="s">
        <v>15</v>
      </c>
      <c r="I9" s="8"/>
      <c r="J9" s="8"/>
      <c r="K9" s="8"/>
      <c r="L9" s="8"/>
      <c r="M9" s="8"/>
      <c r="N9" s="8"/>
      <c r="S9" s="8"/>
      <c r="T9" s="8"/>
      <c r="U9" s="8"/>
      <c r="V9" s="8"/>
      <c r="W9" s="8"/>
      <c r="X9" s="8"/>
      <c r="Y9" s="8"/>
      <c r="AB9" s="68" t="s">
        <v>30</v>
      </c>
      <c r="AC9" s="68"/>
      <c r="AD9" s="68"/>
      <c r="AE9" s="68"/>
      <c r="AF9" s="24">
        <f>E10</f>
        <v>6</v>
      </c>
      <c r="AG9" s="8" t="s">
        <v>15</v>
      </c>
    </row>
    <row r="10" spans="2:33" ht="15.75" thickBot="1" x14ac:dyDescent="0.3">
      <c r="B10" s="64" t="s">
        <v>18</v>
      </c>
      <c r="C10" s="64"/>
      <c r="D10" s="64"/>
      <c r="E10" s="31">
        <f>('Data Sheet'!N23/12)*('Data Sheet'!G26)*('Data Sheet'!G27)</f>
        <v>6</v>
      </c>
      <c r="F10" t="s">
        <v>15</v>
      </c>
      <c r="I10" s="8"/>
      <c r="J10" s="8"/>
      <c r="K10" s="68" t="s">
        <v>23</v>
      </c>
      <c r="L10" s="68"/>
      <c r="M10" s="68"/>
      <c r="N10" s="68"/>
      <c r="O10" s="34">
        <f>E8</f>
        <v>24</v>
      </c>
      <c r="P10" t="s">
        <v>15</v>
      </c>
      <c r="Q10" s="28">
        <f>O10*T4</f>
        <v>36</v>
      </c>
      <c r="S10" s="68" t="s">
        <v>23</v>
      </c>
      <c r="T10" s="68"/>
      <c r="U10" s="68"/>
      <c r="V10" s="68"/>
      <c r="W10" s="13">
        <f>E9</f>
        <v>6</v>
      </c>
      <c r="X10" s="8" t="s">
        <v>15</v>
      </c>
      <c r="Y10" s="11">
        <f>W10*T4</f>
        <v>9</v>
      </c>
      <c r="AB10" s="8"/>
      <c r="AC10" s="8"/>
      <c r="AD10" s="8"/>
      <c r="AE10" s="8"/>
      <c r="AF10" s="8"/>
      <c r="AG10" s="8"/>
    </row>
    <row r="11" spans="2:33" ht="15.75" thickBot="1" x14ac:dyDescent="0.3">
      <c r="B11" s="64" t="s">
        <v>35</v>
      </c>
      <c r="C11" s="64"/>
      <c r="D11" s="64"/>
      <c r="E11" s="31">
        <f>IF(G7="Yes",'Data Sheet'!U16*('Data Sheet'!G26-('Data Sheet'!G29*2/12)+(1.5*'Data Sheet'!V16/25.4)),0)</f>
        <v>77.338582677165363</v>
      </c>
      <c r="F11" t="s">
        <v>0</v>
      </c>
      <c r="G11" s="37">
        <f>IF(G7="Yes",'Data Sheet'!V16,"0")</f>
        <v>16</v>
      </c>
      <c r="H11" t="s">
        <v>44</v>
      </c>
      <c r="I11" s="36">
        <f>((G11^2)/533)*E11</f>
        <v>37.145735769895559</v>
      </c>
      <c r="J11" s="8" t="s">
        <v>45</v>
      </c>
      <c r="K11" s="8"/>
      <c r="L11" s="8"/>
      <c r="M11" s="8"/>
      <c r="N11" s="8"/>
      <c r="S11" s="8"/>
      <c r="T11" s="8"/>
      <c r="U11" s="8"/>
      <c r="V11" s="8"/>
      <c r="W11" s="8"/>
      <c r="X11" s="8"/>
      <c r="Y11" s="8"/>
      <c r="AB11" s="8"/>
      <c r="AC11" s="68" t="s">
        <v>31</v>
      </c>
      <c r="AD11" s="68"/>
      <c r="AE11" s="69"/>
      <c r="AF11" s="21">
        <f>AF9*12</f>
        <v>72</v>
      </c>
      <c r="AG11" s="8" t="s">
        <v>28</v>
      </c>
    </row>
    <row r="12" spans="2:33" ht="15.75" thickBot="1" x14ac:dyDescent="0.3">
      <c r="B12" s="64" t="s">
        <v>37</v>
      </c>
      <c r="C12" s="64"/>
      <c r="D12" s="64"/>
      <c r="E12" s="31">
        <f>IF(G7="Yes",'Data Sheet'!U17*('Data Sheet'!G27-('Data Sheet'!G29*2/12)+(1.5*'Data Sheet'!V17/25.4)),0)</f>
        <v>70.21653543307086</v>
      </c>
      <c r="F12" t="s">
        <v>0</v>
      </c>
      <c r="G12" s="37">
        <f>IF(G7="Yes",'Data Sheet'!V17,"0")</f>
        <v>20</v>
      </c>
      <c r="H12" t="s">
        <v>44</v>
      </c>
      <c r="I12" s="36">
        <f t="shared" ref="I12:I14" si="0">((G12^2)/533)*E12</f>
        <v>52.695336159903079</v>
      </c>
      <c r="J12" s="8" t="s">
        <v>45</v>
      </c>
      <c r="K12" s="8"/>
      <c r="L12" s="68" t="s">
        <v>24</v>
      </c>
      <c r="M12" s="68"/>
      <c r="N12" s="68"/>
      <c r="O12" s="35">
        <f>(Q10*O8/(SUM(O8:Q8))/1.25)</f>
        <v>5.2363636363636363</v>
      </c>
      <c r="P12" t="s">
        <v>25</v>
      </c>
      <c r="S12" s="8"/>
      <c r="T12" s="68" t="s">
        <v>24</v>
      </c>
      <c r="U12" s="68"/>
      <c r="V12" s="68"/>
      <c r="W12" s="12">
        <f>(Y10*W8/(SUM(W8:Y8))/1.25)</f>
        <v>0.72</v>
      </c>
      <c r="X12" s="8" t="s">
        <v>25</v>
      </c>
      <c r="Y12" s="8"/>
      <c r="AB12" s="8"/>
      <c r="AC12" s="68" t="s">
        <v>32</v>
      </c>
      <c r="AD12" s="68"/>
      <c r="AE12" s="68"/>
      <c r="AF12" s="22">
        <f>((AF9*0.35*AF8)/SUM(AF8:AG8))/1.25</f>
        <v>0.27999999999999992</v>
      </c>
      <c r="AG12" s="8" t="s">
        <v>25</v>
      </c>
    </row>
    <row r="13" spans="2:33" ht="15.75" thickBot="1" x14ac:dyDescent="0.3">
      <c r="B13" s="64" t="s">
        <v>34</v>
      </c>
      <c r="C13" s="64"/>
      <c r="D13" s="64"/>
      <c r="E13" s="31">
        <f>'Data Sheet'!N17*('Data Sheet'!G26-('Data Sheet'!G29*2/12)+(2*9*'Data Sheet'!O17/(25.4*12)))</f>
        <v>64.448818897637793</v>
      </c>
      <c r="F13" t="s">
        <v>0</v>
      </c>
      <c r="G13" s="37">
        <f>'Data Sheet'!O16</f>
        <v>12</v>
      </c>
      <c r="H13" t="s">
        <v>44</v>
      </c>
      <c r="I13" s="36">
        <f t="shared" si="0"/>
        <v>17.412063642138541</v>
      </c>
      <c r="J13" s="8" t="s">
        <v>45</v>
      </c>
      <c r="K13" s="8"/>
      <c r="L13" s="68" t="s">
        <v>26</v>
      </c>
      <c r="M13" s="68"/>
      <c r="N13" s="68"/>
      <c r="O13" s="35">
        <f>(Q10*P8/SUM(O8:Q8))</f>
        <v>9.8181818181818183</v>
      </c>
      <c r="P13" t="s">
        <v>15</v>
      </c>
      <c r="S13" s="8"/>
      <c r="T13" s="68" t="s">
        <v>26</v>
      </c>
      <c r="U13" s="68"/>
      <c r="V13" s="68"/>
      <c r="W13" s="12">
        <f>(Y10*X8/SUM(W8:Y8))</f>
        <v>2.7</v>
      </c>
      <c r="X13" s="8" t="s">
        <v>15</v>
      </c>
      <c r="Y13" s="8"/>
      <c r="AB13" s="8"/>
      <c r="AC13" s="68" t="s">
        <v>33</v>
      </c>
      <c r="AD13" s="68"/>
      <c r="AE13" s="68"/>
      <c r="AF13" s="23">
        <f>((AF9*0.35*AG8)/SUM(AF8:AG8))</f>
        <v>1.7499999999999998</v>
      </c>
      <c r="AG13" s="8" t="s">
        <v>15</v>
      </c>
    </row>
    <row r="14" spans="2:33" ht="15.75" thickBot="1" x14ac:dyDescent="0.3">
      <c r="B14" s="64" t="s">
        <v>36</v>
      </c>
      <c r="C14" s="64"/>
      <c r="D14" s="64"/>
      <c r="E14" s="31">
        <f>'Data Sheet'!N16*(('Data Sheet'!G27-('Data Sheet'!G29*2/12))+(2*9*'Data Sheet'!O16/(25.4*12)))</f>
        <v>63.129921259842526</v>
      </c>
      <c r="F14" t="s">
        <v>0</v>
      </c>
      <c r="G14" s="37">
        <f>'Data Sheet'!O17</f>
        <v>16</v>
      </c>
      <c r="H14" t="s">
        <v>44</v>
      </c>
      <c r="I14" s="36">
        <f t="shared" si="0"/>
        <v>30.321313025365267</v>
      </c>
      <c r="J14" s="8" t="s">
        <v>45</v>
      </c>
      <c r="K14" s="8"/>
      <c r="L14" s="68" t="s">
        <v>27</v>
      </c>
      <c r="M14" s="68"/>
      <c r="N14" s="68"/>
      <c r="O14" s="35">
        <f>Q10*Q8/(SUM(O8:Q8))</f>
        <v>19.636363636363637</v>
      </c>
      <c r="P14" t="s">
        <v>15</v>
      </c>
      <c r="S14" s="8"/>
      <c r="T14" s="68" t="s">
        <v>27</v>
      </c>
      <c r="U14" s="68"/>
      <c r="V14" s="68"/>
      <c r="W14" s="12">
        <f>Y10*Y8/(SUM(W8:Y8))</f>
        <v>5.4</v>
      </c>
      <c r="X14" s="8" t="s">
        <v>15</v>
      </c>
      <c r="Y14" s="8"/>
    </row>
    <row r="15" spans="2:33" x14ac:dyDescent="0.25">
      <c r="I15" s="8"/>
    </row>
  </sheetData>
  <mergeCells count="27">
    <mergeCell ref="L6:Q6"/>
    <mergeCell ref="T6:Y6"/>
    <mergeCell ref="AB6:AG6"/>
    <mergeCell ref="AC11:AE11"/>
    <mergeCell ref="AC12:AE12"/>
    <mergeCell ref="AC13:AE13"/>
    <mergeCell ref="AB8:AE8"/>
    <mergeCell ref="AB9:AE9"/>
    <mergeCell ref="T8:V8"/>
    <mergeCell ref="S10:V10"/>
    <mergeCell ref="T12:V12"/>
    <mergeCell ref="T13:V13"/>
    <mergeCell ref="T14:V14"/>
    <mergeCell ref="L8:N8"/>
    <mergeCell ref="K10:N10"/>
    <mergeCell ref="L12:N12"/>
    <mergeCell ref="L13:N13"/>
    <mergeCell ref="L14:N14"/>
    <mergeCell ref="B6:D6"/>
    <mergeCell ref="B11:D11"/>
    <mergeCell ref="B12:D12"/>
    <mergeCell ref="B13:D13"/>
    <mergeCell ref="B14:D14"/>
    <mergeCell ref="B8:D8"/>
    <mergeCell ref="B7:D7"/>
    <mergeCell ref="B9:D9"/>
    <mergeCell ref="B10:D10"/>
  </mergeCells>
  <pageMargins left="0.7" right="0.7" top="0.75" bottom="0.75" header="0.3" footer="0.3"/>
  <ignoredErrors>
    <ignoredError sqref="Y10" unlocked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3"/>
  <sheetViews>
    <sheetView workbookViewId="0"/>
  </sheetViews>
  <sheetFormatPr defaultRowHeight="15" x14ac:dyDescent="0.25"/>
  <cols>
    <col min="2" max="2" width="11.5703125" bestFit="1" customWidth="1"/>
    <col min="3" max="3" width="13.85546875" bestFit="1" customWidth="1"/>
    <col min="4" max="4" width="15.7109375" bestFit="1" customWidth="1"/>
    <col min="5" max="5" width="13.7109375" customWidth="1"/>
    <col min="6" max="6" width="11.42578125" bestFit="1" customWidth="1"/>
    <col min="7" max="7" width="10.5703125" bestFit="1" customWidth="1"/>
  </cols>
  <sheetData>
    <row r="2" spans="2:9" ht="21" x14ac:dyDescent="0.35">
      <c r="B2" s="77" t="s">
        <v>72</v>
      </c>
      <c r="C2" s="77"/>
      <c r="D2" s="77"/>
      <c r="E2" s="77"/>
      <c r="F2" s="77"/>
      <c r="G2" s="77"/>
      <c r="I2" s="28" t="str">
        <f>'Data Sheet'!V19</f>
        <v>Brick</v>
      </c>
    </row>
    <row r="3" spans="2:9" x14ac:dyDescent="0.25">
      <c r="B3" s="39" t="s">
        <v>51</v>
      </c>
      <c r="C3" s="60" t="s">
        <v>84</v>
      </c>
      <c r="D3" s="60"/>
      <c r="E3" s="60"/>
      <c r="F3" s="60"/>
      <c r="G3" s="60"/>
    </row>
    <row r="4" spans="2:9" x14ac:dyDescent="0.25">
      <c r="B4" s="39" t="s">
        <v>52</v>
      </c>
      <c r="C4" s="60" t="s">
        <v>85</v>
      </c>
      <c r="D4" s="60"/>
      <c r="E4" s="60"/>
      <c r="F4" s="60"/>
      <c r="G4" s="60"/>
    </row>
    <row r="5" spans="2:9" x14ac:dyDescent="0.25">
      <c r="B5" s="39" t="s">
        <v>53</v>
      </c>
      <c r="C5" s="60" t="s">
        <v>73</v>
      </c>
      <c r="D5" s="60"/>
      <c r="E5" s="60"/>
      <c r="F5" s="60"/>
      <c r="G5" s="60"/>
    </row>
    <row r="6" spans="2:9" x14ac:dyDescent="0.25">
      <c r="B6" s="39" t="s">
        <v>54</v>
      </c>
      <c r="C6" s="60" t="s">
        <v>73</v>
      </c>
      <c r="D6" s="60"/>
      <c r="E6" s="60"/>
      <c r="F6" s="60"/>
      <c r="G6" s="60"/>
    </row>
    <row r="7" spans="2:9" ht="15.75" thickBot="1" x14ac:dyDescent="0.3">
      <c r="B7" s="44" t="s">
        <v>55</v>
      </c>
      <c r="C7" s="78">
        <v>8801763603339</v>
      </c>
      <c r="D7" s="78"/>
      <c r="E7" s="78"/>
      <c r="F7" s="78"/>
      <c r="G7" s="78"/>
    </row>
    <row r="8" spans="2:9" x14ac:dyDescent="0.25">
      <c r="B8" s="70" t="s">
        <v>68</v>
      </c>
      <c r="C8" s="71"/>
      <c r="D8" s="71"/>
      <c r="E8" s="71"/>
      <c r="F8" s="71"/>
      <c r="G8" s="72"/>
    </row>
    <row r="9" spans="2:9" ht="15.75" thickBot="1" x14ac:dyDescent="0.3">
      <c r="B9" s="73"/>
      <c r="C9" s="74"/>
      <c r="D9" s="74"/>
      <c r="E9" s="74"/>
      <c r="F9" s="74"/>
      <c r="G9" s="75"/>
    </row>
    <row r="10" spans="2:9" x14ac:dyDescent="0.25">
      <c r="B10" s="53" t="s">
        <v>56</v>
      </c>
      <c r="C10" s="76" t="s">
        <v>57</v>
      </c>
      <c r="D10" s="76"/>
      <c r="E10" s="54" t="s">
        <v>58</v>
      </c>
      <c r="F10" s="54" t="s">
        <v>59</v>
      </c>
      <c r="G10" s="54" t="s">
        <v>60</v>
      </c>
    </row>
    <row r="11" spans="2:9" x14ac:dyDescent="0.25">
      <c r="B11" s="55">
        <v>1</v>
      </c>
      <c r="C11" s="60" t="s">
        <v>19</v>
      </c>
      <c r="D11" s="60"/>
      <c r="E11" s="41">
        <f>Calculation!O12+Calculation!W12+Calculation!AF12</f>
        <v>6.2363636363636363</v>
      </c>
      <c r="F11" s="52">
        <v>500</v>
      </c>
      <c r="G11" s="42">
        <f>(E11*F11)</f>
        <v>3118.181818181818</v>
      </c>
    </row>
    <row r="12" spans="2:9" x14ac:dyDescent="0.25">
      <c r="B12" s="55">
        <v>2</v>
      </c>
      <c r="C12" s="60" t="s">
        <v>61</v>
      </c>
      <c r="D12" s="60"/>
      <c r="E12" s="43">
        <f>Calculation!O13+Calculation!W13</f>
        <v>12.518181818181819</v>
      </c>
      <c r="F12" s="52">
        <v>35</v>
      </c>
      <c r="G12" s="42">
        <f t="shared" ref="G12:G19" si="0">(E12*F12)</f>
        <v>438.13636363636368</v>
      </c>
    </row>
    <row r="13" spans="2:9" x14ac:dyDescent="0.25">
      <c r="B13" s="55">
        <v>3</v>
      </c>
      <c r="C13" s="60" t="s">
        <v>62</v>
      </c>
      <c r="D13" s="60"/>
      <c r="E13" s="43">
        <f>Calculation!AF13</f>
        <v>1.7499999999999998</v>
      </c>
      <c r="F13" s="52">
        <v>15</v>
      </c>
      <c r="G13" s="42">
        <f t="shared" si="0"/>
        <v>26.249999999999996</v>
      </c>
    </row>
    <row r="14" spans="2:9" x14ac:dyDescent="0.25">
      <c r="B14" s="55">
        <v>5</v>
      </c>
      <c r="C14" s="60" t="s">
        <v>63</v>
      </c>
      <c r="D14" s="60"/>
      <c r="E14" s="43">
        <f>IF(I2="Stone",(Calculation!O14+Calculation!W14),0)</f>
        <v>0</v>
      </c>
      <c r="F14" s="52">
        <v>171</v>
      </c>
      <c r="G14" s="42">
        <f t="shared" si="0"/>
        <v>0</v>
      </c>
    </row>
    <row r="15" spans="2:9" x14ac:dyDescent="0.25">
      <c r="B15" s="55">
        <v>6</v>
      </c>
      <c r="C15" s="60" t="s">
        <v>64</v>
      </c>
      <c r="D15" s="60"/>
      <c r="E15" s="43">
        <f>IF(I2="Brick",(Calculation!O14+Calculation!W14),0)</f>
        <v>25.036363636363639</v>
      </c>
      <c r="F15" s="52">
        <v>90</v>
      </c>
      <c r="G15" s="42">
        <f t="shared" si="0"/>
        <v>2253.2727272727275</v>
      </c>
    </row>
    <row r="16" spans="2:9" x14ac:dyDescent="0.25">
      <c r="B16" s="55">
        <v>7</v>
      </c>
      <c r="C16" s="79" t="s">
        <v>65</v>
      </c>
      <c r="D16" s="47">
        <f>Calculation!G11</f>
        <v>16</v>
      </c>
      <c r="E16" s="48">
        <f>Calculation!I11/1000</f>
        <v>3.7145735769895556E-2</v>
      </c>
      <c r="F16" s="52">
        <v>96000</v>
      </c>
      <c r="G16" s="42">
        <f t="shared" si="0"/>
        <v>3565.9906339099734</v>
      </c>
    </row>
    <row r="17" spans="2:7" x14ac:dyDescent="0.25">
      <c r="B17" s="55">
        <v>8</v>
      </c>
      <c r="C17" s="79"/>
      <c r="D17" s="46">
        <f>Calculation!G12</f>
        <v>20</v>
      </c>
      <c r="E17" s="48">
        <f>Calculation!I12/1000</f>
        <v>5.2695336159903079E-2</v>
      </c>
      <c r="F17" s="52">
        <v>96000</v>
      </c>
      <c r="G17" s="42">
        <f t="shared" si="0"/>
        <v>5058.752271350696</v>
      </c>
    </row>
    <row r="18" spans="2:7" x14ac:dyDescent="0.25">
      <c r="B18" s="55"/>
      <c r="C18" s="79"/>
      <c r="D18" s="46">
        <f>Calculation!G13</f>
        <v>12</v>
      </c>
      <c r="E18" s="48">
        <f>Calculation!I13/1000</f>
        <v>1.7412063642138542E-2</v>
      </c>
      <c r="F18" s="52">
        <v>96000</v>
      </c>
      <c r="G18" s="42">
        <f t="shared" si="0"/>
        <v>1671.5581096453</v>
      </c>
    </row>
    <row r="19" spans="2:7" x14ac:dyDescent="0.25">
      <c r="B19" s="55">
        <v>9</v>
      </c>
      <c r="C19" s="79"/>
      <c r="D19" s="46">
        <f>Calculation!G14</f>
        <v>16</v>
      </c>
      <c r="E19" s="48">
        <f>Calculation!I14/1000</f>
        <v>3.0321313025365268E-2</v>
      </c>
      <c r="F19" s="52">
        <v>96000</v>
      </c>
      <c r="G19" s="42">
        <f t="shared" si="0"/>
        <v>2910.8460504350655</v>
      </c>
    </row>
    <row r="20" spans="2:7" x14ac:dyDescent="0.25">
      <c r="B20" s="55">
        <v>10</v>
      </c>
      <c r="C20" s="40" t="s">
        <v>66</v>
      </c>
      <c r="D20" s="80">
        <f>Calculation!AF11</f>
        <v>72</v>
      </c>
      <c r="E20" s="81"/>
      <c r="F20" s="52">
        <v>10</v>
      </c>
      <c r="G20" s="42">
        <f>(D20*F20)</f>
        <v>720</v>
      </c>
    </row>
    <row r="21" spans="2:7" x14ac:dyDescent="0.25">
      <c r="B21" s="55"/>
      <c r="C21" s="82" t="s">
        <v>74</v>
      </c>
      <c r="D21" s="83"/>
      <c r="E21" s="49">
        <f>Calculation!E6</f>
        <v>25</v>
      </c>
      <c r="F21" s="52">
        <v>15</v>
      </c>
      <c r="G21" s="42">
        <f>(E21*F21)</f>
        <v>375</v>
      </c>
    </row>
    <row r="22" spans="2:7" x14ac:dyDescent="0.25">
      <c r="B22" s="55">
        <v>11</v>
      </c>
      <c r="C22" s="84" t="s">
        <v>75</v>
      </c>
      <c r="D22" s="84"/>
      <c r="E22" s="51">
        <f>Calculation!E7</f>
        <v>157.5</v>
      </c>
      <c r="F22" s="52">
        <v>5</v>
      </c>
      <c r="G22" s="42">
        <f>(E22*F22)</f>
        <v>787.5</v>
      </c>
    </row>
    <row r="23" spans="2:7" x14ac:dyDescent="0.25">
      <c r="B23" s="50"/>
      <c r="F23" s="39" t="s">
        <v>67</v>
      </c>
      <c r="G23" s="42">
        <f>SUM(G11:G22)</f>
        <v>20925.487974431944</v>
      </c>
    </row>
  </sheetData>
  <mergeCells count="17">
    <mergeCell ref="C16:C19"/>
    <mergeCell ref="D20:E20"/>
    <mergeCell ref="C21:D21"/>
    <mergeCell ref="C22:D22"/>
    <mergeCell ref="C11:D11"/>
    <mergeCell ref="C12:D12"/>
    <mergeCell ref="C13:D13"/>
    <mergeCell ref="C14:D14"/>
    <mergeCell ref="C15:D15"/>
    <mergeCell ref="B8:G9"/>
    <mergeCell ref="C10:D10"/>
    <mergeCell ref="B2:G2"/>
    <mergeCell ref="C3:G3"/>
    <mergeCell ref="C4:G4"/>
    <mergeCell ref="C5:G5"/>
    <mergeCell ref="C6:G6"/>
    <mergeCell ref="C7:G7"/>
  </mergeCells>
  <pageMargins left="0.7" right="0.7" top="0.75" bottom="0.75" header="0.3" footer="0.3"/>
  <pageSetup orientation="portrait" r:id="rId1"/>
  <ignoredErrors>
    <ignoredError sqref="G2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L8"/>
  <sheetViews>
    <sheetView workbookViewId="0">
      <selection activeCell="F10" sqref="F10"/>
    </sheetView>
  </sheetViews>
  <sheetFormatPr defaultRowHeight="15" x14ac:dyDescent="0.25"/>
  <cols>
    <col min="4" max="4" width="14.42578125" bestFit="1" customWidth="1"/>
  </cols>
  <sheetData>
    <row r="5" spans="4:12" x14ac:dyDescent="0.25">
      <c r="D5" t="s">
        <v>76</v>
      </c>
      <c r="E5" s="56">
        <v>4</v>
      </c>
      <c r="F5" t="s">
        <v>0</v>
      </c>
      <c r="I5" s="85" t="s">
        <v>81</v>
      </c>
      <c r="J5" s="85"/>
      <c r="K5" s="85"/>
      <c r="L5" s="57">
        <f>((L*12)-(CC*2)-(DiaofBar/25.4)+SpacingofBar)/SpacingofBar</f>
        <v>9.2740157480314966</v>
      </c>
    </row>
    <row r="6" spans="4:12" x14ac:dyDescent="0.25">
      <c r="D6" t="s">
        <v>77</v>
      </c>
      <c r="E6" s="56">
        <v>3</v>
      </c>
      <c r="F6" t="s">
        <v>11</v>
      </c>
    </row>
    <row r="7" spans="4:12" x14ac:dyDescent="0.25">
      <c r="D7" t="s">
        <v>78</v>
      </c>
      <c r="E7" s="56">
        <v>16</v>
      </c>
      <c r="F7" t="s">
        <v>79</v>
      </c>
    </row>
    <row r="8" spans="4:12" x14ac:dyDescent="0.25">
      <c r="D8" t="s">
        <v>80</v>
      </c>
      <c r="E8" s="56">
        <v>5</v>
      </c>
      <c r="F8" t="s">
        <v>11</v>
      </c>
    </row>
  </sheetData>
  <mergeCells count="1">
    <mergeCell ref="I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Video &amp; Instruction </vt:lpstr>
      <vt:lpstr>Data Sheet</vt:lpstr>
      <vt:lpstr>Calculation</vt:lpstr>
      <vt:lpstr>Estimating</vt:lpstr>
      <vt:lpstr>Calculate Nos of Bar</vt:lpstr>
      <vt:lpstr>CC</vt:lpstr>
      <vt:lpstr>DiaofBar</vt:lpstr>
      <vt:lpstr>L</vt:lpstr>
      <vt:lpstr>SpacingofBar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2024-11-01T07:53:32Z</dcterms:modified>
</cp:coreProperties>
</file>