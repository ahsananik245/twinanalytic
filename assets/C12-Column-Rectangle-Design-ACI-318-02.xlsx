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QLearnify\All Excel file\C. Building Design Excel file\"/>
    </mc:Choice>
  </mc:AlternateContent>
  <xr:revisionPtr revIDLastSave="0" documentId="13_ncr:1_{B5293170-8715-4CF0-8B89-999E28035D7E}" xr6:coauthVersionLast="47" xr6:coauthVersionMax="47" xr10:uidLastSave="{00000000-0000-0000-0000-000000000000}"/>
  <bookViews>
    <workbookView xWindow="60" yWindow="0" windowWidth="15405" windowHeight="15600" xr2:uid="{00000000-000D-0000-FFFF-FFFF00000000}"/>
  </bookViews>
  <sheets>
    <sheet name="Video &amp; Instruction " sheetId="2" r:id="rId1"/>
    <sheet name="RCD V1.1 (21-9-23)" sheetId="1" r:id="rId2"/>
  </sheets>
  <externalReferences>
    <externalReference r:id="rId3"/>
  </externalReferences>
  <definedNames>
    <definedName name="framesystem">[1]Sheet3!$B$39:$B$45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N2171" i="1"/>
  <c r="O2171" i="1" s="1"/>
  <c r="P2171" i="1" s="1"/>
  <c r="Q2171" i="1" s="1"/>
  <c r="R2171" i="1" s="1"/>
  <c r="S2171" i="1" s="1"/>
  <c r="T2171" i="1" s="1"/>
  <c r="U2171" i="1" s="1"/>
  <c r="V2171" i="1" s="1"/>
  <c r="W2171" i="1" s="1"/>
  <c r="X2171" i="1" s="1"/>
  <c r="Y2171" i="1" s="1"/>
  <c r="Z2171" i="1" s="1"/>
  <c r="AA2171" i="1" s="1"/>
  <c r="AB2171" i="1" s="1"/>
  <c r="AC2171" i="1" s="1"/>
  <c r="AD2171" i="1" s="1"/>
  <c r="N2170" i="1"/>
  <c r="O2170" i="1" s="1"/>
  <c r="P2170" i="1" s="1"/>
  <c r="Q2170" i="1" s="1"/>
  <c r="R2170" i="1" s="1"/>
  <c r="S2170" i="1" s="1"/>
  <c r="T2170" i="1" s="1"/>
  <c r="U2170" i="1" s="1"/>
  <c r="V2170" i="1" s="1"/>
  <c r="W2170" i="1" s="1"/>
  <c r="X2170" i="1" s="1"/>
  <c r="Y2170" i="1" s="1"/>
  <c r="Z2170" i="1" s="1"/>
  <c r="AA2170" i="1" s="1"/>
  <c r="AB2170" i="1" s="1"/>
  <c r="AC2170" i="1" s="1"/>
  <c r="AD2170" i="1" s="1"/>
  <c r="N2169" i="1"/>
  <c r="O2169" i="1" s="1"/>
  <c r="P2169" i="1" s="1"/>
  <c r="Q2169" i="1" s="1"/>
  <c r="R2169" i="1" s="1"/>
  <c r="S2169" i="1" s="1"/>
  <c r="T2169" i="1" s="1"/>
  <c r="U2169" i="1" s="1"/>
  <c r="V2169" i="1" s="1"/>
  <c r="W2169" i="1" s="1"/>
  <c r="X2169" i="1" s="1"/>
  <c r="Y2169" i="1" s="1"/>
  <c r="Z2169" i="1" s="1"/>
  <c r="AA2169" i="1" s="1"/>
  <c r="AB2169" i="1" s="1"/>
  <c r="AC2169" i="1" s="1"/>
  <c r="AD2169" i="1" s="1"/>
  <c r="N2168" i="1"/>
  <c r="O2168" i="1" s="1"/>
  <c r="P2168" i="1" s="1"/>
  <c r="Q2168" i="1" s="1"/>
  <c r="R2168" i="1" s="1"/>
  <c r="S2168" i="1" s="1"/>
  <c r="T2168" i="1" s="1"/>
  <c r="U2168" i="1" s="1"/>
  <c r="V2168" i="1" s="1"/>
  <c r="W2168" i="1" s="1"/>
  <c r="X2168" i="1" s="1"/>
  <c r="Y2168" i="1" s="1"/>
  <c r="Z2168" i="1" s="1"/>
  <c r="AA2168" i="1" s="1"/>
  <c r="AB2168" i="1" s="1"/>
  <c r="AC2168" i="1" s="1"/>
  <c r="AD2168" i="1" s="1"/>
  <c r="N2167" i="1"/>
  <c r="O2167" i="1" s="1"/>
  <c r="P2167" i="1" s="1"/>
  <c r="Q2167" i="1" s="1"/>
  <c r="R2167" i="1" s="1"/>
  <c r="S2167" i="1" s="1"/>
  <c r="T2167" i="1" s="1"/>
  <c r="U2167" i="1" s="1"/>
  <c r="V2167" i="1" s="1"/>
  <c r="W2167" i="1" s="1"/>
  <c r="X2167" i="1" s="1"/>
  <c r="Y2167" i="1" s="1"/>
  <c r="Z2167" i="1" s="1"/>
  <c r="AA2167" i="1" s="1"/>
  <c r="AB2167" i="1" s="1"/>
  <c r="AC2167" i="1" s="1"/>
  <c r="AD2167" i="1" s="1"/>
  <c r="N2166" i="1"/>
  <c r="O2166" i="1" s="1"/>
  <c r="P2166" i="1" s="1"/>
  <c r="Q2166" i="1" s="1"/>
  <c r="R2166" i="1" s="1"/>
  <c r="S2166" i="1" s="1"/>
  <c r="T2166" i="1" s="1"/>
  <c r="U2166" i="1" s="1"/>
  <c r="V2166" i="1" s="1"/>
  <c r="W2166" i="1" s="1"/>
  <c r="X2166" i="1" s="1"/>
  <c r="Y2166" i="1" s="1"/>
  <c r="Z2166" i="1" s="1"/>
  <c r="AA2166" i="1" s="1"/>
  <c r="AB2166" i="1" s="1"/>
  <c r="AC2166" i="1" s="1"/>
  <c r="AD2166" i="1" s="1"/>
  <c r="N2165" i="1"/>
  <c r="O2165" i="1" s="1"/>
  <c r="P2165" i="1" s="1"/>
  <c r="Q2165" i="1" s="1"/>
  <c r="R2165" i="1" s="1"/>
  <c r="S2165" i="1" s="1"/>
  <c r="T2165" i="1" s="1"/>
  <c r="U2165" i="1" s="1"/>
  <c r="V2165" i="1" s="1"/>
  <c r="W2165" i="1" s="1"/>
  <c r="X2165" i="1" s="1"/>
  <c r="Y2165" i="1" s="1"/>
  <c r="Z2165" i="1" s="1"/>
  <c r="AA2165" i="1" s="1"/>
  <c r="AB2165" i="1" s="1"/>
  <c r="AC2165" i="1" s="1"/>
  <c r="AD2165" i="1" s="1"/>
  <c r="N2164" i="1"/>
  <c r="O2164" i="1" s="1"/>
  <c r="P2164" i="1" s="1"/>
  <c r="Q2164" i="1" s="1"/>
  <c r="R2164" i="1" s="1"/>
  <c r="S2164" i="1" s="1"/>
  <c r="T2164" i="1" s="1"/>
  <c r="U2164" i="1" s="1"/>
  <c r="V2164" i="1" s="1"/>
  <c r="W2164" i="1" s="1"/>
  <c r="X2164" i="1" s="1"/>
  <c r="Y2164" i="1" s="1"/>
  <c r="Z2164" i="1" s="1"/>
  <c r="AA2164" i="1" s="1"/>
  <c r="AB2164" i="1" s="1"/>
  <c r="AC2164" i="1" s="1"/>
  <c r="AD2164" i="1" s="1"/>
  <c r="N2163" i="1"/>
  <c r="O2163" i="1" s="1"/>
  <c r="P2163" i="1" s="1"/>
  <c r="Q2163" i="1" s="1"/>
  <c r="R2163" i="1" s="1"/>
  <c r="S2163" i="1" s="1"/>
  <c r="T2163" i="1" s="1"/>
  <c r="U2163" i="1" s="1"/>
  <c r="V2163" i="1" s="1"/>
  <c r="W2163" i="1" s="1"/>
  <c r="X2163" i="1" s="1"/>
  <c r="Y2163" i="1" s="1"/>
  <c r="Z2163" i="1" s="1"/>
  <c r="AA2163" i="1" s="1"/>
  <c r="AB2163" i="1" s="1"/>
  <c r="AC2163" i="1" s="1"/>
  <c r="AD2163" i="1" s="1"/>
  <c r="N2162" i="1"/>
  <c r="O2162" i="1" s="1"/>
  <c r="P2162" i="1" s="1"/>
  <c r="Q2162" i="1" s="1"/>
  <c r="R2162" i="1" s="1"/>
  <c r="S2162" i="1" s="1"/>
  <c r="T2162" i="1" s="1"/>
  <c r="U2162" i="1" s="1"/>
  <c r="V2162" i="1" s="1"/>
  <c r="W2162" i="1" s="1"/>
  <c r="X2162" i="1" s="1"/>
  <c r="Y2162" i="1" s="1"/>
  <c r="Z2162" i="1" s="1"/>
  <c r="AA2162" i="1" s="1"/>
  <c r="AB2162" i="1" s="1"/>
  <c r="AC2162" i="1" s="1"/>
  <c r="AD2162" i="1" s="1"/>
  <c r="N2161" i="1"/>
  <c r="O2161" i="1" s="1"/>
  <c r="P2161" i="1" s="1"/>
  <c r="Q2161" i="1" s="1"/>
  <c r="R2161" i="1" s="1"/>
  <c r="S2161" i="1" s="1"/>
  <c r="T2161" i="1" s="1"/>
  <c r="U2161" i="1" s="1"/>
  <c r="V2161" i="1" s="1"/>
  <c r="W2161" i="1" s="1"/>
  <c r="X2161" i="1" s="1"/>
  <c r="Y2161" i="1" s="1"/>
  <c r="Z2161" i="1" s="1"/>
  <c r="AA2161" i="1" s="1"/>
  <c r="AB2161" i="1" s="1"/>
  <c r="AC2161" i="1" s="1"/>
  <c r="AD2161" i="1" s="1"/>
  <c r="M57" i="1"/>
  <c r="J57" i="1"/>
  <c r="D26" i="1" s="1"/>
  <c r="D36" i="1"/>
  <c r="M33" i="1"/>
  <c r="J33" i="1"/>
  <c r="D33" i="1"/>
  <c r="M35" i="1" s="1"/>
  <c r="M32" i="1"/>
  <c r="J32" i="1"/>
  <c r="M31" i="1"/>
  <c r="J31" i="1"/>
  <c r="M30" i="1"/>
  <c r="J30" i="1"/>
  <c r="B26" i="1"/>
  <c r="H19" i="1"/>
  <c r="D16" i="1"/>
  <c r="E16" i="1" s="1"/>
  <c r="D15" i="1"/>
  <c r="F14" i="1"/>
  <c r="E14" i="1"/>
  <c r="F13" i="1"/>
  <c r="E13" i="1"/>
  <c r="E12" i="1"/>
  <c r="M65" i="1" l="1"/>
  <c r="J43" i="1"/>
  <c r="J47" i="1" s="1"/>
  <c r="F26" i="1"/>
  <c r="M43" i="1"/>
  <c r="M47" i="1" s="1"/>
  <c r="C26" i="1"/>
  <c r="E26" i="1" s="1"/>
  <c r="M62" i="1"/>
  <c r="J65" i="1"/>
  <c r="J35" i="1"/>
  <c r="J62" i="1"/>
  <c r="M71" i="1" l="1"/>
  <c r="J51" i="1"/>
  <c r="M68" i="1"/>
  <c r="M51" i="1"/>
  <c r="J68" i="1"/>
  <c r="J71" i="1"/>
  <c r="M36" i="1" l="1"/>
  <c r="J37" i="1"/>
  <c r="M37" i="1"/>
  <c r="J36" i="1"/>
  <c r="K26" i="1" s="1"/>
  <c r="L26" i="1" s="1"/>
  <c r="N26" i="1" s="1"/>
  <c r="H26" i="1" l="1"/>
  <c r="G26" i="1" s="1"/>
  <c r="I26" i="1" s="1"/>
</calcChain>
</file>

<file path=xl/sharedStrings.xml><?xml version="1.0" encoding="utf-8"?>
<sst xmlns="http://schemas.openxmlformats.org/spreadsheetml/2006/main" count="126" uniqueCount="67">
  <si>
    <t>Rectangular  Concrete Column Design</t>
  </si>
  <si>
    <t>INPUT DATA</t>
  </si>
  <si>
    <r>
      <t>f '</t>
    </r>
    <r>
      <rPr>
        <vertAlign val="subscript"/>
        <sz val="12"/>
        <rFont val="Arial"/>
        <family val="2"/>
      </rPr>
      <t>c</t>
    </r>
  </si>
  <si>
    <t>=</t>
  </si>
  <si>
    <t>ksi</t>
  </si>
  <si>
    <r>
      <t>f</t>
    </r>
    <r>
      <rPr>
        <vertAlign val="subscript"/>
        <sz val="12"/>
        <rFont val="Arial"/>
        <family val="2"/>
      </rPr>
      <t>y</t>
    </r>
  </si>
  <si>
    <t>x</t>
  </si>
  <si>
    <t>in</t>
  </si>
  <si>
    <t>y</t>
  </si>
  <si>
    <t xml:space="preserve">Bar Size  </t>
  </si>
  <si>
    <t xml:space="preserve"> ==&gt;     #</t>
  </si>
  <si>
    <r>
      <t>No. of A</t>
    </r>
    <r>
      <rPr>
        <vertAlign val="subscript"/>
        <sz val="12"/>
        <rFont val="Arial"/>
        <family val="2"/>
      </rPr>
      <t xml:space="preserve">sx </t>
    </r>
  </si>
  <si>
    <r>
      <t>No. of A</t>
    </r>
    <r>
      <rPr>
        <vertAlign val="subscript"/>
        <sz val="12"/>
        <rFont val="Arial"/>
        <family val="2"/>
      </rPr>
      <t>sy</t>
    </r>
  </si>
  <si>
    <t>Total Bars</t>
  </si>
  <si>
    <t>r</t>
  </si>
  <si>
    <r>
      <t>P</t>
    </r>
    <r>
      <rPr>
        <b/>
        <vertAlign val="subscript"/>
        <sz val="12"/>
        <rFont val="Arial"/>
        <family val="2"/>
      </rPr>
      <t>u</t>
    </r>
  </si>
  <si>
    <t>k</t>
  </si>
  <si>
    <r>
      <t>M</t>
    </r>
    <r>
      <rPr>
        <b/>
        <vertAlign val="subscript"/>
        <sz val="12"/>
        <rFont val="Arial"/>
        <family val="2"/>
      </rPr>
      <t>ux</t>
    </r>
  </si>
  <si>
    <t>ft-k</t>
  </si>
  <si>
    <r>
      <t>e</t>
    </r>
    <r>
      <rPr>
        <vertAlign val="subscript"/>
        <sz val="12"/>
        <rFont val="Arial"/>
        <family val="2"/>
      </rPr>
      <t>x</t>
    </r>
  </si>
  <si>
    <r>
      <t>M</t>
    </r>
    <r>
      <rPr>
        <b/>
        <vertAlign val="subscript"/>
        <sz val="12"/>
        <rFont val="Arial"/>
        <family val="2"/>
      </rPr>
      <t>uy</t>
    </r>
  </si>
  <si>
    <r>
      <t>e</t>
    </r>
    <r>
      <rPr>
        <vertAlign val="subscript"/>
        <sz val="12"/>
        <rFont val="Arial"/>
        <family val="2"/>
      </rPr>
      <t>y</t>
    </r>
  </si>
  <si>
    <t>CHECK COLUMN CAPACITY BY THE BRESLER METHOD</t>
  </si>
  <si>
    <t>ANALYSIS</t>
  </si>
  <si>
    <t xml:space="preserve">   x DIRECTION</t>
  </si>
  <si>
    <t xml:space="preserve">   y DIRECTION</t>
  </si>
  <si>
    <t>d</t>
  </si>
  <si>
    <t>d'</t>
  </si>
  <si>
    <r>
      <t>A</t>
    </r>
    <r>
      <rPr>
        <vertAlign val="subscript"/>
        <sz val="12"/>
        <rFont val="Arial"/>
        <family val="2"/>
      </rPr>
      <t>s</t>
    </r>
  </si>
  <si>
    <r>
      <t>in</t>
    </r>
    <r>
      <rPr>
        <vertAlign val="superscript"/>
        <sz val="12"/>
        <rFont val="Arial"/>
        <family val="2"/>
      </rPr>
      <t>2</t>
    </r>
  </si>
  <si>
    <t>b</t>
  </si>
  <si>
    <r>
      <t>M</t>
    </r>
    <r>
      <rPr>
        <vertAlign val="subscript"/>
        <sz val="12"/>
        <rFont val="Arial"/>
        <family val="2"/>
      </rPr>
      <t>n</t>
    </r>
  </si>
  <si>
    <r>
      <t>M</t>
    </r>
    <r>
      <rPr>
        <vertAlign val="subscript"/>
        <sz val="12"/>
        <rFont val="Arial"/>
        <family val="2"/>
      </rPr>
      <t>no</t>
    </r>
  </si>
  <si>
    <r>
      <t>P</t>
    </r>
    <r>
      <rPr>
        <vertAlign val="subscript"/>
        <sz val="12"/>
        <rFont val="Arial"/>
        <family val="2"/>
      </rPr>
      <t>o</t>
    </r>
  </si>
  <si>
    <t>MOMENT STRENGTH (Pn=0)</t>
  </si>
  <si>
    <t>psi</t>
  </si>
  <si>
    <t>AXIAL LOAD STRENGTH (Mn=0)</t>
  </si>
  <si>
    <t>BALANCED CONDITION</t>
  </si>
  <si>
    <t xml:space="preserve">     R E B A R   D A T A</t>
  </si>
  <si>
    <t>MINIMUM SECTION WIDTHS</t>
  </si>
  <si>
    <t xml:space="preserve">BAR </t>
  </si>
  <si>
    <t>DIA</t>
  </si>
  <si>
    <t>As</t>
  </si>
  <si>
    <t>NUMBER BARS</t>
  </si>
  <si>
    <t>#</t>
  </si>
  <si>
    <t>sq in</t>
  </si>
  <si>
    <t>By Engr Hedaetullah &amp; Nj Disha</t>
  </si>
  <si>
    <r>
      <t xml:space="preserve">This is the product of </t>
    </r>
    <r>
      <rPr>
        <b/>
        <sz val="26"/>
        <color rgb="FFFF0000"/>
        <rFont val="Calibri"/>
        <family val="2"/>
        <scheme val="minor"/>
      </rPr>
      <t>qLearnify</t>
    </r>
  </si>
  <si>
    <t>www.qlearnify.com</t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</si>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</sst>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%"/>
    <numFmt numFmtId="166" formatCode="0.0"/>
    <numFmt numFmtId="167" formatCode="0.000"/>
    <numFmt numFmtId="168" formatCode="0.0000"/>
  </numFmts>
  <fonts count="2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name val="Arial"/>
      <family val="2"/>
    </font>
    <font>
      <vertAlign val="subscript"/>
      <sz val="12"/>
      <name val="Arial"/>
      <family val="2"/>
    </font>
    <font>
      <sz val="12"/>
      <color indexed="10"/>
      <name val="Arial"/>
      <family val="2"/>
    </font>
    <font>
      <sz val="12"/>
      <name val="GreekC"/>
    </font>
    <font>
      <b/>
      <vertAlign val="subscript"/>
      <sz val="12"/>
      <name val="Arial"/>
      <family val="2"/>
    </font>
    <font>
      <b/>
      <sz val="12"/>
      <color indexed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vertAlign val="superscript"/>
      <sz val="12"/>
      <name val="Arial"/>
      <family val="2"/>
    </font>
    <font>
      <u/>
      <sz val="12"/>
      <name val="Arial"/>
      <family val="2"/>
    </font>
    <font>
      <b/>
      <sz val="12"/>
      <color indexed="16"/>
      <name val="Arial"/>
      <family val="2"/>
    </font>
    <font>
      <sz val="12"/>
      <color indexed="16"/>
      <name val="Arial"/>
      <family val="2"/>
    </font>
    <font>
      <b/>
      <sz val="18"/>
      <name val="Arial"/>
      <family val="2"/>
    </font>
    <font>
      <b/>
      <sz val="26"/>
      <color rgb="FF00B05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2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>
      <protection hidden="1"/>
    </xf>
    <xf numFmtId="0" fontId="2" fillId="0" borderId="0"/>
    <xf numFmtId="0" fontId="2" fillId="0" borderId="0"/>
  </cellStyleXfs>
  <cellXfs count="121">
    <xf numFmtId="0" fontId="0" fillId="0" borderId="0" xfId="0"/>
    <xf numFmtId="0" fontId="4" fillId="2" borderId="4" xfId="3" applyFont="1" applyFill="1" applyBorder="1" applyAlignment="1" applyProtection="1">
      <alignment horizontal="center"/>
      <protection hidden="1"/>
    </xf>
    <xf numFmtId="0" fontId="4" fillId="2" borderId="0" xfId="3" applyFont="1" applyFill="1" applyAlignment="1" applyProtection="1">
      <alignment horizontal="center"/>
      <protection hidden="1"/>
    </xf>
    <xf numFmtId="0" fontId="4" fillId="2" borderId="0" xfId="3" applyFont="1" applyFill="1" applyProtection="1">
      <protection hidden="1"/>
    </xf>
    <xf numFmtId="0" fontId="4" fillId="2" borderId="5" xfId="3" applyFont="1" applyFill="1" applyBorder="1" applyAlignment="1" applyProtection="1">
      <alignment horizontal="left"/>
      <protection hidden="1"/>
    </xf>
    <xf numFmtId="0" fontId="3" fillId="2" borderId="4" xfId="3" applyFont="1" applyFill="1" applyBorder="1" applyAlignment="1" applyProtection="1">
      <alignment horizontal="left"/>
      <protection hidden="1"/>
    </xf>
    <xf numFmtId="0" fontId="6" fillId="2" borderId="0" xfId="3" applyFont="1" applyFill="1" applyProtection="1">
      <protection hidden="1"/>
    </xf>
    <xf numFmtId="0" fontId="3" fillId="2" borderId="0" xfId="3" applyFont="1" applyFill="1" applyProtection="1">
      <protection hidden="1"/>
    </xf>
    <xf numFmtId="0" fontId="3" fillId="2" borderId="0" xfId="3" applyFont="1" applyFill="1" applyAlignment="1" applyProtection="1">
      <alignment horizontal="center"/>
      <protection hidden="1"/>
    </xf>
    <xf numFmtId="0" fontId="3" fillId="2" borderId="5" xfId="3" applyFont="1" applyFill="1" applyBorder="1" applyAlignment="1" applyProtection="1">
      <alignment horizontal="center"/>
      <protection hidden="1"/>
    </xf>
    <xf numFmtId="164" fontId="3" fillId="2" borderId="4" xfId="3" applyNumberFormat="1" applyFont="1" applyFill="1" applyBorder="1" applyAlignment="1" applyProtection="1">
      <alignment horizontal="center"/>
      <protection hidden="1"/>
    </xf>
    <xf numFmtId="0" fontId="4" fillId="3" borderId="0" xfId="2" applyFont="1" applyFill="1" applyAlignment="1" applyProtection="1">
      <alignment horizontal="center"/>
      <protection locked="0"/>
    </xf>
    <xf numFmtId="0" fontId="4" fillId="2" borderId="0" xfId="3" applyFont="1" applyFill="1" applyAlignment="1" applyProtection="1">
      <alignment horizontal="left"/>
      <protection hidden="1"/>
    </xf>
    <xf numFmtId="164" fontId="3" fillId="2" borderId="0" xfId="3" applyNumberFormat="1" applyFont="1" applyFill="1" applyAlignment="1" applyProtection="1">
      <alignment horizontal="center"/>
      <protection hidden="1"/>
    </xf>
    <xf numFmtId="164" fontId="3" fillId="2" borderId="5" xfId="3" applyNumberFormat="1" applyFont="1" applyFill="1" applyBorder="1" applyAlignment="1" applyProtection="1">
      <alignment horizontal="center"/>
      <protection hidden="1"/>
    </xf>
    <xf numFmtId="0" fontId="8" fillId="2" borderId="0" xfId="3" applyFont="1" applyFill="1" applyProtection="1">
      <protection hidden="1"/>
    </xf>
    <xf numFmtId="0" fontId="3" fillId="2" borderId="0" xfId="3" applyFont="1" applyFill="1" applyAlignment="1" applyProtection="1">
      <alignment horizontal="right"/>
      <protection hidden="1"/>
    </xf>
    <xf numFmtId="0" fontId="5" fillId="2" borderId="0" xfId="3" applyFont="1" applyFill="1" applyAlignment="1" applyProtection="1">
      <alignment horizontal="center"/>
      <protection hidden="1"/>
    </xf>
    <xf numFmtId="0" fontId="3" fillId="2" borderId="0" xfId="3" quotePrefix="1" applyFont="1" applyFill="1" applyAlignment="1" applyProtection="1">
      <alignment horizontal="center"/>
      <protection hidden="1"/>
    </xf>
    <xf numFmtId="0" fontId="9" fillId="2" borderId="0" xfId="3" applyFont="1" applyFill="1" applyAlignment="1" applyProtection="1">
      <alignment horizontal="center"/>
      <protection hidden="1"/>
    </xf>
    <xf numFmtId="165" fontId="3" fillId="2" borderId="0" xfId="3" applyNumberFormat="1" applyFont="1" applyFill="1" applyAlignment="1" applyProtection="1">
      <alignment horizontal="center"/>
      <protection hidden="1"/>
    </xf>
    <xf numFmtId="164" fontId="5" fillId="2" borderId="0" xfId="3" applyNumberFormat="1" applyFont="1" applyFill="1" applyAlignment="1" applyProtection="1">
      <alignment horizontal="center"/>
      <protection hidden="1"/>
    </xf>
    <xf numFmtId="166" fontId="3" fillId="2" borderId="0" xfId="3" applyNumberFormat="1" applyFont="1" applyFill="1" applyAlignment="1" applyProtection="1">
      <alignment horizontal="center"/>
      <protection hidden="1"/>
    </xf>
    <xf numFmtId="167" fontId="5" fillId="2" borderId="0" xfId="3" applyNumberFormat="1" applyFont="1" applyFill="1" applyAlignment="1" applyProtection="1">
      <alignment horizontal="center"/>
      <protection hidden="1"/>
    </xf>
    <xf numFmtId="164" fontId="3" fillId="2" borderId="12" xfId="3" applyNumberFormat="1" applyFont="1" applyFill="1" applyBorder="1" applyAlignment="1" applyProtection="1">
      <alignment horizontal="center"/>
      <protection hidden="1"/>
    </xf>
    <xf numFmtId="168" fontId="6" fillId="2" borderId="13" xfId="3" applyNumberFormat="1" applyFont="1" applyFill="1" applyBorder="1" applyProtection="1">
      <protection hidden="1"/>
    </xf>
    <xf numFmtId="168" fontId="3" fillId="2" borderId="13" xfId="3" applyNumberFormat="1" applyFont="1" applyFill="1" applyBorder="1" applyProtection="1">
      <protection hidden="1"/>
    </xf>
    <xf numFmtId="0" fontId="3" fillId="2" borderId="13" xfId="3" applyFont="1" applyFill="1" applyBorder="1" applyProtection="1">
      <protection hidden="1"/>
    </xf>
    <xf numFmtId="1" fontId="5" fillId="2" borderId="13" xfId="3" applyNumberFormat="1" applyFont="1" applyFill="1" applyBorder="1" applyAlignment="1" applyProtection="1">
      <alignment horizontal="center"/>
      <protection hidden="1"/>
    </xf>
    <xf numFmtId="164" fontId="5" fillId="2" borderId="13" xfId="3" applyNumberFormat="1" applyFont="1" applyFill="1" applyBorder="1" applyAlignment="1" applyProtection="1">
      <alignment horizontal="center"/>
      <protection hidden="1"/>
    </xf>
    <xf numFmtId="164" fontId="3" fillId="2" borderId="13" xfId="3" applyNumberFormat="1" applyFont="1" applyFill="1" applyBorder="1" applyAlignment="1" applyProtection="1">
      <alignment horizontal="center"/>
      <protection hidden="1"/>
    </xf>
    <xf numFmtId="167" fontId="5" fillId="2" borderId="14" xfId="3" applyNumberFormat="1" applyFont="1" applyFill="1" applyBorder="1" applyAlignment="1" applyProtection="1">
      <alignment horizontal="center"/>
      <protection hidden="1"/>
    </xf>
    <xf numFmtId="167" fontId="5" fillId="2" borderId="5" xfId="3" applyNumberFormat="1" applyFont="1" applyFill="1" applyBorder="1" applyAlignment="1" applyProtection="1">
      <alignment horizontal="center"/>
      <protection hidden="1"/>
    </xf>
    <xf numFmtId="2" fontId="3" fillId="2" borderId="0" xfId="3" applyNumberFormat="1" applyFont="1" applyFill="1" applyAlignment="1" applyProtection="1">
      <alignment horizontal="center"/>
      <protection hidden="1"/>
    </xf>
    <xf numFmtId="166" fontId="3" fillId="2" borderId="0" xfId="3" applyNumberFormat="1" applyFont="1" applyFill="1" applyProtection="1">
      <protection hidden="1"/>
    </xf>
    <xf numFmtId="0" fontId="11" fillId="2" borderId="0" xfId="3" applyFont="1" applyFill="1" applyAlignment="1" applyProtection="1">
      <alignment horizontal="left"/>
      <protection hidden="1"/>
    </xf>
    <xf numFmtId="167" fontId="3" fillId="2" borderId="0" xfId="3" applyNumberFormat="1" applyFont="1" applyFill="1" applyProtection="1">
      <protection hidden="1"/>
    </xf>
    <xf numFmtId="0" fontId="11" fillId="2" borderId="5" xfId="3" applyFont="1" applyFill="1" applyBorder="1" applyAlignment="1" applyProtection="1">
      <alignment horizontal="left"/>
      <protection hidden="1"/>
    </xf>
    <xf numFmtId="0" fontId="6" fillId="2" borderId="13" xfId="3" applyFont="1" applyFill="1" applyBorder="1" applyProtection="1">
      <protection hidden="1"/>
    </xf>
    <xf numFmtId="164" fontId="3" fillId="2" borderId="14" xfId="3" applyNumberFormat="1" applyFont="1" applyFill="1" applyBorder="1" applyAlignment="1" applyProtection="1">
      <alignment horizontal="center"/>
      <protection hidden="1"/>
    </xf>
    <xf numFmtId="167" fontId="3" fillId="2" borderId="0" xfId="3" applyNumberFormat="1" applyFont="1" applyFill="1" applyAlignment="1" applyProtection="1">
      <alignment horizontal="center"/>
      <protection hidden="1"/>
    </xf>
    <xf numFmtId="164" fontId="13" fillId="2" borderId="0" xfId="3" applyNumberFormat="1" applyFont="1" applyFill="1" applyAlignment="1" applyProtection="1">
      <alignment horizontal="center"/>
      <protection hidden="1"/>
    </xf>
    <xf numFmtId="0" fontId="15" fillId="2" borderId="0" xfId="3" applyFont="1" applyFill="1" applyProtection="1">
      <protection hidden="1"/>
    </xf>
    <xf numFmtId="164" fontId="3" fillId="2" borderId="0" xfId="3" applyNumberFormat="1" applyFont="1" applyFill="1" applyAlignment="1" applyProtection="1">
      <alignment horizontal="left"/>
      <protection hidden="1"/>
    </xf>
    <xf numFmtId="0" fontId="3" fillId="2" borderId="4" xfId="3" applyFont="1" applyFill="1" applyBorder="1" applyProtection="1">
      <protection hidden="1"/>
    </xf>
    <xf numFmtId="0" fontId="3" fillId="2" borderId="5" xfId="3" applyFont="1" applyFill="1" applyBorder="1" applyProtection="1">
      <protection hidden="1"/>
    </xf>
    <xf numFmtId="164" fontId="3" fillId="2" borderId="6" xfId="3" applyNumberFormat="1" applyFont="1" applyFill="1" applyBorder="1" applyAlignment="1" applyProtection="1">
      <alignment horizontal="center"/>
      <protection hidden="1"/>
    </xf>
    <xf numFmtId="0" fontId="3" fillId="2" borderId="7" xfId="3" applyFont="1" applyFill="1" applyBorder="1" applyProtection="1">
      <protection hidden="1"/>
    </xf>
    <xf numFmtId="164" fontId="3" fillId="2" borderId="8" xfId="3" applyNumberFormat="1" applyFont="1" applyFill="1" applyBorder="1" applyAlignment="1" applyProtection="1">
      <alignment horizontal="center"/>
      <protection hidden="1"/>
    </xf>
    <xf numFmtId="0" fontId="3" fillId="9" borderId="0" xfId="3" applyFont="1" applyFill="1" applyProtection="1">
      <protection hidden="1"/>
    </xf>
    <xf numFmtId="2" fontId="4" fillId="9" borderId="0" xfId="3" applyNumberFormat="1" applyFont="1" applyFill="1" applyAlignment="1" applyProtection="1">
      <alignment horizontal="center"/>
      <protection hidden="1"/>
    </xf>
    <xf numFmtId="166" fontId="4" fillId="9" borderId="0" xfId="3" applyNumberFormat="1" applyFont="1" applyFill="1" applyAlignment="1" applyProtection="1">
      <alignment horizontal="center"/>
      <protection hidden="1"/>
    </xf>
    <xf numFmtId="164" fontId="3" fillId="9" borderId="0" xfId="3" applyNumberFormat="1" applyFont="1" applyFill="1" applyAlignment="1" applyProtection="1">
      <alignment horizontal="center"/>
      <protection hidden="1"/>
    </xf>
    <xf numFmtId="164" fontId="5" fillId="9" borderId="0" xfId="3" applyNumberFormat="1" applyFont="1" applyFill="1" applyProtection="1">
      <protection hidden="1"/>
    </xf>
    <xf numFmtId="2" fontId="3" fillId="9" borderId="0" xfId="3" applyNumberFormat="1" applyFont="1" applyFill="1" applyAlignment="1" applyProtection="1">
      <alignment horizontal="center"/>
      <protection hidden="1"/>
    </xf>
    <xf numFmtId="164" fontId="3" fillId="9" borderId="5" xfId="3" applyNumberFormat="1" applyFont="1" applyFill="1" applyBorder="1" applyProtection="1">
      <protection hidden="1"/>
    </xf>
    <xf numFmtId="0" fontId="3" fillId="9" borderId="5" xfId="3" applyFont="1" applyFill="1" applyBorder="1" applyProtection="1">
      <protection hidden="1"/>
    </xf>
    <xf numFmtId="164" fontId="3" fillId="9" borderId="5" xfId="3" applyNumberFormat="1" applyFont="1" applyFill="1" applyBorder="1" applyAlignment="1" applyProtection="1">
      <alignment horizontal="center"/>
      <protection hidden="1"/>
    </xf>
    <xf numFmtId="164" fontId="3" fillId="9" borderId="5" xfId="3" applyNumberFormat="1" applyFont="1" applyFill="1" applyBorder="1" applyAlignment="1" applyProtection="1">
      <alignment horizontal="left"/>
      <protection hidden="1"/>
    </xf>
    <xf numFmtId="0" fontId="0" fillId="0" borderId="0" xfId="0" applyProtection="1">
      <protection hidden="1"/>
    </xf>
    <xf numFmtId="0" fontId="3" fillId="0" borderId="0" xfId="3" applyFont="1" applyProtection="1">
      <protection hidden="1"/>
    </xf>
    <xf numFmtId="164" fontId="3" fillId="0" borderId="0" xfId="3" applyNumberFormat="1" applyFont="1" applyAlignment="1" applyProtection="1">
      <alignment horizontal="center"/>
      <protection hidden="1"/>
    </xf>
    <xf numFmtId="0" fontId="4" fillId="0" borderId="0" xfId="3" applyFont="1" applyAlignment="1" applyProtection="1">
      <alignment horizontal="left"/>
      <protection hidden="1"/>
    </xf>
    <xf numFmtId="0" fontId="5" fillId="0" borderId="0" xfId="4" applyFont="1" applyAlignment="1" applyProtection="1">
      <alignment horizontal="left"/>
      <protection hidden="1"/>
    </xf>
    <xf numFmtId="0" fontId="16" fillId="5" borderId="1" xfId="3" applyFont="1" applyFill="1" applyBorder="1" applyProtection="1">
      <protection hidden="1"/>
    </xf>
    <xf numFmtId="0" fontId="17" fillId="5" borderId="2" xfId="3" applyFont="1" applyFill="1" applyBorder="1" applyProtection="1">
      <protection hidden="1"/>
    </xf>
    <xf numFmtId="0" fontId="17" fillId="5" borderId="3" xfId="3" applyFont="1" applyFill="1" applyBorder="1" applyProtection="1">
      <protection hidden="1"/>
    </xf>
    <xf numFmtId="0" fontId="17" fillId="6" borderId="18" xfId="3" applyFont="1" applyFill="1" applyBorder="1" applyAlignment="1" applyProtection="1">
      <alignment horizontal="center"/>
      <protection hidden="1"/>
    </xf>
    <xf numFmtId="0" fontId="17" fillId="6" borderId="19" xfId="3" applyFont="1" applyFill="1" applyBorder="1" applyAlignment="1" applyProtection="1">
      <alignment horizontal="center"/>
      <protection hidden="1"/>
    </xf>
    <xf numFmtId="0" fontId="17" fillId="6" borderId="20" xfId="3" applyFont="1" applyFill="1" applyBorder="1" applyAlignment="1" applyProtection="1">
      <alignment horizontal="center"/>
      <protection hidden="1"/>
    </xf>
    <xf numFmtId="166" fontId="17" fillId="6" borderId="21" xfId="3" applyNumberFormat="1" applyFont="1" applyFill="1" applyBorder="1" applyAlignment="1" applyProtection="1">
      <alignment horizontal="center"/>
      <protection hidden="1"/>
    </xf>
    <xf numFmtId="0" fontId="17" fillId="6" borderId="6" xfId="3" applyFont="1" applyFill="1" applyBorder="1" applyAlignment="1" applyProtection="1">
      <alignment horizontal="center"/>
      <protection hidden="1"/>
    </xf>
    <xf numFmtId="0" fontId="17" fillId="6" borderId="23" xfId="3" applyFont="1" applyFill="1" applyBorder="1" applyAlignment="1" applyProtection="1">
      <alignment horizontal="center"/>
      <protection hidden="1"/>
    </xf>
    <xf numFmtId="0" fontId="17" fillId="6" borderId="8" xfId="3" applyFont="1" applyFill="1" applyBorder="1" applyAlignment="1" applyProtection="1">
      <alignment horizontal="center"/>
      <protection hidden="1"/>
    </xf>
    <xf numFmtId="1" fontId="8" fillId="0" borderId="19" xfId="3" applyNumberFormat="1" applyFont="1" applyBorder="1" applyAlignment="1" applyProtection="1">
      <alignment horizontal="center"/>
      <protection hidden="1"/>
    </xf>
    <xf numFmtId="1" fontId="8" fillId="0" borderId="22" xfId="3" applyNumberFormat="1" applyFont="1" applyBorder="1" applyAlignment="1" applyProtection="1">
      <alignment horizontal="center"/>
      <protection hidden="1"/>
    </xf>
    <xf numFmtId="0" fontId="3" fillId="0" borderId="1" xfId="3" applyFont="1" applyBorder="1" applyAlignment="1" applyProtection="1">
      <alignment horizontal="center"/>
      <protection hidden="1"/>
    </xf>
    <xf numFmtId="167" fontId="3" fillId="0" borderId="24" xfId="3" applyNumberFormat="1" applyFont="1" applyBorder="1" applyAlignment="1" applyProtection="1">
      <alignment horizontal="center"/>
      <protection hidden="1"/>
    </xf>
    <xf numFmtId="167" fontId="3" fillId="0" borderId="3" xfId="3" applyNumberFormat="1" applyFont="1" applyBorder="1" applyAlignment="1" applyProtection="1">
      <alignment horizontal="center"/>
      <protection hidden="1"/>
    </xf>
    <xf numFmtId="1" fontId="3" fillId="7" borderId="21" xfId="3" applyNumberFormat="1" applyFont="1" applyFill="1" applyBorder="1" applyAlignment="1" applyProtection="1">
      <alignment horizontal="center"/>
      <protection hidden="1"/>
    </xf>
    <xf numFmtId="166" fontId="3" fillId="7" borderId="19" xfId="3" applyNumberFormat="1" applyFont="1" applyFill="1" applyBorder="1" applyAlignment="1" applyProtection="1">
      <alignment horizontal="center"/>
      <protection hidden="1"/>
    </xf>
    <xf numFmtId="166" fontId="3" fillId="0" borderId="19" xfId="3" applyNumberFormat="1" applyFont="1" applyBorder="1" applyProtection="1">
      <protection hidden="1"/>
    </xf>
    <xf numFmtId="166" fontId="3" fillId="0" borderId="22" xfId="3" applyNumberFormat="1" applyFont="1" applyBorder="1" applyProtection="1">
      <protection hidden="1"/>
    </xf>
    <xf numFmtId="0" fontId="3" fillId="7" borderId="4" xfId="3" applyFont="1" applyFill="1" applyBorder="1" applyAlignment="1" applyProtection="1">
      <alignment horizontal="center"/>
      <protection hidden="1"/>
    </xf>
    <xf numFmtId="167" fontId="3" fillId="7" borderId="25" xfId="3" applyNumberFormat="1" applyFont="1" applyFill="1" applyBorder="1" applyAlignment="1" applyProtection="1">
      <alignment horizontal="center"/>
      <protection hidden="1"/>
    </xf>
    <xf numFmtId="167" fontId="3" fillId="7" borderId="5" xfId="3" applyNumberFormat="1" applyFont="1" applyFill="1" applyBorder="1" applyAlignment="1" applyProtection="1">
      <alignment horizontal="center"/>
      <protection hidden="1"/>
    </xf>
    <xf numFmtId="1" fontId="3" fillId="0" borderId="21" xfId="3" applyNumberFormat="1" applyFont="1" applyBorder="1" applyAlignment="1" applyProtection="1">
      <alignment horizontal="center"/>
      <protection hidden="1"/>
    </xf>
    <xf numFmtId="166" fontId="3" fillId="0" borderId="19" xfId="3" applyNumberFormat="1" applyFont="1" applyBorder="1" applyAlignment="1" applyProtection="1">
      <alignment horizontal="center"/>
      <protection hidden="1"/>
    </xf>
    <xf numFmtId="0" fontId="3" fillId="0" borderId="4" xfId="3" applyFont="1" applyBorder="1" applyAlignment="1" applyProtection="1">
      <alignment horizontal="center"/>
      <protection hidden="1"/>
    </xf>
    <xf numFmtId="167" fontId="3" fillId="0" borderId="25" xfId="3" applyNumberFormat="1" applyFont="1" applyBorder="1" applyAlignment="1" applyProtection="1">
      <alignment horizontal="center"/>
      <protection hidden="1"/>
    </xf>
    <xf numFmtId="167" fontId="3" fillId="0" borderId="5" xfId="3" applyNumberFormat="1" applyFont="1" applyBorder="1" applyAlignment="1" applyProtection="1">
      <alignment horizontal="center"/>
      <protection hidden="1"/>
    </xf>
    <xf numFmtId="1" fontId="3" fillId="0" borderId="26" xfId="3" applyNumberFormat="1" applyFont="1" applyBorder="1" applyAlignment="1" applyProtection="1">
      <alignment horizontal="center"/>
      <protection hidden="1"/>
    </xf>
    <xf numFmtId="166" fontId="3" fillId="0" borderId="27" xfId="3" applyNumberFormat="1" applyFont="1" applyBorder="1" applyAlignment="1" applyProtection="1">
      <alignment horizontal="center"/>
      <protection hidden="1"/>
    </xf>
    <xf numFmtId="166" fontId="3" fillId="0" borderId="27" xfId="3" applyNumberFormat="1" applyFont="1" applyBorder="1" applyProtection="1">
      <protection hidden="1"/>
    </xf>
    <xf numFmtId="166" fontId="3" fillId="0" borderId="28" xfId="3" applyNumberFormat="1" applyFont="1" applyBorder="1" applyProtection="1">
      <protection hidden="1"/>
    </xf>
    <xf numFmtId="0" fontId="3" fillId="0" borderId="6" xfId="3" applyFont="1" applyBorder="1" applyAlignment="1" applyProtection="1">
      <alignment horizontal="center"/>
      <protection hidden="1"/>
    </xf>
    <xf numFmtId="167" fontId="3" fillId="0" borderId="23" xfId="3" applyNumberFormat="1" applyFont="1" applyBorder="1" applyAlignment="1" applyProtection="1">
      <alignment horizontal="center"/>
      <protection hidden="1"/>
    </xf>
    <xf numFmtId="167" fontId="3" fillId="0" borderId="8" xfId="3" applyNumberFormat="1" applyFont="1" applyBorder="1" applyAlignment="1" applyProtection="1">
      <alignment horizontal="center"/>
      <protection hidden="1"/>
    </xf>
    <xf numFmtId="166" fontId="16" fillId="5" borderId="15" xfId="3" applyNumberFormat="1" applyFont="1" applyFill="1" applyBorder="1" applyProtection="1">
      <protection hidden="1"/>
    </xf>
    <xf numFmtId="166" fontId="2" fillId="0" borderId="16" xfId="3" applyNumberFormat="1" applyBorder="1" applyProtection="1">
      <protection hidden="1"/>
    </xf>
    <xf numFmtId="0" fontId="2" fillId="0" borderId="16" xfId="3" applyBorder="1" applyProtection="1">
      <protection hidden="1"/>
    </xf>
    <xf numFmtId="0" fontId="2" fillId="0" borderId="17" xfId="3" applyBorder="1" applyProtection="1">
      <protection hidden="1"/>
    </xf>
    <xf numFmtId="166" fontId="17" fillId="6" borderId="19" xfId="3" applyNumberFormat="1" applyFont="1" applyFill="1" applyBorder="1" applyAlignment="1" applyProtection="1">
      <alignment horizontal="left"/>
      <protection hidden="1"/>
    </xf>
    <xf numFmtId="166" fontId="2" fillId="0" borderId="19" xfId="3" applyNumberFormat="1" applyBorder="1" applyAlignment="1" applyProtection="1">
      <alignment horizontal="left"/>
      <protection hidden="1"/>
    </xf>
    <xf numFmtId="0" fontId="2" fillId="0" borderId="19" xfId="3" applyBorder="1" applyAlignment="1" applyProtection="1">
      <alignment horizontal="left"/>
      <protection hidden="1"/>
    </xf>
    <xf numFmtId="0" fontId="2" fillId="0" borderId="22" xfId="3" applyBorder="1" applyAlignment="1" applyProtection="1">
      <alignment horizontal="left"/>
      <protection hidden="1"/>
    </xf>
    <xf numFmtId="0" fontId="18" fillId="4" borderId="9" xfId="2" applyFont="1" applyFill="1" applyBorder="1" applyAlignment="1">
      <alignment horizontal="center"/>
      <protection hidden="1"/>
    </xf>
    <xf numFmtId="0" fontId="18" fillId="4" borderId="10" xfId="2" applyFont="1" applyFill="1" applyBorder="1" applyAlignment="1">
      <alignment horizontal="center"/>
      <protection hidden="1"/>
    </xf>
    <xf numFmtId="0" fontId="18" fillId="4" borderId="11" xfId="2" applyFont="1" applyFill="1" applyBorder="1" applyAlignment="1">
      <alignment horizontal="center"/>
      <protection hidden="1"/>
    </xf>
    <xf numFmtId="0" fontId="19" fillId="8" borderId="0" xfId="0" applyFont="1" applyFill="1" applyAlignment="1" applyProtection="1">
      <alignment horizontal="center"/>
      <protection hidden="1"/>
    </xf>
    <xf numFmtId="0" fontId="20" fillId="8" borderId="0" xfId="0" applyFont="1" applyFill="1" applyAlignment="1" applyProtection="1">
      <alignment horizontal="center"/>
      <protection hidden="1"/>
    </xf>
    <xf numFmtId="164" fontId="12" fillId="8" borderId="0" xfId="3" applyNumberFormat="1" applyFont="1" applyFill="1" applyAlignment="1" applyProtection="1">
      <alignment horizontal="left"/>
      <protection hidden="1"/>
    </xf>
    <xf numFmtId="0" fontId="2" fillId="8" borderId="0" xfId="3" applyFill="1" applyAlignment="1" applyProtection="1">
      <alignment horizontal="left"/>
      <protection hidden="1"/>
    </xf>
    <xf numFmtId="0" fontId="2" fillId="8" borderId="5" xfId="3" applyFill="1" applyBorder="1" applyAlignment="1" applyProtection="1">
      <alignment horizontal="left"/>
      <protection hidden="1"/>
    </xf>
    <xf numFmtId="0" fontId="22" fillId="10" borderId="0" xfId="1" applyFont="1" applyFill="1" applyAlignment="1" applyProtection="1">
      <alignment horizontal="center" vertical="center"/>
      <protection hidden="1"/>
    </xf>
    <xf numFmtId="0" fontId="12" fillId="10" borderId="0" xfId="3" applyFont="1" applyFill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right"/>
      <protection hidden="1"/>
    </xf>
    <xf numFmtId="0" fontId="1" fillId="0" borderId="0" xfId="1" applyAlignment="1" applyProtection="1">
      <alignment horizontal="left"/>
      <protection hidden="1"/>
    </xf>
    <xf numFmtId="0" fontId="24" fillId="0" borderId="0" xfId="0" applyFont="1" applyAlignment="1" applyProtection="1">
      <alignment horizontal="center" vertical="center" wrapText="1"/>
      <protection hidden="1"/>
    </xf>
    <xf numFmtId="0" fontId="25" fillId="0" borderId="0" xfId="0" applyFont="1" applyProtection="1">
      <protection hidden="1"/>
    </xf>
  </cellXfs>
  <cellStyles count="5">
    <cellStyle name="Hyperlink" xfId="1" builtinId="8"/>
    <cellStyle name="Normal" xfId="0" builtinId="0"/>
    <cellStyle name="Normal_COLUMN" xfId="2" xr:uid="{DC584F0C-C700-4343-9472-DB977C5F6B4C}"/>
    <cellStyle name="Normal_ConcreteColumn" xfId="3" xr:uid="{7B94FDDA-0026-4AC9-9071-4C3D9A333521}"/>
    <cellStyle name="Normal_WallFooting" xfId="4" xr:uid="{18D30BF1-2A4D-4919-8B93-12979B3742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13" Type="http://schemas.openxmlformats.org/officeDocument/2006/relationships/image" Target="../media/image14.emf"/><Relationship Id="rId3" Type="http://schemas.openxmlformats.org/officeDocument/2006/relationships/image" Target="../media/image4.emf"/><Relationship Id="rId7" Type="http://schemas.openxmlformats.org/officeDocument/2006/relationships/image" Target="../media/image8.emf"/><Relationship Id="rId12" Type="http://schemas.openxmlformats.org/officeDocument/2006/relationships/image" Target="../media/image13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7.emf"/><Relationship Id="rId11" Type="http://schemas.openxmlformats.org/officeDocument/2006/relationships/image" Target="../media/image12.emf"/><Relationship Id="rId5" Type="http://schemas.openxmlformats.org/officeDocument/2006/relationships/image" Target="../media/image6.emf"/><Relationship Id="rId15" Type="http://schemas.openxmlformats.org/officeDocument/2006/relationships/image" Target="../media/image16.emf"/><Relationship Id="rId10" Type="http://schemas.openxmlformats.org/officeDocument/2006/relationships/image" Target="../media/image11.emf"/><Relationship Id="rId4" Type="http://schemas.openxmlformats.org/officeDocument/2006/relationships/image" Target="../media/image5.emf"/><Relationship Id="rId9" Type="http://schemas.openxmlformats.org/officeDocument/2006/relationships/image" Target="../media/image10.emf"/><Relationship Id="rId14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C23CA2-B8FE-4B59-9C78-FAE146863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C25EF97B-4A9E-49CB-92FA-FFBAD8E9D77C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238125</xdr:colOff>
          <xdr:row>28</xdr:row>
          <xdr:rowOff>152400</xdr:rowOff>
        </xdr:from>
        <xdr:to>
          <xdr:col>1</xdr:col>
          <xdr:colOff>447675</xdr:colOff>
          <xdr:row>29</xdr:row>
          <xdr:rowOff>133350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34</xdr:row>
          <xdr:rowOff>180975</xdr:rowOff>
        </xdr:from>
        <xdr:to>
          <xdr:col>1</xdr:col>
          <xdr:colOff>419100</xdr:colOff>
          <xdr:row>36</xdr:row>
          <xdr:rowOff>57150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238125</xdr:colOff>
          <xdr:row>31</xdr:row>
          <xdr:rowOff>200025</xdr:rowOff>
        </xdr:from>
        <xdr:to>
          <xdr:col>1</xdr:col>
          <xdr:colOff>390525</xdr:colOff>
          <xdr:row>33</xdr:row>
          <xdr:rowOff>57150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104775</xdr:colOff>
          <xdr:row>39</xdr:row>
          <xdr:rowOff>123825</xdr:rowOff>
        </xdr:from>
        <xdr:to>
          <xdr:col>7</xdr:col>
          <xdr:colOff>609600</xdr:colOff>
          <xdr:row>43</xdr:row>
          <xdr:rowOff>142875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44</xdr:row>
          <xdr:rowOff>133350</xdr:rowOff>
        </xdr:from>
        <xdr:to>
          <xdr:col>3</xdr:col>
          <xdr:colOff>152400</xdr:colOff>
          <xdr:row>47</xdr:row>
          <xdr:rowOff>114300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180975</xdr:colOff>
          <xdr:row>49</xdr:row>
          <xdr:rowOff>28575</xdr:rowOff>
        </xdr:from>
        <xdr:to>
          <xdr:col>5</xdr:col>
          <xdr:colOff>609600</xdr:colOff>
          <xdr:row>52</xdr:row>
          <xdr:rowOff>9525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6</xdr:row>
          <xdr:rowOff>85725</xdr:rowOff>
        </xdr:from>
        <xdr:to>
          <xdr:col>13</xdr:col>
          <xdr:colOff>104775</xdr:colOff>
          <xdr:row>16</xdr:row>
          <xdr:rowOff>171450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55</xdr:row>
          <xdr:rowOff>66675</xdr:rowOff>
        </xdr:from>
        <xdr:to>
          <xdr:col>4</xdr:col>
          <xdr:colOff>323850</xdr:colOff>
          <xdr:row>57</xdr:row>
          <xdr:rowOff>9525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200025</xdr:colOff>
          <xdr:row>59</xdr:row>
          <xdr:rowOff>95250</xdr:rowOff>
        </xdr:from>
        <xdr:to>
          <xdr:col>2</xdr:col>
          <xdr:colOff>723900</xdr:colOff>
          <xdr:row>62</xdr:row>
          <xdr:rowOff>85725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62</xdr:row>
          <xdr:rowOff>133350</xdr:rowOff>
        </xdr:from>
        <xdr:to>
          <xdr:col>4</xdr:col>
          <xdr:colOff>457200</xdr:colOff>
          <xdr:row>65</xdr:row>
          <xdr:rowOff>171450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200025</xdr:colOff>
          <xdr:row>66</xdr:row>
          <xdr:rowOff>104775</xdr:rowOff>
        </xdr:from>
        <xdr:to>
          <xdr:col>4</xdr:col>
          <xdr:colOff>447675</xdr:colOff>
          <xdr:row>68</xdr:row>
          <xdr:rowOff>47625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69</xdr:row>
          <xdr:rowOff>95250</xdr:rowOff>
        </xdr:from>
        <xdr:to>
          <xdr:col>7</xdr:col>
          <xdr:colOff>266700</xdr:colOff>
          <xdr:row>72</xdr:row>
          <xdr:rowOff>38100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21</xdr:row>
          <xdr:rowOff>0</xdr:rowOff>
        </xdr:from>
        <xdr:to>
          <xdr:col>7</xdr:col>
          <xdr:colOff>533400</xdr:colOff>
          <xdr:row>24</xdr:row>
          <xdr:rowOff>152399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190500</xdr:colOff>
          <xdr:row>21</xdr:row>
          <xdr:rowOff>104775</xdr:rowOff>
        </xdr:from>
        <xdr:to>
          <xdr:col>12</xdr:col>
          <xdr:colOff>323850</xdr:colOff>
          <xdr:row>24</xdr:row>
          <xdr:rowOff>38099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21</xdr:row>
          <xdr:rowOff>133350</xdr:rowOff>
        </xdr:from>
        <xdr:to>
          <xdr:col>3</xdr:col>
          <xdr:colOff>371475</xdr:colOff>
          <xdr:row>23</xdr:row>
          <xdr:rowOff>57150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QLearnify\All%20Excel%20file\A.%20Wind%20and%20Earthquake%20load\A1%20Earth%20Quake%20Analysis%20Excel%20As%20per%20BNBC-2020,%20ASCE%207-05.xlsx" TargetMode="External"/><Relationship Id="rId1" Type="http://schemas.openxmlformats.org/officeDocument/2006/relationships/externalLinkPath" Target="/QLearnify/All%20Excel%20file/A.%20Wind%20and%20Earthquake%20load/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deo &amp; Instruction "/>
      <sheetName val="EQ Analysis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7.bin"/><Relationship Id="rId26" Type="http://schemas.openxmlformats.org/officeDocument/2006/relationships/oleObject" Target="../embeddings/oleObject11.bin"/><Relationship Id="rId3" Type="http://schemas.openxmlformats.org/officeDocument/2006/relationships/hyperlink" Target="http://www.qlearnify.com/" TargetMode="External"/><Relationship Id="rId21" Type="http://schemas.openxmlformats.org/officeDocument/2006/relationships/image" Target="../media/image9.emf"/><Relationship Id="rId34" Type="http://schemas.openxmlformats.org/officeDocument/2006/relationships/oleObject" Target="../embeddings/oleObject15.bin"/><Relationship Id="rId7" Type="http://schemas.openxmlformats.org/officeDocument/2006/relationships/image" Target="../media/image2.emf"/><Relationship Id="rId12" Type="http://schemas.openxmlformats.org/officeDocument/2006/relationships/oleObject" Target="../embeddings/oleObject4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hyperlink" Target="http://www.engineering-international.com/" TargetMode="External"/><Relationship Id="rId16" Type="http://schemas.openxmlformats.org/officeDocument/2006/relationships/oleObject" Target="../embeddings/oleObject6.bin"/><Relationship Id="rId20" Type="http://schemas.openxmlformats.org/officeDocument/2006/relationships/oleObject" Target="../embeddings/oleObject8.bin"/><Relationship Id="rId29" Type="http://schemas.openxmlformats.org/officeDocument/2006/relationships/image" Target="../media/image13.emf"/><Relationship Id="rId1" Type="http://schemas.openxmlformats.org/officeDocument/2006/relationships/hyperlink" Target="http://www.engineering-international.com/" TargetMode="External"/><Relationship Id="rId6" Type="http://schemas.openxmlformats.org/officeDocument/2006/relationships/oleObject" Target="../embeddings/oleObject1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0.bin"/><Relationship Id="rId32" Type="http://schemas.openxmlformats.org/officeDocument/2006/relationships/oleObject" Target="../embeddings/oleObject14.bin"/><Relationship Id="rId5" Type="http://schemas.openxmlformats.org/officeDocument/2006/relationships/vmlDrawing" Target="../drawings/vmlDrawing1.vml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2.bin"/><Relationship Id="rId10" Type="http://schemas.openxmlformats.org/officeDocument/2006/relationships/oleObject" Target="../embeddings/oleObject3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drawing" Target="../drawings/drawing2.xml"/><Relationship Id="rId9" Type="http://schemas.openxmlformats.org/officeDocument/2006/relationships/image" Target="../media/image3.emf"/><Relationship Id="rId14" Type="http://schemas.openxmlformats.org/officeDocument/2006/relationships/oleObject" Target="../embeddings/oleObject5.bin"/><Relationship Id="rId22" Type="http://schemas.openxmlformats.org/officeDocument/2006/relationships/oleObject" Target="../embeddings/oleObject9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3.bin"/><Relationship Id="rId35" Type="http://schemas.openxmlformats.org/officeDocument/2006/relationships/image" Target="../media/image16.emf"/><Relationship Id="rId8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BFB84-63D8-4FD2-AE47-C658729B8E37}">
  <dimension ref="A14:M36"/>
  <sheetViews>
    <sheetView showGridLines="0" tabSelected="1" workbookViewId="0">
      <selection activeCell="M8" sqref="M8"/>
    </sheetView>
  </sheetViews>
  <sheetFormatPr defaultRowHeight="15" x14ac:dyDescent="0.25"/>
  <cols>
    <col min="1" max="1" width="9.140625" style="59" customWidth="1"/>
    <col min="2" max="16384" width="9.140625" style="59"/>
  </cols>
  <sheetData>
    <row r="14" spans="2:10" ht="15" customHeight="1" x14ac:dyDescent="0.25">
      <c r="B14" s="116" t="s">
        <v>49</v>
      </c>
      <c r="C14" s="116"/>
      <c r="D14" s="116"/>
      <c r="E14" s="116"/>
      <c r="F14" s="116"/>
      <c r="G14" s="116"/>
      <c r="H14" s="116"/>
      <c r="I14" s="116"/>
      <c r="J14" s="116"/>
    </row>
    <row r="15" spans="2:10" ht="15" customHeight="1" x14ac:dyDescent="0.25">
      <c r="B15" s="116"/>
      <c r="C15" s="116"/>
      <c r="D15" s="116"/>
      <c r="E15" s="116"/>
      <c r="F15" s="116"/>
      <c r="G15" s="116"/>
      <c r="H15" s="116"/>
      <c r="I15" s="116"/>
      <c r="J15" s="116"/>
    </row>
    <row r="16" spans="2:10" x14ac:dyDescent="0.25">
      <c r="B16" s="116"/>
      <c r="C16" s="116"/>
      <c r="D16" s="116"/>
      <c r="E16" s="116"/>
      <c r="F16" s="116"/>
      <c r="G16" s="116"/>
      <c r="H16" s="116"/>
      <c r="I16" s="116"/>
      <c r="J16" s="116"/>
    </row>
    <row r="17" spans="2:10" x14ac:dyDescent="0.25">
      <c r="C17" s="117" t="s">
        <v>50</v>
      </c>
      <c r="D17" s="117"/>
      <c r="E17" s="118" t="s">
        <v>51</v>
      </c>
      <c r="F17" s="118"/>
      <c r="G17" s="118"/>
      <c r="H17" s="118"/>
      <c r="I17" s="118"/>
      <c r="J17" s="118"/>
    </row>
    <row r="18" spans="2:10" x14ac:dyDescent="0.25">
      <c r="C18" s="117" t="s">
        <v>52</v>
      </c>
      <c r="D18" s="117"/>
      <c r="E18" s="118" t="s">
        <v>53</v>
      </c>
      <c r="F18" s="118"/>
      <c r="G18" s="118"/>
      <c r="H18" s="118"/>
      <c r="I18" s="118"/>
      <c r="J18" s="118"/>
    </row>
    <row r="19" spans="2:10" x14ac:dyDescent="0.25">
      <c r="C19" s="117" t="s">
        <v>54</v>
      </c>
      <c r="D19" s="117"/>
      <c r="E19" s="118" t="s">
        <v>55</v>
      </c>
      <c r="F19" s="118"/>
      <c r="G19" s="118"/>
      <c r="H19" s="118"/>
      <c r="I19" s="118"/>
      <c r="J19" s="118"/>
    </row>
    <row r="20" spans="2:10" x14ac:dyDescent="0.25">
      <c r="C20" s="117" t="s">
        <v>56</v>
      </c>
      <c r="D20" s="117"/>
      <c r="E20" s="118" t="s">
        <v>57</v>
      </c>
      <c r="F20" s="118"/>
      <c r="G20" s="118"/>
      <c r="H20" s="118"/>
      <c r="I20" s="118"/>
      <c r="J20" s="118"/>
    </row>
    <row r="21" spans="2:10" x14ac:dyDescent="0.25">
      <c r="C21" s="117" t="s">
        <v>58</v>
      </c>
      <c r="D21" s="117"/>
      <c r="E21" s="118" t="s">
        <v>59</v>
      </c>
      <c r="F21" s="118"/>
      <c r="G21" s="118"/>
      <c r="H21" s="118"/>
      <c r="I21" s="118"/>
      <c r="J21" s="118"/>
    </row>
    <row r="22" spans="2:10" x14ac:dyDescent="0.25">
      <c r="C22" s="117" t="s">
        <v>60</v>
      </c>
      <c r="D22" s="117"/>
      <c r="E22" s="118" t="s">
        <v>61</v>
      </c>
      <c r="F22" s="118"/>
      <c r="G22" s="118"/>
      <c r="H22" s="118"/>
      <c r="I22" s="118"/>
      <c r="J22" s="118"/>
    </row>
    <row r="24" spans="2:10" ht="15" customHeight="1" x14ac:dyDescent="0.25">
      <c r="B24" s="119" t="s">
        <v>62</v>
      </c>
      <c r="C24" s="119"/>
      <c r="D24" s="119"/>
      <c r="E24" s="119"/>
      <c r="F24" s="119"/>
      <c r="G24" s="119"/>
      <c r="H24" s="119"/>
      <c r="I24" s="119"/>
      <c r="J24" s="119"/>
    </row>
    <row r="25" spans="2:10" ht="15" customHeight="1" x14ac:dyDescent="0.25">
      <c r="B25" s="119"/>
      <c r="C25" s="119"/>
      <c r="D25" s="119"/>
      <c r="E25" s="119"/>
      <c r="F25" s="119"/>
      <c r="G25" s="119"/>
      <c r="H25" s="119"/>
      <c r="I25" s="119"/>
      <c r="J25" s="119"/>
    </row>
    <row r="26" spans="2:10" ht="15" customHeight="1" x14ac:dyDescent="0.25">
      <c r="B26" s="119"/>
      <c r="C26" s="119"/>
      <c r="D26" s="119"/>
      <c r="E26" s="119"/>
      <c r="F26" s="119"/>
      <c r="G26" s="119"/>
      <c r="H26" s="119"/>
      <c r="I26" s="119"/>
      <c r="J26" s="119"/>
    </row>
    <row r="27" spans="2:10" x14ac:dyDescent="0.25">
      <c r="B27" s="119"/>
      <c r="C27" s="119"/>
      <c r="D27" s="119"/>
      <c r="E27" s="119"/>
      <c r="F27" s="119"/>
      <c r="G27" s="119"/>
      <c r="H27" s="119"/>
      <c r="I27" s="119"/>
      <c r="J27" s="119"/>
    </row>
    <row r="34" spans="1:13" ht="15.75" x14ac:dyDescent="0.25">
      <c r="A34" s="120" t="s">
        <v>63</v>
      </c>
      <c r="B34" s="118" t="s">
        <v>64</v>
      </c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</row>
    <row r="35" spans="1:13" ht="15.75" x14ac:dyDescent="0.25">
      <c r="A35" s="120"/>
    </row>
    <row r="36" spans="1:13" ht="15.75" x14ac:dyDescent="0.25">
      <c r="A36" s="120" t="s">
        <v>65</v>
      </c>
      <c r="B36" s="118" t="s">
        <v>66</v>
      </c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</row>
  </sheetData>
  <sheetProtection algorithmName="SHA-512" hashValue="mNHzYPo3myyRtQ0hKyAUCtH3O8JA/5aSzrOCEvq79hjgO7Gw0D0RAPuqDa+nbmkoY+GsluGOCqvByLa5A+R8oA==" saltValue="eVx23pLryyNGOGnMNvyHQw==" spinCount="100000" sheet="1" objects="1" scenarios="1"/>
  <mergeCells count="16"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  <mergeCell ref="B14:J16"/>
    <mergeCell ref="C17:D17"/>
    <mergeCell ref="E17:J17"/>
    <mergeCell ref="C18:D18"/>
    <mergeCell ref="E18:J18"/>
    <mergeCell ref="C19:D19"/>
    <mergeCell ref="E19:J19"/>
  </mergeCells>
  <hyperlinks>
    <hyperlink ref="E17" r:id="rId1" xr:uid="{1B646A5A-252F-4199-A6E8-3CD847A11764}"/>
    <hyperlink ref="E18" r:id="rId2" xr:uid="{10C2B465-48E4-4372-B507-602BDBA65CE1}"/>
    <hyperlink ref="E19" r:id="rId3" xr:uid="{B86440C4-2699-4904-96BE-0F497526A66F}"/>
    <hyperlink ref="E21" r:id="rId4" xr:uid="{E3ED4450-B269-4F43-B2D4-5320678BC70F}"/>
    <hyperlink ref="E22" r:id="rId5" xr:uid="{FDC8E454-DF4B-4EE7-92D3-6C70A159840C}"/>
    <hyperlink ref="B36" r:id="rId6" xr:uid="{DCDC61CC-503F-475A-B40C-178DDF8B4876}"/>
    <hyperlink ref="B34" r:id="rId7" xr:uid="{5D5E283F-17E3-4BAE-9932-F55AB752E079}"/>
  </hyperlinks>
  <pageMargins left="0.7" right="0.7" top="0.75" bottom="0.75" header="0.3" footer="0.3"/>
  <pageSetup orientation="portrait" horizontalDpi="1200" verticalDpi="120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172"/>
  <sheetViews>
    <sheetView zoomScale="85" zoomScaleNormal="85" workbookViewId="0">
      <selection activeCell="D8" sqref="D8"/>
    </sheetView>
  </sheetViews>
  <sheetFormatPr defaultColWidth="9.140625" defaultRowHeight="15" x14ac:dyDescent="0.2"/>
  <cols>
    <col min="1" max="1" width="10.28515625" style="60" customWidth="1"/>
    <col min="2" max="2" width="11.28515625" style="60" customWidth="1"/>
    <col min="3" max="3" width="11.7109375" style="60" customWidth="1"/>
    <col min="4" max="9" width="10.28515625" style="60" customWidth="1"/>
    <col min="10" max="10" width="16.5703125" style="60" bestFit="1" customWidth="1"/>
    <col min="11" max="14" width="10.28515625" style="60" customWidth="1"/>
    <col min="15" max="16384" width="9.140625" style="60"/>
  </cols>
  <sheetData>
    <row r="1" spans="1:15" s="59" customFormat="1" ht="28.5" customHeight="1" x14ac:dyDescent="0.5">
      <c r="A1" s="109" t="s">
        <v>47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</row>
    <row r="2" spans="1:15" s="59" customFormat="1" ht="27.75" customHeight="1" x14ac:dyDescent="0.5">
      <c r="A2" s="110" t="s">
        <v>46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</row>
    <row r="3" spans="1:15" ht="18.75" x14ac:dyDescent="0.2">
      <c r="A3" s="114" t="s">
        <v>48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</row>
    <row r="4" spans="1:15" ht="15.75" thickBot="1" x14ac:dyDescent="0.25"/>
    <row r="5" spans="1:15" ht="23.25" x14ac:dyDescent="0.35">
      <c r="A5" s="106" t="s">
        <v>0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8"/>
    </row>
    <row r="6" spans="1:15" x14ac:dyDescent="0.2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3"/>
      <c r="N6" s="4"/>
    </row>
    <row r="7" spans="1:15" ht="15.75" x14ac:dyDescent="0.25">
      <c r="A7" s="5"/>
      <c r="B7" s="6" t="s">
        <v>1</v>
      </c>
      <c r="C7" s="7"/>
      <c r="D7" s="7"/>
      <c r="E7" s="7"/>
      <c r="F7" s="8"/>
      <c r="G7" s="8"/>
      <c r="H7" s="8"/>
      <c r="I7" s="7"/>
      <c r="J7" s="8"/>
      <c r="K7" s="8"/>
      <c r="L7" s="7"/>
      <c r="M7" s="7"/>
      <c r="N7" s="9"/>
    </row>
    <row r="8" spans="1:15" ht="19.5" x14ac:dyDescent="0.35">
      <c r="A8" s="10"/>
      <c r="B8" s="8" t="s">
        <v>2</v>
      </c>
      <c r="C8" s="8" t="s">
        <v>3</v>
      </c>
      <c r="D8" s="11">
        <v>3</v>
      </c>
      <c r="E8" s="12" t="s">
        <v>4</v>
      </c>
      <c r="F8" s="13"/>
      <c r="G8" s="13"/>
      <c r="H8" s="13"/>
      <c r="I8" s="13"/>
      <c r="J8" s="13"/>
      <c r="K8" s="13"/>
      <c r="L8" s="7"/>
      <c r="M8" s="13"/>
      <c r="N8" s="14"/>
      <c r="O8" s="61"/>
    </row>
    <row r="9" spans="1:15" ht="19.5" x14ac:dyDescent="0.35">
      <c r="A9" s="10"/>
      <c r="B9" s="8" t="s">
        <v>5</v>
      </c>
      <c r="C9" s="8" t="s">
        <v>3</v>
      </c>
      <c r="D9" s="11">
        <v>72.5</v>
      </c>
      <c r="E9" s="12" t="s">
        <v>4</v>
      </c>
      <c r="F9" s="7"/>
      <c r="G9" s="13"/>
      <c r="H9" s="13"/>
      <c r="I9" s="13"/>
      <c r="J9" s="13"/>
      <c r="K9" s="13"/>
      <c r="L9" s="7"/>
      <c r="M9" s="13"/>
      <c r="N9" s="14"/>
      <c r="O9" s="61"/>
    </row>
    <row r="10" spans="1:15" x14ac:dyDescent="0.2">
      <c r="A10" s="10"/>
      <c r="B10" s="8" t="s">
        <v>6</v>
      </c>
      <c r="C10" s="8" t="s">
        <v>3</v>
      </c>
      <c r="D10" s="11">
        <v>12</v>
      </c>
      <c r="E10" s="12" t="s">
        <v>7</v>
      </c>
      <c r="F10" s="7"/>
      <c r="G10" s="13"/>
      <c r="H10" s="13"/>
      <c r="I10" s="13"/>
      <c r="J10" s="13"/>
      <c r="K10" s="13"/>
      <c r="L10" s="7"/>
      <c r="M10" s="13"/>
      <c r="N10" s="14"/>
      <c r="O10" s="61"/>
    </row>
    <row r="11" spans="1:15" x14ac:dyDescent="0.2">
      <c r="A11" s="10"/>
      <c r="B11" s="8" t="s">
        <v>8</v>
      </c>
      <c r="C11" s="8" t="s">
        <v>3</v>
      </c>
      <c r="D11" s="11">
        <v>12</v>
      </c>
      <c r="E11" s="12" t="s">
        <v>7</v>
      </c>
      <c r="F11" s="7"/>
      <c r="G11" s="13"/>
      <c r="H11" s="13"/>
      <c r="I11" s="13"/>
      <c r="J11" s="13"/>
      <c r="K11" s="13"/>
      <c r="L11" s="7"/>
      <c r="M11" s="13"/>
      <c r="N11" s="14"/>
      <c r="O11" s="61"/>
    </row>
    <row r="12" spans="1:15" x14ac:dyDescent="0.2">
      <c r="A12" s="10"/>
      <c r="B12" s="7" t="s">
        <v>9</v>
      </c>
      <c r="C12" s="8" t="s">
        <v>10</v>
      </c>
      <c r="D12" s="11">
        <v>5</v>
      </c>
      <c r="E12" s="15" t="str">
        <f>IF(OR(D12&lt;3,D12=12,D12=13,D12=15,D12=16,D12=17,D12&gt;18),"Caution: No this Bar Size", "")</f>
        <v/>
      </c>
      <c r="F12" s="7"/>
      <c r="G12" s="7"/>
      <c r="H12" s="13"/>
      <c r="I12" s="13"/>
      <c r="J12" s="13"/>
      <c r="K12" s="13"/>
      <c r="L12" s="7"/>
      <c r="M12" s="13"/>
      <c r="N12" s="14"/>
      <c r="O12" s="61"/>
    </row>
    <row r="13" spans="1:15" ht="19.5" x14ac:dyDescent="0.35">
      <c r="A13" s="10"/>
      <c r="B13" s="16" t="s">
        <v>11</v>
      </c>
      <c r="C13" s="8" t="s">
        <v>3</v>
      </c>
      <c r="D13" s="11">
        <v>3</v>
      </c>
      <c r="E13" s="17" t="str">
        <f>D13&amp;" # "&amp;$D$12</f>
        <v>3 # 5</v>
      </c>
      <c r="F13" s="15" t="str">
        <f>IF(D10&lt;VLOOKUP(D12,$F$2162:$AD$2171,D13),"&gt; NG, Bars don't fit"," ")</f>
        <v xml:space="preserve"> </v>
      </c>
      <c r="G13" s="13"/>
      <c r="H13" s="13"/>
      <c r="I13" s="13"/>
      <c r="J13" s="13"/>
      <c r="K13" s="13"/>
      <c r="L13" s="7"/>
      <c r="M13" s="13"/>
      <c r="N13" s="14"/>
      <c r="O13" s="61"/>
    </row>
    <row r="14" spans="1:15" ht="19.5" x14ac:dyDescent="0.35">
      <c r="A14" s="10"/>
      <c r="B14" s="16" t="s">
        <v>12</v>
      </c>
      <c r="C14" s="8" t="s">
        <v>3</v>
      </c>
      <c r="D14" s="11">
        <v>2</v>
      </c>
      <c r="E14" s="17" t="str">
        <f>D14&amp;" # "&amp;$D$12</f>
        <v>2 # 5</v>
      </c>
      <c r="F14" s="15" t="str">
        <f>IF(D11&lt;VLOOKUP(D12,$F$2162:$AD$2171,D14),"&gt; MIN. SECTION WIDTH"," ")</f>
        <v xml:space="preserve"> </v>
      </c>
      <c r="G14" s="7"/>
      <c r="H14" s="13"/>
      <c r="I14" s="13"/>
      <c r="J14" s="13"/>
      <c r="K14" s="13"/>
      <c r="L14" s="7"/>
      <c r="M14" s="13"/>
      <c r="N14" s="14"/>
      <c r="O14" s="61"/>
    </row>
    <row r="15" spans="1:15" x14ac:dyDescent="0.2">
      <c r="A15" s="10"/>
      <c r="B15" s="16" t="s">
        <v>13</v>
      </c>
      <c r="C15" s="8" t="s">
        <v>10</v>
      </c>
      <c r="D15" s="18" t="str">
        <f>(D13+D14-2)*2&amp;" # "&amp;D12</f>
        <v>6 # 5</v>
      </c>
      <c r="E15" s="7"/>
      <c r="F15" s="7"/>
      <c r="G15" s="13"/>
      <c r="H15" s="13"/>
      <c r="I15" s="13"/>
      <c r="J15" s="13"/>
      <c r="K15" s="13"/>
      <c r="L15" s="7"/>
      <c r="M15" s="13"/>
      <c r="N15" s="14"/>
      <c r="O15" s="61"/>
    </row>
    <row r="16" spans="1:15" ht="18.75" x14ac:dyDescent="0.4">
      <c r="A16" s="10"/>
      <c r="B16" s="19" t="s">
        <v>14</v>
      </c>
      <c r="C16" s="8" t="s">
        <v>3</v>
      </c>
      <c r="D16" s="20">
        <f>(D13+D14-2)*2*VLOOKUP(D12,B2162:D2172,3)/D10/D11</f>
        <v>1.2916666666666667E-2</v>
      </c>
      <c r="E16" s="15" t="str">
        <f>IF(D16&lt;0.01,"NG, &lt; 1%",IF(D16&gt;0.06,"Caution, &gt;6%"," "))</f>
        <v xml:space="preserve"> </v>
      </c>
      <c r="F16" s="7"/>
      <c r="G16" s="13"/>
      <c r="H16" s="13"/>
      <c r="I16" s="13"/>
      <c r="J16" s="13"/>
      <c r="K16" s="13"/>
      <c r="L16" s="7"/>
      <c r="M16" s="13"/>
      <c r="N16" s="14"/>
      <c r="O16" s="61"/>
    </row>
    <row r="17" spans="1:15" ht="18.75" x14ac:dyDescent="0.35">
      <c r="A17" s="10"/>
      <c r="B17" s="17" t="s">
        <v>15</v>
      </c>
      <c r="C17" s="8" t="s">
        <v>3</v>
      </c>
      <c r="D17" s="11">
        <v>75.5</v>
      </c>
      <c r="E17" s="12" t="s">
        <v>16</v>
      </c>
      <c r="F17" s="7"/>
      <c r="G17" s="7"/>
      <c r="H17" s="7"/>
      <c r="I17" s="7"/>
      <c r="J17" s="7"/>
      <c r="K17" s="7"/>
      <c r="L17" s="7"/>
      <c r="M17" s="13"/>
      <c r="N17" s="14"/>
      <c r="O17" s="61"/>
    </row>
    <row r="18" spans="1:15" ht="19.5" x14ac:dyDescent="0.35">
      <c r="A18" s="10"/>
      <c r="B18" s="21" t="s">
        <v>17</v>
      </c>
      <c r="C18" s="13" t="s">
        <v>3</v>
      </c>
      <c r="D18" s="11">
        <v>30</v>
      </c>
      <c r="E18" s="7" t="s">
        <v>18</v>
      </c>
      <c r="F18" s="8" t="s">
        <v>19</v>
      </c>
      <c r="G18" s="8" t="s">
        <v>3</v>
      </c>
      <c r="H18" s="22">
        <f>D18/D17*12</f>
        <v>4.7682119205298008</v>
      </c>
      <c r="I18" s="12" t="s">
        <v>7</v>
      </c>
      <c r="J18" s="7"/>
      <c r="K18" s="7"/>
      <c r="L18" s="7"/>
      <c r="M18" s="13"/>
      <c r="N18" s="14"/>
      <c r="O18" s="61"/>
    </row>
    <row r="19" spans="1:15" ht="19.5" x14ac:dyDescent="0.35">
      <c r="A19" s="10"/>
      <c r="B19" s="21" t="s">
        <v>20</v>
      </c>
      <c r="C19" s="13" t="s">
        <v>3</v>
      </c>
      <c r="D19" s="11">
        <v>30</v>
      </c>
      <c r="E19" s="7" t="s">
        <v>18</v>
      </c>
      <c r="F19" s="8" t="s">
        <v>21</v>
      </c>
      <c r="G19" s="8" t="s">
        <v>3</v>
      </c>
      <c r="H19" s="22">
        <f>D19/D17*12</f>
        <v>4.7682119205298008</v>
      </c>
      <c r="I19" s="12" t="s">
        <v>7</v>
      </c>
      <c r="J19" s="7"/>
      <c r="K19" s="7"/>
      <c r="L19" s="7"/>
      <c r="M19" s="7"/>
      <c r="N19" s="14"/>
      <c r="O19" s="61"/>
    </row>
    <row r="20" spans="1:15" ht="15.75" x14ac:dyDescent="0.25">
      <c r="A20" s="10"/>
      <c r="B20" s="7"/>
      <c r="C20" s="7"/>
      <c r="D20" s="7"/>
      <c r="E20" s="7"/>
      <c r="F20" s="7"/>
      <c r="G20" s="7"/>
      <c r="H20" s="7"/>
      <c r="I20" s="21"/>
      <c r="J20" s="13"/>
      <c r="K20" s="23"/>
      <c r="L20" s="7"/>
      <c r="M20" s="13"/>
      <c r="N20" s="14"/>
      <c r="O20" s="61"/>
    </row>
    <row r="21" spans="1:15" ht="15.75" x14ac:dyDescent="0.25">
      <c r="A21" s="24"/>
      <c r="B21" s="25" t="s">
        <v>22</v>
      </c>
      <c r="C21" s="26"/>
      <c r="D21" s="26"/>
      <c r="E21" s="26"/>
      <c r="F21" s="26"/>
      <c r="G21" s="26"/>
      <c r="H21" s="26"/>
      <c r="I21" s="27"/>
      <c r="J21" s="27"/>
      <c r="K21" s="28"/>
      <c r="L21" s="29"/>
      <c r="M21" s="30"/>
      <c r="N21" s="31"/>
      <c r="O21" s="61"/>
    </row>
    <row r="22" spans="1:15" ht="15.75" x14ac:dyDescent="0.25">
      <c r="A22" s="10"/>
      <c r="B22" s="7"/>
      <c r="C22" s="7"/>
      <c r="D22" s="7"/>
      <c r="E22" s="7"/>
      <c r="F22" s="12"/>
      <c r="G22" s="7"/>
      <c r="H22" s="7"/>
      <c r="I22" s="8"/>
      <c r="J22" s="7"/>
      <c r="K22" s="13"/>
      <c r="L22" s="21"/>
      <c r="M22" s="13"/>
      <c r="N22" s="32"/>
      <c r="O22" s="61"/>
    </row>
    <row r="23" spans="1:15" ht="15.75" x14ac:dyDescent="0.25">
      <c r="A23" s="10"/>
      <c r="B23" s="7"/>
      <c r="C23" s="7"/>
      <c r="D23" s="7"/>
      <c r="E23" s="7"/>
      <c r="F23" s="7"/>
      <c r="G23" s="7"/>
      <c r="H23" s="7"/>
      <c r="I23" s="33"/>
      <c r="J23" s="7"/>
      <c r="K23" s="7"/>
      <c r="L23" s="21"/>
      <c r="M23" s="13"/>
      <c r="N23" s="32"/>
      <c r="O23" s="61"/>
    </row>
    <row r="24" spans="1:15" ht="15.75" x14ac:dyDescent="0.25">
      <c r="A24" s="10"/>
      <c r="B24" s="7"/>
      <c r="C24" s="7"/>
      <c r="D24" s="7"/>
      <c r="E24" s="7"/>
      <c r="F24" s="7"/>
      <c r="G24" s="7"/>
      <c r="H24" s="7"/>
      <c r="I24" s="7"/>
      <c r="J24" s="7"/>
      <c r="K24" s="7"/>
      <c r="L24" s="21"/>
      <c r="M24" s="13"/>
      <c r="N24" s="32"/>
      <c r="O24" s="61"/>
    </row>
    <row r="25" spans="1:15" ht="15.75" x14ac:dyDescent="0.25">
      <c r="A25" s="10"/>
      <c r="B25" s="7"/>
      <c r="C25" s="7"/>
      <c r="D25" s="34"/>
      <c r="E25" s="7"/>
      <c r="F25" s="7"/>
      <c r="G25" s="7"/>
      <c r="H25" s="7"/>
      <c r="I25" s="7"/>
      <c r="J25" s="7"/>
      <c r="K25" s="7"/>
      <c r="L25" s="21"/>
      <c r="M25" s="13"/>
      <c r="N25" s="32"/>
      <c r="O25" s="61"/>
    </row>
    <row r="26" spans="1:15" ht="15.75" x14ac:dyDescent="0.25">
      <c r="A26" s="10"/>
      <c r="B26" s="34">
        <f>D17</f>
        <v>75.5</v>
      </c>
      <c r="C26" s="17" t="str">
        <f>IF(B26&gt;D26,"&gt;","&lt;")</f>
        <v>&lt;</v>
      </c>
      <c r="D26" s="34">
        <f>0.8*0.7*J57</f>
        <v>278.49191999999994</v>
      </c>
      <c r="E26" s="35" t="str">
        <f>IF(C26="&lt;","ok","NG")</f>
        <v>ok</v>
      </c>
      <c r="F26" s="34">
        <f>D17/D33</f>
        <v>107.85714285714286</v>
      </c>
      <c r="G26" s="17" t="str">
        <f>IF(F26&gt;H26,"&gt;","&lt;")</f>
        <v>&lt;</v>
      </c>
      <c r="H26" s="34">
        <f>1/(1/J37+1/M37-1/J57)</f>
        <v>225.98804307706743</v>
      </c>
      <c r="I26" s="35" t="str">
        <f>IF(G26="&lt;","ok","NG")</f>
        <v>ok</v>
      </c>
      <c r="J26" s="7"/>
      <c r="K26" s="36">
        <f>J35/J36+M35/M36</f>
        <v>0.99651772197368127</v>
      </c>
      <c r="L26" s="17" t="str">
        <f>IF(K26&gt;M26,"&gt;","&lt;")</f>
        <v>&lt;</v>
      </c>
      <c r="M26" s="22">
        <v>1</v>
      </c>
      <c r="N26" s="37" t="str">
        <f>IF(L26="&lt;","ok","NG")</f>
        <v>ok</v>
      </c>
      <c r="O26" s="61"/>
    </row>
    <row r="27" spans="1:15" x14ac:dyDescent="0.2">
      <c r="A27" s="10"/>
      <c r="B27" s="7"/>
      <c r="C27" s="7"/>
      <c r="D27" s="7"/>
      <c r="E27" s="7"/>
      <c r="F27" s="7"/>
      <c r="G27" s="7"/>
      <c r="H27" s="7"/>
      <c r="I27" s="7"/>
      <c r="J27" s="7"/>
      <c r="K27" s="7"/>
      <c r="L27" s="13"/>
      <c r="M27" s="13"/>
      <c r="N27" s="14"/>
      <c r="O27" s="61"/>
    </row>
    <row r="28" spans="1:15" ht="15.75" x14ac:dyDescent="0.25">
      <c r="A28" s="24"/>
      <c r="B28" s="38" t="s">
        <v>23</v>
      </c>
      <c r="C28" s="27"/>
      <c r="D28" s="27"/>
      <c r="E28" s="27"/>
      <c r="F28" s="27"/>
      <c r="G28" s="27"/>
      <c r="H28" s="30"/>
      <c r="I28" s="30"/>
      <c r="J28" s="30"/>
      <c r="K28" s="30"/>
      <c r="L28" s="30"/>
      <c r="M28" s="30"/>
      <c r="N28" s="39"/>
      <c r="O28" s="61"/>
    </row>
    <row r="29" spans="1:15" ht="18.75" customHeight="1" x14ac:dyDescent="0.25">
      <c r="A29" s="10"/>
      <c r="B29" s="7"/>
      <c r="C29" s="7"/>
      <c r="D29" s="7"/>
      <c r="E29" s="7"/>
      <c r="F29" s="7"/>
      <c r="G29" s="7"/>
      <c r="H29" s="40"/>
      <c r="I29" s="7"/>
      <c r="J29" s="111" t="s">
        <v>24</v>
      </c>
      <c r="K29" s="112"/>
      <c r="L29" s="41"/>
      <c r="M29" s="111" t="s">
        <v>25</v>
      </c>
      <c r="N29" s="113"/>
      <c r="O29" s="61"/>
    </row>
    <row r="30" spans="1:15" x14ac:dyDescent="0.2">
      <c r="A30" s="10"/>
      <c r="B30" s="7"/>
      <c r="C30" s="7" t="s">
        <v>3</v>
      </c>
      <c r="D30" s="40">
        <v>3.0000000000000001E-3</v>
      </c>
      <c r="E30" s="7"/>
      <c r="F30" s="7"/>
      <c r="G30" s="7"/>
      <c r="H30" s="40" t="s">
        <v>26</v>
      </c>
      <c r="I30" s="7" t="s">
        <v>3</v>
      </c>
      <c r="J30" s="49">
        <f>D10-VLOOKUP($D$12,$B$2162:$C$2172,2)/2-0.5-1.5</f>
        <v>9.6875</v>
      </c>
      <c r="K30" s="49" t="s">
        <v>7</v>
      </c>
      <c r="L30" s="13"/>
      <c r="M30" s="49">
        <f>D11-VLOOKUP($D$12,$B$2162:$C$2172,2)/2-0.5-1.5</f>
        <v>9.6875</v>
      </c>
      <c r="N30" s="55" t="s">
        <v>7</v>
      </c>
      <c r="O30" s="61"/>
    </row>
    <row r="31" spans="1:15" x14ac:dyDescent="0.2">
      <c r="A31" s="10"/>
      <c r="B31" s="7"/>
      <c r="C31" s="7"/>
      <c r="D31" s="40"/>
      <c r="E31" s="7"/>
      <c r="F31" s="7"/>
      <c r="G31" s="7"/>
      <c r="H31" s="40" t="s">
        <v>27</v>
      </c>
      <c r="I31" s="7" t="s">
        <v>3</v>
      </c>
      <c r="J31" s="49">
        <f>VLOOKUP($D$12,$B$2162:$C$2172,2)/2+0.5+1.5</f>
        <v>2.3125</v>
      </c>
      <c r="K31" s="49" t="s">
        <v>7</v>
      </c>
      <c r="L31" s="13"/>
      <c r="M31" s="49">
        <f>VLOOKUP($D$12,$B$2162:$C$2172,2)/2+0.5+1.5</f>
        <v>2.3125</v>
      </c>
      <c r="N31" s="55" t="s">
        <v>7</v>
      </c>
      <c r="O31" s="61"/>
    </row>
    <row r="32" spans="1:15" ht="20.25" x14ac:dyDescent="0.35">
      <c r="A32" s="10"/>
      <c r="B32" s="7"/>
      <c r="C32" s="7"/>
      <c r="D32" s="7"/>
      <c r="E32" s="7"/>
      <c r="F32" s="7"/>
      <c r="G32" s="7"/>
      <c r="H32" s="40" t="s">
        <v>28</v>
      </c>
      <c r="I32" s="7" t="s">
        <v>3</v>
      </c>
      <c r="J32" s="49">
        <f>VLOOKUP($D$12,$B$2162:$D$2172,3)*D13</f>
        <v>0.92999999999999994</v>
      </c>
      <c r="K32" s="49" t="s">
        <v>29</v>
      </c>
      <c r="L32" s="13"/>
      <c r="M32" s="49">
        <f>VLOOKUP($D$12,$B$2162:$D$2172,3)*D14</f>
        <v>0.62</v>
      </c>
      <c r="N32" s="56" t="s">
        <v>29</v>
      </c>
      <c r="O32" s="61"/>
    </row>
    <row r="33" spans="1:15" x14ac:dyDescent="0.2">
      <c r="A33" s="10"/>
      <c r="B33" s="13"/>
      <c r="C33" s="7" t="s">
        <v>3</v>
      </c>
      <c r="D33" s="33">
        <f>MAX(0.9-0.2*D17/(0.1*D8*D10*D11),0.7)</f>
        <v>0.7</v>
      </c>
      <c r="E33" s="7"/>
      <c r="F33" s="7"/>
      <c r="G33" s="7"/>
      <c r="H33" s="40" t="s">
        <v>30</v>
      </c>
      <c r="I33" s="7" t="s">
        <v>3</v>
      </c>
      <c r="J33" s="49">
        <f>D11</f>
        <v>12</v>
      </c>
      <c r="K33" s="49" t="s">
        <v>7</v>
      </c>
      <c r="L33" s="13"/>
      <c r="M33" s="49">
        <f>D10</f>
        <v>12</v>
      </c>
      <c r="N33" s="56" t="s">
        <v>7</v>
      </c>
      <c r="O33" s="61"/>
    </row>
    <row r="34" spans="1:15" x14ac:dyDescent="0.2">
      <c r="A34" s="10"/>
      <c r="B34" s="13"/>
      <c r="C34" s="7"/>
      <c r="D34" s="33"/>
      <c r="E34" s="7"/>
      <c r="F34" s="7"/>
      <c r="G34" s="7"/>
      <c r="H34" s="7"/>
      <c r="I34" s="7"/>
      <c r="J34" s="50"/>
      <c r="K34" s="49"/>
      <c r="L34" s="7"/>
      <c r="M34" s="49"/>
      <c r="N34" s="56"/>
      <c r="O34" s="61"/>
    </row>
    <row r="35" spans="1:15" ht="19.5" x14ac:dyDescent="0.35">
      <c r="A35" s="10"/>
      <c r="B35" s="7"/>
      <c r="C35" s="7"/>
      <c r="D35" s="7"/>
      <c r="E35" s="7"/>
      <c r="F35" s="7"/>
      <c r="G35" s="7"/>
      <c r="H35" s="33" t="s">
        <v>31</v>
      </c>
      <c r="I35" s="7" t="s">
        <v>3</v>
      </c>
      <c r="J35" s="51">
        <f>D18/D33</f>
        <v>42.857142857142861</v>
      </c>
      <c r="K35" s="49" t="s">
        <v>18</v>
      </c>
      <c r="L35" s="33"/>
      <c r="M35" s="51">
        <f>D19/D33</f>
        <v>42.857142857142861</v>
      </c>
      <c r="N35" s="56" t="s">
        <v>18</v>
      </c>
      <c r="O35" s="61"/>
    </row>
    <row r="36" spans="1:15" ht="19.5" x14ac:dyDescent="0.35">
      <c r="A36" s="10"/>
      <c r="B36" s="7"/>
      <c r="C36" s="7" t="s">
        <v>3</v>
      </c>
      <c r="D36" s="33">
        <f>IF(D8&gt;=4,MAX(0.65,0.85-0.05*(D8-4)),0.85)</f>
        <v>0.85</v>
      </c>
      <c r="E36" s="7"/>
      <c r="F36" s="7"/>
      <c r="G36" s="7"/>
      <c r="H36" s="33" t="s">
        <v>32</v>
      </c>
      <c r="I36" s="7" t="s">
        <v>3</v>
      </c>
      <c r="J36" s="51">
        <f>IF($D$17/$D$33&gt;J68,($D$17/$D$33-J57)*J71/(J68-J57),($D$17/$D$33*(J71-J51)+J68*J51)/J68)</f>
        <v>96.521672071474768</v>
      </c>
      <c r="K36" s="49" t="s">
        <v>18</v>
      </c>
      <c r="L36" s="33"/>
      <c r="M36" s="51">
        <f>IF($D$17/$D$33&gt;M68,($D$17/$D$33-M57)*M71/(M68-M57),($D$17/$D$33*(M71-M51)+M68*M51)/M68)</f>
        <v>77.569212826124684</v>
      </c>
      <c r="N36" s="56" t="s">
        <v>18</v>
      </c>
      <c r="O36" s="61"/>
    </row>
    <row r="37" spans="1:15" ht="19.5" x14ac:dyDescent="0.35">
      <c r="A37" s="10"/>
      <c r="B37" s="7"/>
      <c r="C37" s="7"/>
      <c r="D37" s="33"/>
      <c r="E37" s="7"/>
      <c r="F37" s="7"/>
      <c r="G37" s="7"/>
      <c r="H37" s="33" t="s">
        <v>33</v>
      </c>
      <c r="I37" s="7" t="s">
        <v>3</v>
      </c>
      <c r="J37" s="51">
        <f>J35*(J68-J57)/J71+J57</f>
        <v>328.95082615532363</v>
      </c>
      <c r="K37" s="49" t="s">
        <v>16</v>
      </c>
      <c r="L37" s="33"/>
      <c r="M37" s="51">
        <f>M35*(M68-M57)/M71+M57</f>
        <v>294.47490046642304</v>
      </c>
      <c r="N37" s="56" t="s">
        <v>16</v>
      </c>
      <c r="O37" s="61"/>
    </row>
    <row r="38" spans="1:15" x14ac:dyDescent="0.2">
      <c r="A38" s="10"/>
      <c r="B38" s="7"/>
      <c r="C38" s="7"/>
      <c r="D38" s="33"/>
      <c r="E38" s="7"/>
      <c r="F38" s="7"/>
      <c r="G38" s="7"/>
      <c r="H38" s="33"/>
      <c r="I38" s="7"/>
      <c r="J38" s="52"/>
      <c r="K38" s="49"/>
      <c r="L38" s="33"/>
      <c r="M38" s="52"/>
      <c r="N38" s="56"/>
      <c r="O38" s="61"/>
    </row>
    <row r="39" spans="1:15" x14ac:dyDescent="0.2">
      <c r="A39" s="10"/>
      <c r="B39" s="42" t="s">
        <v>34</v>
      </c>
      <c r="C39" s="7"/>
      <c r="D39" s="33"/>
      <c r="E39" s="7"/>
      <c r="F39" s="7"/>
      <c r="G39" s="7"/>
      <c r="H39" s="33"/>
      <c r="I39" s="7"/>
      <c r="J39" s="52"/>
      <c r="K39" s="49"/>
      <c r="L39" s="33"/>
      <c r="M39" s="52"/>
      <c r="N39" s="57"/>
      <c r="O39" s="61"/>
    </row>
    <row r="40" spans="1:15" x14ac:dyDescent="0.2">
      <c r="A40" s="10"/>
      <c r="B40" s="7"/>
      <c r="C40" s="7"/>
      <c r="D40" s="7"/>
      <c r="E40" s="7"/>
      <c r="F40" s="7"/>
      <c r="G40" s="7"/>
      <c r="H40" s="7"/>
      <c r="I40" s="7"/>
      <c r="J40" s="49"/>
      <c r="K40" s="49"/>
      <c r="L40" s="7"/>
      <c r="M40" s="52"/>
      <c r="N40" s="57"/>
      <c r="O40" s="61"/>
    </row>
    <row r="41" spans="1:15" ht="15.75" x14ac:dyDescent="0.25">
      <c r="A41" s="10"/>
      <c r="B41" s="12"/>
      <c r="C41" s="7"/>
      <c r="D41" s="7"/>
      <c r="E41" s="8"/>
      <c r="F41" s="13"/>
      <c r="G41" s="12"/>
      <c r="H41" s="13"/>
      <c r="I41" s="13"/>
      <c r="J41" s="53"/>
      <c r="K41" s="52"/>
      <c r="L41" s="13"/>
      <c r="M41" s="53"/>
      <c r="N41" s="57"/>
      <c r="O41" s="61"/>
    </row>
    <row r="42" spans="1:15" x14ac:dyDescent="0.2">
      <c r="A42" s="10"/>
      <c r="B42" s="7"/>
      <c r="C42" s="7"/>
      <c r="D42" s="7"/>
      <c r="E42" s="33"/>
      <c r="F42" s="7"/>
      <c r="G42" s="7"/>
      <c r="H42" s="7"/>
      <c r="I42" s="7"/>
      <c r="J42" s="49"/>
      <c r="K42" s="54"/>
      <c r="L42" s="43"/>
      <c r="M42" s="52"/>
      <c r="N42" s="57"/>
      <c r="O42" s="61"/>
    </row>
    <row r="43" spans="1:15" x14ac:dyDescent="0.2">
      <c r="A43" s="10"/>
      <c r="B43" s="7"/>
      <c r="C43" s="7"/>
      <c r="D43" s="7"/>
      <c r="E43" s="7"/>
      <c r="F43" s="7"/>
      <c r="G43" s="7"/>
      <c r="H43" s="7"/>
      <c r="I43" s="7"/>
      <c r="J43" s="49">
        <f>(J32*$D$9*1000-J32*$D$30*2.9*10^7+((J32*$D$9*1000-J32*$D$30*2.9*10^7)^2+3.4*$D$36*$D$8*1000*J33*$D$30*J32*2.9*10^7*J31)^0.5)/(1.7*$D$36*$D$8*1000*J33)</f>
        <v>2.4353514323035617</v>
      </c>
      <c r="K43" s="49" t="s">
        <v>7</v>
      </c>
      <c r="L43" s="13"/>
      <c r="M43" s="49">
        <f>(M32*$D$9*1000-M32*$D$30*2.9*10^7+((M32*$D$9*1000-M32*$D$30*2.9*10^7)^2+3.4*$D$36*$D$8*1000*M33*$D$30*M32*2.9*10^7*M31)^0.5)/(1.7*$D$36*$D$8*1000*M33)</f>
        <v>2.023899788471097</v>
      </c>
      <c r="N43" s="55" t="s">
        <v>7</v>
      </c>
      <c r="O43" s="61"/>
    </row>
    <row r="44" spans="1:15" x14ac:dyDescent="0.2">
      <c r="A44" s="10"/>
      <c r="B44" s="7"/>
      <c r="C44" s="7"/>
      <c r="D44" s="7"/>
      <c r="E44" s="7"/>
      <c r="F44" s="7"/>
      <c r="G44" s="7"/>
      <c r="H44" s="7"/>
      <c r="I44" s="7"/>
      <c r="J44" s="49"/>
      <c r="K44" s="49"/>
      <c r="L44" s="7"/>
      <c r="M44" s="49"/>
      <c r="N44" s="57"/>
      <c r="O44" s="61"/>
    </row>
    <row r="45" spans="1:15" x14ac:dyDescent="0.2">
      <c r="A45" s="10"/>
      <c r="B45" s="7"/>
      <c r="C45" s="7"/>
      <c r="D45" s="7"/>
      <c r="E45" s="7"/>
      <c r="F45" s="7"/>
      <c r="G45" s="7"/>
      <c r="H45" s="7"/>
      <c r="I45" s="7"/>
      <c r="J45" s="49"/>
      <c r="K45" s="49"/>
      <c r="L45" s="7"/>
      <c r="M45" s="49"/>
      <c r="N45" s="57"/>
      <c r="O45" s="61"/>
    </row>
    <row r="46" spans="1:15" x14ac:dyDescent="0.2">
      <c r="A46" s="10"/>
      <c r="B46" s="7"/>
      <c r="C46" s="7"/>
      <c r="D46" s="7"/>
      <c r="E46" s="7"/>
      <c r="F46" s="7"/>
      <c r="G46" s="7"/>
      <c r="H46" s="7"/>
      <c r="I46" s="7"/>
      <c r="J46" s="49"/>
      <c r="K46" s="49"/>
      <c r="L46" s="7"/>
      <c r="M46" s="49"/>
      <c r="N46" s="57"/>
      <c r="O46" s="61"/>
    </row>
    <row r="47" spans="1:15" x14ac:dyDescent="0.2">
      <c r="A47" s="10"/>
      <c r="B47" s="7"/>
      <c r="C47" s="7"/>
      <c r="D47" s="7"/>
      <c r="E47" s="7"/>
      <c r="F47" s="7"/>
      <c r="G47" s="7"/>
      <c r="H47" s="7"/>
      <c r="I47" s="7"/>
      <c r="J47" s="49">
        <f>2.9*10^7*$D$30*(J43-J31)/J43</f>
        <v>4388.7196191229687</v>
      </c>
      <c r="K47" s="49" t="s">
        <v>35</v>
      </c>
      <c r="L47" s="7"/>
      <c r="M47" s="49">
        <f>2.9*10^7*$D$30*(M43-M31)/M43</f>
        <v>-12405.860480860032</v>
      </c>
      <c r="N47" s="55" t="s">
        <v>35</v>
      </c>
      <c r="O47" s="61"/>
    </row>
    <row r="48" spans="1:15" x14ac:dyDescent="0.2">
      <c r="A48" s="10"/>
      <c r="B48" s="7"/>
      <c r="C48" s="7"/>
      <c r="D48" s="7"/>
      <c r="E48" s="7"/>
      <c r="F48" s="7"/>
      <c r="G48" s="7"/>
      <c r="H48" s="7"/>
      <c r="I48" s="7"/>
      <c r="J48" s="49"/>
      <c r="K48" s="49"/>
      <c r="L48" s="7"/>
      <c r="M48" s="49"/>
      <c r="N48" s="58"/>
      <c r="O48" s="61"/>
    </row>
    <row r="49" spans="1:15" x14ac:dyDescent="0.2">
      <c r="A49" s="10"/>
      <c r="B49" s="7"/>
      <c r="C49" s="7"/>
      <c r="D49" s="7"/>
      <c r="E49" s="7"/>
      <c r="F49" s="7"/>
      <c r="G49" s="7"/>
      <c r="H49" s="7"/>
      <c r="I49" s="7"/>
      <c r="J49" s="49"/>
      <c r="K49" s="49"/>
      <c r="L49" s="7"/>
      <c r="M49" s="49"/>
      <c r="N49" s="57"/>
      <c r="O49" s="61"/>
    </row>
    <row r="50" spans="1:15" x14ac:dyDescent="0.2">
      <c r="A50" s="10"/>
      <c r="B50" s="7"/>
      <c r="C50" s="7"/>
      <c r="D50" s="7"/>
      <c r="E50" s="7"/>
      <c r="F50" s="7"/>
      <c r="G50" s="7"/>
      <c r="H50" s="7"/>
      <c r="I50" s="7"/>
      <c r="J50" s="49"/>
      <c r="K50" s="49"/>
      <c r="L50" s="7"/>
      <c r="M50" s="49"/>
      <c r="N50" s="57"/>
      <c r="O50" s="61"/>
    </row>
    <row r="51" spans="1:15" x14ac:dyDescent="0.2">
      <c r="A51" s="10"/>
      <c r="B51" s="7"/>
      <c r="C51" s="7"/>
      <c r="D51" s="7"/>
      <c r="E51" s="7"/>
      <c r="F51" s="7"/>
      <c r="G51" s="7"/>
      <c r="H51" s="7"/>
      <c r="I51" s="7"/>
      <c r="J51" s="49">
        <f>0.85*$D$8*$D$36*J43*J33*(J30-$D$36*J43/2)/12+J32*$D$9*(J30-J31)/12</f>
        <v>87.111448815327051</v>
      </c>
      <c r="K51" s="49" t="s">
        <v>18</v>
      </c>
      <c r="L51" s="7"/>
      <c r="M51" s="49">
        <f>0.85*$D$8*$D$36*M43*M33*(M30-$D$36*M43/2)/12+M32*$D$9*(M30-M31)/12</f>
        <v>66.349331948330558</v>
      </c>
      <c r="N51" s="56" t="s">
        <v>18</v>
      </c>
      <c r="O51" s="61"/>
    </row>
    <row r="52" spans="1:15" x14ac:dyDescent="0.2">
      <c r="A52" s="10"/>
      <c r="B52" s="7"/>
      <c r="C52" s="7"/>
      <c r="D52" s="7"/>
      <c r="E52" s="7"/>
      <c r="F52" s="7"/>
      <c r="G52" s="7"/>
      <c r="H52" s="7"/>
      <c r="I52" s="7"/>
      <c r="J52" s="49"/>
      <c r="K52" s="49"/>
      <c r="L52" s="7"/>
      <c r="M52" s="49"/>
      <c r="N52" s="57"/>
      <c r="O52" s="61"/>
    </row>
    <row r="53" spans="1:15" x14ac:dyDescent="0.2">
      <c r="A53" s="10"/>
      <c r="B53" s="7"/>
      <c r="C53" s="7"/>
      <c r="D53" s="7"/>
      <c r="E53" s="7"/>
      <c r="F53" s="7"/>
      <c r="G53" s="7"/>
      <c r="H53" s="7"/>
      <c r="I53" s="7"/>
      <c r="J53" s="49"/>
      <c r="K53" s="49"/>
      <c r="L53" s="7"/>
      <c r="M53" s="49"/>
      <c r="N53" s="57"/>
      <c r="O53" s="61"/>
    </row>
    <row r="54" spans="1:15" x14ac:dyDescent="0.2">
      <c r="A54" s="10"/>
      <c r="B54" s="42" t="s">
        <v>36</v>
      </c>
      <c r="C54" s="7"/>
      <c r="D54" s="7"/>
      <c r="E54" s="7"/>
      <c r="F54" s="7"/>
      <c r="G54" s="7"/>
      <c r="H54" s="7"/>
      <c r="I54" s="7"/>
      <c r="J54" s="49"/>
      <c r="K54" s="49"/>
      <c r="L54" s="7"/>
      <c r="M54" s="52"/>
      <c r="N54" s="57"/>
      <c r="O54" s="61"/>
    </row>
    <row r="55" spans="1:15" ht="15.75" x14ac:dyDescent="0.25">
      <c r="A55" s="10"/>
      <c r="B55" s="12"/>
      <c r="C55" s="7"/>
      <c r="D55" s="7"/>
      <c r="E55" s="8"/>
      <c r="F55" s="13"/>
      <c r="G55" s="12"/>
      <c r="H55" s="13"/>
      <c r="I55" s="13"/>
      <c r="J55" s="53"/>
      <c r="K55" s="52"/>
      <c r="L55" s="13"/>
      <c r="M55" s="53"/>
      <c r="N55" s="57"/>
      <c r="O55" s="61"/>
    </row>
    <row r="56" spans="1:15" x14ac:dyDescent="0.2">
      <c r="A56" s="10"/>
      <c r="B56" s="7"/>
      <c r="C56" s="7"/>
      <c r="D56" s="7"/>
      <c r="E56" s="33"/>
      <c r="F56" s="7"/>
      <c r="G56" s="7"/>
      <c r="H56" s="7"/>
      <c r="I56" s="7"/>
      <c r="J56" s="49"/>
      <c r="K56" s="54"/>
      <c r="L56" s="43"/>
      <c r="M56" s="52"/>
      <c r="N56" s="57"/>
      <c r="O56" s="61"/>
    </row>
    <row r="57" spans="1:15" x14ac:dyDescent="0.2">
      <c r="A57" s="10"/>
      <c r="B57" s="7"/>
      <c r="C57" s="7"/>
      <c r="D57" s="7"/>
      <c r="E57" s="7"/>
      <c r="F57" s="7"/>
      <c r="G57" s="7"/>
      <c r="H57" s="7"/>
      <c r="I57" s="7"/>
      <c r="J57" s="49">
        <f>0.85*$D$8*($D$10*$D$11-($D$13+$D$14-2)*2*VLOOKUP($D$12,$B$2162:$D$2172,3))+($D$13+$D$14-2)*2*VLOOKUP($D$12,$B$2162:$D$2172,3)*$D$9</f>
        <v>497.3069999999999</v>
      </c>
      <c r="K57" s="49" t="s">
        <v>16</v>
      </c>
      <c r="L57" s="13" t="s">
        <v>3</v>
      </c>
      <c r="M57" s="49">
        <f>0.85*$D$8*($D$10*$D$11-($D$13+$D$14-2)*2*VLOOKUP($D$12,$B$2162:$D$2172,3))+($D$13+$D$14-2)*2*VLOOKUP($D$12,$B$2162:$D$2172,3)*$D$9</f>
        <v>497.3069999999999</v>
      </c>
      <c r="N57" s="55" t="s">
        <v>16</v>
      </c>
      <c r="O57" s="61"/>
    </row>
    <row r="58" spans="1:15" x14ac:dyDescent="0.2">
      <c r="A58" s="10"/>
      <c r="B58" s="7"/>
      <c r="C58" s="7"/>
      <c r="D58" s="7"/>
      <c r="E58" s="7"/>
      <c r="F58" s="7"/>
      <c r="G58" s="7"/>
      <c r="H58" s="7"/>
      <c r="I58" s="7"/>
      <c r="J58" s="49"/>
      <c r="K58" s="49"/>
      <c r="L58" s="13"/>
      <c r="M58" s="49"/>
      <c r="N58" s="55"/>
      <c r="O58" s="61"/>
    </row>
    <row r="59" spans="1:15" x14ac:dyDescent="0.2">
      <c r="A59" s="10"/>
      <c r="B59" s="42" t="s">
        <v>37</v>
      </c>
      <c r="C59" s="7"/>
      <c r="D59" s="7"/>
      <c r="E59" s="7"/>
      <c r="F59" s="7"/>
      <c r="G59" s="7"/>
      <c r="H59" s="7"/>
      <c r="I59" s="7"/>
      <c r="J59" s="49"/>
      <c r="K59" s="49"/>
      <c r="L59" s="7"/>
      <c r="M59" s="52"/>
      <c r="N59" s="57"/>
      <c r="O59" s="61"/>
    </row>
    <row r="60" spans="1:15" ht="15.75" x14ac:dyDescent="0.25">
      <c r="A60" s="10"/>
      <c r="B60" s="12"/>
      <c r="C60" s="7"/>
      <c r="D60" s="7"/>
      <c r="E60" s="8"/>
      <c r="F60" s="13"/>
      <c r="G60" s="12"/>
      <c r="H60" s="13"/>
      <c r="I60" s="13"/>
      <c r="J60" s="53"/>
      <c r="K60" s="52"/>
      <c r="L60" s="13"/>
      <c r="M60" s="53"/>
      <c r="N60" s="57"/>
      <c r="O60" s="61"/>
    </row>
    <row r="61" spans="1:15" x14ac:dyDescent="0.2">
      <c r="A61" s="10"/>
      <c r="B61" s="7"/>
      <c r="C61" s="7"/>
      <c r="D61" s="7"/>
      <c r="E61" s="33"/>
      <c r="F61" s="7"/>
      <c r="G61" s="7"/>
      <c r="H61" s="7"/>
      <c r="I61" s="7"/>
      <c r="J61" s="49"/>
      <c r="K61" s="54"/>
      <c r="L61" s="43"/>
      <c r="M61" s="52"/>
      <c r="N61" s="57"/>
      <c r="O61" s="61"/>
    </row>
    <row r="62" spans="1:15" x14ac:dyDescent="0.2">
      <c r="A62" s="10"/>
      <c r="B62" s="7"/>
      <c r="C62" s="7"/>
      <c r="D62" s="7"/>
      <c r="E62" s="7"/>
      <c r="F62" s="7"/>
      <c r="G62" s="7"/>
      <c r="H62" s="7"/>
      <c r="I62" s="7"/>
      <c r="J62" s="49">
        <f>$D$30*2.9*10^7*$D$36*J30/($D$30*2.9*10^7+$D$9*1000)</f>
        <v>4.4914772727272725</v>
      </c>
      <c r="K62" s="49" t="s">
        <v>7</v>
      </c>
      <c r="L62" s="13"/>
      <c r="M62" s="49">
        <f>$D$30*2.9*10^7*$D$36*M30/($D$30*2.9*10^7+$D$9*1000)</f>
        <v>4.4914772727272725</v>
      </c>
      <c r="N62" s="55" t="s">
        <v>7</v>
      </c>
      <c r="O62" s="61"/>
    </row>
    <row r="63" spans="1:15" x14ac:dyDescent="0.2">
      <c r="A63" s="10"/>
      <c r="B63" s="7"/>
      <c r="C63" s="7"/>
      <c r="D63" s="7"/>
      <c r="E63" s="7"/>
      <c r="F63" s="7"/>
      <c r="G63" s="7"/>
      <c r="H63" s="7"/>
      <c r="I63" s="7"/>
      <c r="J63" s="49"/>
      <c r="K63" s="49"/>
      <c r="L63" s="7"/>
      <c r="M63" s="49"/>
      <c r="N63" s="57"/>
      <c r="O63" s="61"/>
    </row>
    <row r="64" spans="1:15" x14ac:dyDescent="0.2">
      <c r="A64" s="10"/>
      <c r="B64" s="7"/>
      <c r="C64" s="7"/>
      <c r="D64" s="7"/>
      <c r="E64" s="33"/>
      <c r="F64" s="7"/>
      <c r="G64" s="7"/>
      <c r="H64" s="7"/>
      <c r="I64" s="7"/>
      <c r="J64" s="49"/>
      <c r="K64" s="54"/>
      <c r="L64" s="43"/>
      <c r="M64" s="52"/>
      <c r="N64" s="57"/>
      <c r="O64" s="61"/>
    </row>
    <row r="65" spans="1:15" x14ac:dyDescent="0.2">
      <c r="A65" s="10"/>
      <c r="B65" s="7"/>
      <c r="C65" s="7"/>
      <c r="D65" s="7"/>
      <c r="E65" s="7"/>
      <c r="F65" s="7"/>
      <c r="G65" s="7"/>
      <c r="H65" s="7"/>
      <c r="I65" s="7"/>
      <c r="J65" s="49">
        <f>MIN($D$30*2.9*10^7*(1-J31/J30*($D$30*2.9*10^7+$D$9*1000)/($D$30*2.9*10^7)),$D$9*1000)</f>
        <v>48925.806451612894</v>
      </c>
      <c r="K65" s="49" t="s">
        <v>35</v>
      </c>
      <c r="L65" s="13"/>
      <c r="M65" s="49">
        <f>MIN($D$30*2.9*10^7*(1-M31/M30*($D$30*2.9*10^7+$D$9*1000)/($D$30*2.9*10^7)),$D$9*1000)</f>
        <v>48925.806451612894</v>
      </c>
      <c r="N65" s="55" t="s">
        <v>35</v>
      </c>
      <c r="O65" s="61"/>
    </row>
    <row r="66" spans="1:15" x14ac:dyDescent="0.2">
      <c r="A66" s="10"/>
      <c r="B66" s="7"/>
      <c r="C66" s="7"/>
      <c r="D66" s="7"/>
      <c r="E66" s="7"/>
      <c r="F66" s="7"/>
      <c r="G66" s="7"/>
      <c r="H66" s="7"/>
      <c r="I66" s="7"/>
      <c r="J66" s="49"/>
      <c r="K66" s="49"/>
      <c r="L66" s="7"/>
      <c r="M66" s="49"/>
      <c r="N66" s="57"/>
      <c r="O66" s="61"/>
    </row>
    <row r="67" spans="1:15" x14ac:dyDescent="0.2">
      <c r="A67" s="10"/>
      <c r="B67" s="7"/>
      <c r="C67" s="7"/>
      <c r="D67" s="7"/>
      <c r="E67" s="33"/>
      <c r="F67" s="7"/>
      <c r="G67" s="7"/>
      <c r="H67" s="7"/>
      <c r="I67" s="7"/>
      <c r="J67" s="49"/>
      <c r="K67" s="54"/>
      <c r="L67" s="43"/>
      <c r="M67" s="52"/>
      <c r="N67" s="57"/>
      <c r="O67" s="61"/>
    </row>
    <row r="68" spans="1:15" x14ac:dyDescent="0.2">
      <c r="A68" s="10"/>
      <c r="B68" s="7"/>
      <c r="C68" s="7"/>
      <c r="D68" s="7"/>
      <c r="E68" s="7"/>
      <c r="F68" s="7"/>
      <c r="G68" s="7"/>
      <c r="H68" s="7"/>
      <c r="I68" s="7"/>
      <c r="J68" s="49">
        <f>0.85*$D$8*J33*J62+J32*J65/1000-J32*$D$9</f>
        <v>115.51520454545449</v>
      </c>
      <c r="K68" s="49" t="s">
        <v>16</v>
      </c>
      <c r="L68" s="13"/>
      <c r="M68" s="49">
        <f>0.85*$D$8*M33*M62+M32*M65/1000-M32*$D$9</f>
        <v>122.82320454545452</v>
      </c>
      <c r="N68" s="55" t="s">
        <v>16</v>
      </c>
      <c r="O68" s="61"/>
    </row>
    <row r="69" spans="1:15" x14ac:dyDescent="0.2">
      <c r="A69" s="10"/>
      <c r="B69" s="7"/>
      <c r="C69" s="7"/>
      <c r="D69" s="7"/>
      <c r="E69" s="7"/>
      <c r="F69" s="7"/>
      <c r="G69" s="7"/>
      <c r="H69" s="7"/>
      <c r="I69" s="7"/>
      <c r="J69" s="49"/>
      <c r="K69" s="49"/>
      <c r="L69" s="13"/>
      <c r="M69" s="49"/>
      <c r="N69" s="55"/>
      <c r="O69" s="61"/>
    </row>
    <row r="70" spans="1:15" x14ac:dyDescent="0.2">
      <c r="A70" s="10"/>
      <c r="B70" s="7"/>
      <c r="C70" s="7"/>
      <c r="D70" s="7"/>
      <c r="E70" s="7"/>
      <c r="F70" s="7"/>
      <c r="G70" s="7"/>
      <c r="H70" s="7"/>
      <c r="I70" s="7"/>
      <c r="J70" s="49"/>
      <c r="K70" s="49"/>
      <c r="L70" s="7"/>
      <c r="M70" s="49"/>
      <c r="N70" s="57"/>
      <c r="O70" s="61"/>
    </row>
    <row r="71" spans="1:15" x14ac:dyDescent="0.2">
      <c r="A71" s="44"/>
      <c r="B71" s="7"/>
      <c r="C71" s="7"/>
      <c r="D71" s="7"/>
      <c r="E71" s="7"/>
      <c r="F71" s="7"/>
      <c r="G71" s="7"/>
      <c r="H71" s="7"/>
      <c r="I71" s="7"/>
      <c r="J71" s="49">
        <f>0.85*$D$8*J33*J62*(D10/2-J62/2)/12+J32*J65/1000*(D10/2-J31)/12-J32*$D$9*(J30/2-D10)/12</f>
        <v>97.189815768659599</v>
      </c>
      <c r="K71" s="49" t="s">
        <v>18</v>
      </c>
      <c r="L71" s="7"/>
      <c r="M71" s="49">
        <f>0.85*$D$8*M33*M62*(D11/2-M62/2)/12+M32*M65/1000*(D11/2-M31)/12-M32*$D$9*(M30/2-D11)/12</f>
        <v>79.126063164492933</v>
      </c>
      <c r="N71" s="56" t="s">
        <v>18</v>
      </c>
      <c r="O71" s="61"/>
    </row>
    <row r="72" spans="1:15" x14ac:dyDescent="0.2">
      <c r="A72" s="44"/>
      <c r="B72" s="7"/>
      <c r="C72" s="7"/>
      <c r="D72" s="7"/>
      <c r="E72" s="7"/>
      <c r="F72" s="7"/>
      <c r="G72" s="7"/>
      <c r="H72" s="7"/>
      <c r="I72" s="7"/>
      <c r="J72" s="49"/>
      <c r="K72" s="49"/>
      <c r="L72" s="7"/>
      <c r="M72" s="49"/>
      <c r="N72" s="56"/>
      <c r="O72" s="61"/>
    </row>
    <row r="73" spans="1:15" x14ac:dyDescent="0.2">
      <c r="A73" s="44"/>
      <c r="B73" s="7"/>
      <c r="C73" s="7"/>
      <c r="D73" s="7"/>
      <c r="E73" s="7"/>
      <c r="F73" s="7"/>
      <c r="G73" s="7"/>
      <c r="H73" s="7"/>
      <c r="I73" s="7"/>
      <c r="J73" s="49"/>
      <c r="K73" s="49"/>
      <c r="L73" s="7"/>
      <c r="M73" s="49"/>
      <c r="N73" s="56"/>
      <c r="O73" s="61"/>
    </row>
    <row r="74" spans="1:15" x14ac:dyDescent="0.2">
      <c r="A74" s="44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45"/>
      <c r="O74" s="61"/>
    </row>
    <row r="75" spans="1:15" x14ac:dyDescent="0.2">
      <c r="A75" s="44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45"/>
      <c r="O75" s="61"/>
    </row>
    <row r="76" spans="1:15" ht="15.75" thickBot="1" x14ac:dyDescent="0.25">
      <c r="A76" s="46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61"/>
    </row>
    <row r="77" spans="1:15" x14ac:dyDescent="0.2">
      <c r="A77" s="61"/>
      <c r="N77" s="61"/>
      <c r="O77" s="61"/>
    </row>
    <row r="78" spans="1:15" x14ac:dyDescent="0.2">
      <c r="A78" s="61"/>
      <c r="B78" s="62"/>
      <c r="H78" s="62"/>
      <c r="M78" s="61"/>
      <c r="N78" s="61"/>
      <c r="O78" s="61"/>
    </row>
    <row r="81" spans="6:6" ht="15.75" x14ac:dyDescent="0.25">
      <c r="F81" s="63"/>
    </row>
    <row r="82" spans="6:6" ht="15.75" x14ac:dyDescent="0.25">
      <c r="F82" s="63"/>
    </row>
    <row r="83" spans="6:6" ht="15.75" x14ac:dyDescent="0.25">
      <c r="F83" s="63"/>
    </row>
    <row r="84" spans="6:6" ht="15.75" x14ac:dyDescent="0.25">
      <c r="F84" s="63"/>
    </row>
    <row r="85" spans="6:6" ht="15.75" x14ac:dyDescent="0.25">
      <c r="F85" s="63"/>
    </row>
    <row r="2158" spans="2:30" ht="15.75" thickBot="1" x14ac:dyDescent="0.25"/>
    <row r="2159" spans="2:30" ht="15.75" x14ac:dyDescent="0.25">
      <c r="B2159" s="64" t="s">
        <v>38</v>
      </c>
      <c r="C2159" s="65"/>
      <c r="D2159" s="66"/>
      <c r="F2159" s="98" t="s">
        <v>39</v>
      </c>
      <c r="G2159" s="99"/>
      <c r="H2159" s="99"/>
      <c r="I2159" s="99"/>
      <c r="J2159" s="99"/>
      <c r="K2159" s="99"/>
      <c r="L2159" s="99"/>
      <c r="M2159" s="99"/>
      <c r="N2159" s="100"/>
      <c r="O2159" s="100"/>
      <c r="P2159" s="100"/>
      <c r="Q2159" s="100"/>
      <c r="R2159" s="100"/>
      <c r="S2159" s="100"/>
      <c r="T2159" s="100"/>
      <c r="U2159" s="100"/>
      <c r="V2159" s="100"/>
      <c r="W2159" s="100"/>
      <c r="X2159" s="100"/>
      <c r="Y2159" s="100"/>
      <c r="Z2159" s="100"/>
      <c r="AA2159" s="100"/>
      <c r="AB2159" s="100"/>
      <c r="AC2159" s="100"/>
      <c r="AD2159" s="101"/>
    </row>
    <row r="2160" spans="2:30" x14ac:dyDescent="0.2">
      <c r="B2160" s="67" t="s">
        <v>40</v>
      </c>
      <c r="C2160" s="68" t="s">
        <v>41</v>
      </c>
      <c r="D2160" s="69" t="s">
        <v>42</v>
      </c>
      <c r="F2160" s="70" t="s">
        <v>40</v>
      </c>
      <c r="G2160" s="102" t="s">
        <v>43</v>
      </c>
      <c r="H2160" s="103"/>
      <c r="I2160" s="103"/>
      <c r="J2160" s="103"/>
      <c r="K2160" s="103"/>
      <c r="L2160" s="103"/>
      <c r="M2160" s="103"/>
      <c r="N2160" s="104"/>
      <c r="O2160" s="104"/>
      <c r="P2160" s="104"/>
      <c r="Q2160" s="104"/>
      <c r="R2160" s="104"/>
      <c r="S2160" s="104"/>
      <c r="T2160" s="104"/>
      <c r="U2160" s="104"/>
      <c r="V2160" s="104"/>
      <c r="W2160" s="104"/>
      <c r="X2160" s="104"/>
      <c r="Y2160" s="104"/>
      <c r="Z2160" s="104"/>
      <c r="AA2160" s="104"/>
      <c r="AB2160" s="104"/>
      <c r="AC2160" s="104"/>
      <c r="AD2160" s="105"/>
    </row>
    <row r="2161" spans="2:30" ht="15.75" thickBot="1" x14ac:dyDescent="0.25">
      <c r="B2161" s="71" t="s">
        <v>44</v>
      </c>
      <c r="C2161" s="72" t="s">
        <v>7</v>
      </c>
      <c r="D2161" s="73" t="s">
        <v>45</v>
      </c>
      <c r="F2161" s="70" t="s">
        <v>44</v>
      </c>
      <c r="G2161" s="74">
        <v>2</v>
      </c>
      <c r="H2161" s="74">
        <v>3</v>
      </c>
      <c r="I2161" s="74">
        <v>4</v>
      </c>
      <c r="J2161" s="74">
        <v>5</v>
      </c>
      <c r="K2161" s="74">
        <v>6</v>
      </c>
      <c r="L2161" s="74">
        <v>7</v>
      </c>
      <c r="M2161" s="74">
        <v>8</v>
      </c>
      <c r="N2161" s="74">
        <f t="shared" ref="N2161:AD2161" si="0">M2161+1</f>
        <v>9</v>
      </c>
      <c r="O2161" s="74">
        <f t="shared" si="0"/>
        <v>10</v>
      </c>
      <c r="P2161" s="74">
        <f t="shared" si="0"/>
        <v>11</v>
      </c>
      <c r="Q2161" s="74">
        <f t="shared" si="0"/>
        <v>12</v>
      </c>
      <c r="R2161" s="74">
        <f t="shared" si="0"/>
        <v>13</v>
      </c>
      <c r="S2161" s="74">
        <f t="shared" si="0"/>
        <v>14</v>
      </c>
      <c r="T2161" s="74">
        <f t="shared" si="0"/>
        <v>15</v>
      </c>
      <c r="U2161" s="74">
        <f t="shared" si="0"/>
        <v>16</v>
      </c>
      <c r="V2161" s="74">
        <f t="shared" si="0"/>
        <v>17</v>
      </c>
      <c r="W2161" s="74">
        <f t="shared" si="0"/>
        <v>18</v>
      </c>
      <c r="X2161" s="74">
        <f t="shared" si="0"/>
        <v>19</v>
      </c>
      <c r="Y2161" s="74">
        <f t="shared" si="0"/>
        <v>20</v>
      </c>
      <c r="Z2161" s="74">
        <f t="shared" si="0"/>
        <v>21</v>
      </c>
      <c r="AA2161" s="74">
        <f t="shared" si="0"/>
        <v>22</v>
      </c>
      <c r="AB2161" s="74">
        <f t="shared" si="0"/>
        <v>23</v>
      </c>
      <c r="AC2161" s="74">
        <f t="shared" si="0"/>
        <v>24</v>
      </c>
      <c r="AD2161" s="75">
        <f t="shared" si="0"/>
        <v>25</v>
      </c>
    </row>
    <row r="2162" spans="2:30" x14ac:dyDescent="0.2">
      <c r="B2162" s="76">
        <v>3</v>
      </c>
      <c r="C2162" s="77">
        <v>0.375</v>
      </c>
      <c r="D2162" s="78">
        <v>0.11</v>
      </c>
      <c r="F2162" s="79">
        <v>4</v>
      </c>
      <c r="G2162" s="80">
        <v>6.1</v>
      </c>
      <c r="H2162" s="80">
        <v>7.6</v>
      </c>
      <c r="I2162" s="81">
        <v>9.1</v>
      </c>
      <c r="J2162" s="81">
        <v>10.6</v>
      </c>
      <c r="K2162" s="81">
        <v>12.1</v>
      </c>
      <c r="L2162" s="81">
        <v>13.6</v>
      </c>
      <c r="M2162" s="81">
        <v>15.1</v>
      </c>
      <c r="N2162" s="81">
        <f t="shared" ref="N2162:AD2162" si="1">M2162+1.5</f>
        <v>16.600000000000001</v>
      </c>
      <c r="O2162" s="81">
        <f t="shared" si="1"/>
        <v>18.100000000000001</v>
      </c>
      <c r="P2162" s="81">
        <f t="shared" si="1"/>
        <v>19.600000000000001</v>
      </c>
      <c r="Q2162" s="81">
        <f t="shared" si="1"/>
        <v>21.1</v>
      </c>
      <c r="R2162" s="81">
        <f t="shared" si="1"/>
        <v>22.6</v>
      </c>
      <c r="S2162" s="81">
        <f t="shared" si="1"/>
        <v>24.1</v>
      </c>
      <c r="T2162" s="81">
        <f t="shared" si="1"/>
        <v>25.6</v>
      </c>
      <c r="U2162" s="81">
        <f t="shared" si="1"/>
        <v>27.1</v>
      </c>
      <c r="V2162" s="81">
        <f t="shared" si="1"/>
        <v>28.6</v>
      </c>
      <c r="W2162" s="81">
        <f t="shared" si="1"/>
        <v>30.1</v>
      </c>
      <c r="X2162" s="81">
        <f t="shared" si="1"/>
        <v>31.6</v>
      </c>
      <c r="Y2162" s="81">
        <f t="shared" si="1"/>
        <v>33.1</v>
      </c>
      <c r="Z2162" s="81">
        <f t="shared" si="1"/>
        <v>34.6</v>
      </c>
      <c r="AA2162" s="81">
        <f t="shared" si="1"/>
        <v>36.1</v>
      </c>
      <c r="AB2162" s="81">
        <f t="shared" si="1"/>
        <v>37.6</v>
      </c>
      <c r="AC2162" s="81">
        <f t="shared" si="1"/>
        <v>39.1</v>
      </c>
      <c r="AD2162" s="82">
        <f t="shared" si="1"/>
        <v>40.6</v>
      </c>
    </row>
    <row r="2163" spans="2:30" x14ac:dyDescent="0.2">
      <c r="B2163" s="83">
        <v>4</v>
      </c>
      <c r="C2163" s="84">
        <v>0.5</v>
      </c>
      <c r="D2163" s="85">
        <v>0.2</v>
      </c>
      <c r="F2163" s="86">
        <v>5</v>
      </c>
      <c r="G2163" s="87">
        <v>6.3</v>
      </c>
      <c r="H2163" s="87">
        <v>7.9</v>
      </c>
      <c r="I2163" s="81">
        <v>9.6</v>
      </c>
      <c r="J2163" s="81">
        <v>11.2</v>
      </c>
      <c r="K2163" s="81">
        <v>12.8</v>
      </c>
      <c r="L2163" s="81">
        <v>14.4</v>
      </c>
      <c r="M2163" s="81">
        <v>16.100000000000001</v>
      </c>
      <c r="N2163" s="81">
        <f t="shared" ref="N2163:AD2163" si="2">M2163+1.63</f>
        <v>17.73</v>
      </c>
      <c r="O2163" s="81">
        <f t="shared" si="2"/>
        <v>19.36</v>
      </c>
      <c r="P2163" s="81">
        <f t="shared" si="2"/>
        <v>20.99</v>
      </c>
      <c r="Q2163" s="81">
        <f t="shared" si="2"/>
        <v>22.619999999999997</v>
      </c>
      <c r="R2163" s="81">
        <f t="shared" si="2"/>
        <v>24.249999999999996</v>
      </c>
      <c r="S2163" s="81">
        <f t="shared" si="2"/>
        <v>25.879999999999995</v>
      </c>
      <c r="T2163" s="81">
        <f t="shared" si="2"/>
        <v>27.509999999999994</v>
      </c>
      <c r="U2163" s="81">
        <f t="shared" si="2"/>
        <v>29.139999999999993</v>
      </c>
      <c r="V2163" s="81">
        <f t="shared" si="2"/>
        <v>30.769999999999992</v>
      </c>
      <c r="W2163" s="81">
        <f t="shared" si="2"/>
        <v>32.399999999999991</v>
      </c>
      <c r="X2163" s="81">
        <f t="shared" si="2"/>
        <v>34.029999999999994</v>
      </c>
      <c r="Y2163" s="81">
        <f t="shared" si="2"/>
        <v>35.659999999999997</v>
      </c>
      <c r="Z2163" s="81">
        <f t="shared" si="2"/>
        <v>37.29</v>
      </c>
      <c r="AA2163" s="81">
        <f t="shared" si="2"/>
        <v>38.92</v>
      </c>
      <c r="AB2163" s="81">
        <f t="shared" si="2"/>
        <v>40.550000000000004</v>
      </c>
      <c r="AC2163" s="81">
        <f t="shared" si="2"/>
        <v>42.180000000000007</v>
      </c>
      <c r="AD2163" s="82">
        <f t="shared" si="2"/>
        <v>43.810000000000009</v>
      </c>
    </row>
    <row r="2164" spans="2:30" x14ac:dyDescent="0.2">
      <c r="B2164" s="88">
        <v>5</v>
      </c>
      <c r="C2164" s="89">
        <v>0.625</v>
      </c>
      <c r="D2164" s="90">
        <v>0.31</v>
      </c>
      <c r="F2164" s="79">
        <v>6</v>
      </c>
      <c r="G2164" s="80">
        <v>6.5</v>
      </c>
      <c r="H2164" s="80">
        <v>8.3000000000000007</v>
      </c>
      <c r="I2164" s="81">
        <v>10</v>
      </c>
      <c r="J2164" s="81">
        <v>11.8</v>
      </c>
      <c r="K2164" s="81">
        <v>13.5</v>
      </c>
      <c r="L2164" s="81">
        <v>15.3</v>
      </c>
      <c r="M2164" s="81">
        <v>17</v>
      </c>
      <c r="N2164" s="81">
        <f t="shared" ref="N2164:AD2164" si="3">M2164+1.75</f>
        <v>18.75</v>
      </c>
      <c r="O2164" s="81">
        <f t="shared" si="3"/>
        <v>20.5</v>
      </c>
      <c r="P2164" s="81">
        <f t="shared" si="3"/>
        <v>22.25</v>
      </c>
      <c r="Q2164" s="81">
        <f t="shared" si="3"/>
        <v>24</v>
      </c>
      <c r="R2164" s="81">
        <f t="shared" si="3"/>
        <v>25.75</v>
      </c>
      <c r="S2164" s="81">
        <f t="shared" si="3"/>
        <v>27.5</v>
      </c>
      <c r="T2164" s="81">
        <f t="shared" si="3"/>
        <v>29.25</v>
      </c>
      <c r="U2164" s="81">
        <f t="shared" si="3"/>
        <v>31</v>
      </c>
      <c r="V2164" s="81">
        <f t="shared" si="3"/>
        <v>32.75</v>
      </c>
      <c r="W2164" s="81">
        <f t="shared" si="3"/>
        <v>34.5</v>
      </c>
      <c r="X2164" s="81">
        <f t="shared" si="3"/>
        <v>36.25</v>
      </c>
      <c r="Y2164" s="81">
        <f t="shared" si="3"/>
        <v>38</v>
      </c>
      <c r="Z2164" s="81">
        <f t="shared" si="3"/>
        <v>39.75</v>
      </c>
      <c r="AA2164" s="81">
        <f t="shared" si="3"/>
        <v>41.5</v>
      </c>
      <c r="AB2164" s="81">
        <f t="shared" si="3"/>
        <v>43.25</v>
      </c>
      <c r="AC2164" s="81">
        <f t="shared" si="3"/>
        <v>45</v>
      </c>
      <c r="AD2164" s="82">
        <f t="shared" si="3"/>
        <v>46.75</v>
      </c>
    </row>
    <row r="2165" spans="2:30" x14ac:dyDescent="0.2">
      <c r="B2165" s="83">
        <v>6</v>
      </c>
      <c r="C2165" s="84">
        <v>0.75</v>
      </c>
      <c r="D2165" s="85">
        <v>0.44</v>
      </c>
      <c r="F2165" s="86">
        <v>7</v>
      </c>
      <c r="G2165" s="87">
        <v>6.7</v>
      </c>
      <c r="H2165" s="87">
        <v>8.6</v>
      </c>
      <c r="I2165" s="81">
        <v>10.5</v>
      </c>
      <c r="J2165" s="81">
        <v>12.4</v>
      </c>
      <c r="K2165" s="81">
        <v>14.2</v>
      </c>
      <c r="L2165" s="81">
        <v>16.100000000000001</v>
      </c>
      <c r="M2165" s="81">
        <v>18</v>
      </c>
      <c r="N2165" s="81">
        <f t="shared" ref="N2165:AD2165" si="4">M2165+1.88</f>
        <v>19.88</v>
      </c>
      <c r="O2165" s="81">
        <f t="shared" si="4"/>
        <v>21.759999999999998</v>
      </c>
      <c r="P2165" s="81">
        <f t="shared" si="4"/>
        <v>23.639999999999997</v>
      </c>
      <c r="Q2165" s="81">
        <f t="shared" si="4"/>
        <v>25.519999999999996</v>
      </c>
      <c r="R2165" s="81">
        <f t="shared" si="4"/>
        <v>27.399999999999995</v>
      </c>
      <c r="S2165" s="81">
        <f t="shared" si="4"/>
        <v>29.279999999999994</v>
      </c>
      <c r="T2165" s="81">
        <f t="shared" si="4"/>
        <v>31.159999999999993</v>
      </c>
      <c r="U2165" s="81">
        <f t="shared" si="4"/>
        <v>33.039999999999992</v>
      </c>
      <c r="V2165" s="81">
        <f t="shared" si="4"/>
        <v>34.919999999999995</v>
      </c>
      <c r="W2165" s="81">
        <f t="shared" si="4"/>
        <v>36.799999999999997</v>
      </c>
      <c r="X2165" s="81">
        <f t="shared" si="4"/>
        <v>38.68</v>
      </c>
      <c r="Y2165" s="81">
        <f t="shared" si="4"/>
        <v>40.56</v>
      </c>
      <c r="Z2165" s="81">
        <f t="shared" si="4"/>
        <v>42.440000000000005</v>
      </c>
      <c r="AA2165" s="81">
        <f t="shared" si="4"/>
        <v>44.320000000000007</v>
      </c>
      <c r="AB2165" s="81">
        <f t="shared" si="4"/>
        <v>46.20000000000001</v>
      </c>
      <c r="AC2165" s="81">
        <f t="shared" si="4"/>
        <v>48.080000000000013</v>
      </c>
      <c r="AD2165" s="82">
        <f t="shared" si="4"/>
        <v>49.960000000000015</v>
      </c>
    </row>
    <row r="2166" spans="2:30" x14ac:dyDescent="0.2">
      <c r="B2166" s="88">
        <v>7</v>
      </c>
      <c r="C2166" s="89">
        <v>0.875</v>
      </c>
      <c r="D2166" s="90">
        <v>0.6</v>
      </c>
      <c r="F2166" s="79">
        <v>8</v>
      </c>
      <c r="G2166" s="80">
        <v>6.9</v>
      </c>
      <c r="H2166" s="80">
        <v>8.9</v>
      </c>
      <c r="I2166" s="81">
        <v>10.9</v>
      </c>
      <c r="J2166" s="81">
        <v>12.9</v>
      </c>
      <c r="K2166" s="81">
        <v>14.9</v>
      </c>
      <c r="L2166" s="81">
        <v>16.899999999999999</v>
      </c>
      <c r="M2166" s="81">
        <v>18.899999999999999</v>
      </c>
      <c r="N2166" s="81">
        <f t="shared" ref="N2166:AD2166" si="5">M2166+2</f>
        <v>20.9</v>
      </c>
      <c r="O2166" s="81">
        <f t="shared" si="5"/>
        <v>22.9</v>
      </c>
      <c r="P2166" s="81">
        <f t="shared" si="5"/>
        <v>24.9</v>
      </c>
      <c r="Q2166" s="81">
        <f t="shared" si="5"/>
        <v>26.9</v>
      </c>
      <c r="R2166" s="81">
        <f t="shared" si="5"/>
        <v>28.9</v>
      </c>
      <c r="S2166" s="81">
        <f t="shared" si="5"/>
        <v>30.9</v>
      </c>
      <c r="T2166" s="81">
        <f t="shared" si="5"/>
        <v>32.9</v>
      </c>
      <c r="U2166" s="81">
        <f t="shared" si="5"/>
        <v>34.9</v>
      </c>
      <c r="V2166" s="81">
        <f t="shared" si="5"/>
        <v>36.9</v>
      </c>
      <c r="W2166" s="81">
        <f t="shared" si="5"/>
        <v>38.9</v>
      </c>
      <c r="X2166" s="81">
        <f t="shared" si="5"/>
        <v>40.9</v>
      </c>
      <c r="Y2166" s="81">
        <f t="shared" si="5"/>
        <v>42.9</v>
      </c>
      <c r="Z2166" s="81">
        <f t="shared" si="5"/>
        <v>44.9</v>
      </c>
      <c r="AA2166" s="81">
        <f t="shared" si="5"/>
        <v>46.9</v>
      </c>
      <c r="AB2166" s="81">
        <f t="shared" si="5"/>
        <v>48.9</v>
      </c>
      <c r="AC2166" s="81">
        <f t="shared" si="5"/>
        <v>50.9</v>
      </c>
      <c r="AD2166" s="82">
        <f t="shared" si="5"/>
        <v>52.9</v>
      </c>
    </row>
    <row r="2167" spans="2:30" x14ac:dyDescent="0.2">
      <c r="B2167" s="83">
        <v>8</v>
      </c>
      <c r="C2167" s="84">
        <v>1</v>
      </c>
      <c r="D2167" s="85">
        <v>0.79</v>
      </c>
      <c r="F2167" s="86">
        <v>9</v>
      </c>
      <c r="G2167" s="87">
        <v>7.3</v>
      </c>
      <c r="H2167" s="87">
        <v>9.5</v>
      </c>
      <c r="I2167" s="81">
        <v>11.8</v>
      </c>
      <c r="J2167" s="81">
        <v>14</v>
      </c>
      <c r="K2167" s="81">
        <v>16.3</v>
      </c>
      <c r="L2167" s="81">
        <v>18.600000000000001</v>
      </c>
      <c r="M2167" s="81">
        <v>20.8</v>
      </c>
      <c r="N2167" s="81">
        <f t="shared" ref="N2167:AD2167" si="6">M2167+2.26</f>
        <v>23.060000000000002</v>
      </c>
      <c r="O2167" s="81">
        <f t="shared" si="6"/>
        <v>25.32</v>
      </c>
      <c r="P2167" s="81">
        <f t="shared" si="6"/>
        <v>27.58</v>
      </c>
      <c r="Q2167" s="81">
        <f t="shared" si="6"/>
        <v>29.839999999999996</v>
      </c>
      <c r="R2167" s="81">
        <f t="shared" si="6"/>
        <v>32.099999999999994</v>
      </c>
      <c r="S2167" s="81">
        <f t="shared" si="6"/>
        <v>34.359999999999992</v>
      </c>
      <c r="T2167" s="81">
        <f t="shared" si="6"/>
        <v>36.61999999999999</v>
      </c>
      <c r="U2167" s="81">
        <f t="shared" si="6"/>
        <v>38.879999999999988</v>
      </c>
      <c r="V2167" s="81">
        <f t="shared" si="6"/>
        <v>41.139999999999986</v>
      </c>
      <c r="W2167" s="81">
        <f t="shared" si="6"/>
        <v>43.399999999999984</v>
      </c>
      <c r="X2167" s="81">
        <f t="shared" si="6"/>
        <v>45.659999999999982</v>
      </c>
      <c r="Y2167" s="81">
        <f t="shared" si="6"/>
        <v>47.91999999999998</v>
      </c>
      <c r="Z2167" s="81">
        <f t="shared" si="6"/>
        <v>50.179999999999978</v>
      </c>
      <c r="AA2167" s="81">
        <f t="shared" si="6"/>
        <v>52.439999999999976</v>
      </c>
      <c r="AB2167" s="81">
        <f t="shared" si="6"/>
        <v>54.699999999999974</v>
      </c>
      <c r="AC2167" s="81">
        <f t="shared" si="6"/>
        <v>56.959999999999972</v>
      </c>
      <c r="AD2167" s="82">
        <f t="shared" si="6"/>
        <v>59.21999999999997</v>
      </c>
    </row>
    <row r="2168" spans="2:30" x14ac:dyDescent="0.2">
      <c r="B2168" s="88">
        <v>9</v>
      </c>
      <c r="C2168" s="89">
        <v>1.1279999999999999</v>
      </c>
      <c r="D2168" s="90">
        <v>1</v>
      </c>
      <c r="F2168" s="79">
        <v>10</v>
      </c>
      <c r="G2168" s="80">
        <v>7.7</v>
      </c>
      <c r="H2168" s="80">
        <v>10.199999999999999</v>
      </c>
      <c r="I2168" s="81">
        <v>12.8</v>
      </c>
      <c r="J2168" s="81">
        <v>15.3</v>
      </c>
      <c r="K2168" s="81">
        <v>17.8</v>
      </c>
      <c r="L2168" s="81">
        <v>20.399999999999999</v>
      </c>
      <c r="M2168" s="81">
        <v>22.9</v>
      </c>
      <c r="N2168" s="81">
        <f t="shared" ref="N2168:AD2168" si="7">M2168+2.54</f>
        <v>25.439999999999998</v>
      </c>
      <c r="O2168" s="81">
        <f t="shared" si="7"/>
        <v>27.979999999999997</v>
      </c>
      <c r="P2168" s="81">
        <f t="shared" si="7"/>
        <v>30.519999999999996</v>
      </c>
      <c r="Q2168" s="81">
        <f t="shared" si="7"/>
        <v>33.059999999999995</v>
      </c>
      <c r="R2168" s="81">
        <f t="shared" si="7"/>
        <v>35.599999999999994</v>
      </c>
      <c r="S2168" s="81">
        <f t="shared" si="7"/>
        <v>38.139999999999993</v>
      </c>
      <c r="T2168" s="81">
        <f t="shared" si="7"/>
        <v>40.679999999999993</v>
      </c>
      <c r="U2168" s="81">
        <f t="shared" si="7"/>
        <v>43.219999999999992</v>
      </c>
      <c r="V2168" s="81">
        <f t="shared" si="7"/>
        <v>45.759999999999991</v>
      </c>
      <c r="W2168" s="81">
        <f t="shared" si="7"/>
        <v>48.29999999999999</v>
      </c>
      <c r="X2168" s="81">
        <f t="shared" si="7"/>
        <v>50.839999999999989</v>
      </c>
      <c r="Y2168" s="81">
        <f t="shared" si="7"/>
        <v>53.379999999999988</v>
      </c>
      <c r="Z2168" s="81">
        <f t="shared" si="7"/>
        <v>55.919999999999987</v>
      </c>
      <c r="AA2168" s="81">
        <f t="shared" si="7"/>
        <v>58.459999999999987</v>
      </c>
      <c r="AB2168" s="81">
        <f t="shared" si="7"/>
        <v>60.999999999999986</v>
      </c>
      <c r="AC2168" s="81">
        <f t="shared" si="7"/>
        <v>63.539999999999985</v>
      </c>
      <c r="AD2168" s="82">
        <f t="shared" si="7"/>
        <v>66.079999999999984</v>
      </c>
    </row>
    <row r="2169" spans="2:30" x14ac:dyDescent="0.2">
      <c r="B2169" s="83">
        <v>10</v>
      </c>
      <c r="C2169" s="84">
        <v>1.27</v>
      </c>
      <c r="D2169" s="85">
        <v>1.27</v>
      </c>
      <c r="F2169" s="86">
        <v>11</v>
      </c>
      <c r="G2169" s="87">
        <v>8</v>
      </c>
      <c r="H2169" s="87">
        <v>10.8</v>
      </c>
      <c r="I2169" s="81">
        <v>13.7</v>
      </c>
      <c r="J2169" s="81">
        <v>16.5</v>
      </c>
      <c r="K2169" s="81">
        <v>19.3</v>
      </c>
      <c r="L2169" s="81">
        <v>22.1</v>
      </c>
      <c r="M2169" s="81">
        <v>24.9</v>
      </c>
      <c r="N2169" s="81">
        <f t="shared" ref="N2169:AD2169" si="8">M2169+2.82</f>
        <v>27.72</v>
      </c>
      <c r="O2169" s="81">
        <f t="shared" si="8"/>
        <v>30.54</v>
      </c>
      <c r="P2169" s="81">
        <f t="shared" si="8"/>
        <v>33.36</v>
      </c>
      <c r="Q2169" s="81">
        <f t="shared" si="8"/>
        <v>36.18</v>
      </c>
      <c r="R2169" s="81">
        <f t="shared" si="8"/>
        <v>39</v>
      </c>
      <c r="S2169" s="81">
        <f t="shared" si="8"/>
        <v>41.82</v>
      </c>
      <c r="T2169" s="81">
        <f t="shared" si="8"/>
        <v>44.64</v>
      </c>
      <c r="U2169" s="81">
        <f t="shared" si="8"/>
        <v>47.46</v>
      </c>
      <c r="V2169" s="81">
        <f t="shared" si="8"/>
        <v>50.28</v>
      </c>
      <c r="W2169" s="81">
        <f t="shared" si="8"/>
        <v>53.1</v>
      </c>
      <c r="X2169" s="81">
        <f t="shared" si="8"/>
        <v>55.92</v>
      </c>
      <c r="Y2169" s="81">
        <f t="shared" si="8"/>
        <v>58.74</v>
      </c>
      <c r="Z2169" s="81">
        <f t="shared" si="8"/>
        <v>61.56</v>
      </c>
      <c r="AA2169" s="81">
        <f t="shared" si="8"/>
        <v>64.38</v>
      </c>
      <c r="AB2169" s="81">
        <f t="shared" si="8"/>
        <v>67.199999999999989</v>
      </c>
      <c r="AC2169" s="81">
        <f t="shared" si="8"/>
        <v>70.019999999999982</v>
      </c>
      <c r="AD2169" s="82">
        <f t="shared" si="8"/>
        <v>72.839999999999975</v>
      </c>
    </row>
    <row r="2170" spans="2:30" x14ac:dyDescent="0.2">
      <c r="B2170" s="88">
        <v>11</v>
      </c>
      <c r="C2170" s="89">
        <v>1.41</v>
      </c>
      <c r="D2170" s="90">
        <v>1.56</v>
      </c>
      <c r="F2170" s="79">
        <v>14</v>
      </c>
      <c r="G2170" s="80">
        <v>8.9</v>
      </c>
      <c r="H2170" s="80">
        <v>12.3</v>
      </c>
      <c r="I2170" s="81">
        <v>15.6</v>
      </c>
      <c r="J2170" s="81">
        <v>19</v>
      </c>
      <c r="K2170" s="81">
        <v>22.4</v>
      </c>
      <c r="L2170" s="81">
        <v>25.8</v>
      </c>
      <c r="M2170" s="81">
        <v>29.2</v>
      </c>
      <c r="N2170" s="81">
        <f t="shared" ref="N2170:AD2170" si="9">M2170+3.39</f>
        <v>32.589999999999996</v>
      </c>
      <c r="O2170" s="81">
        <f t="shared" si="9"/>
        <v>35.979999999999997</v>
      </c>
      <c r="P2170" s="81">
        <f t="shared" si="9"/>
        <v>39.369999999999997</v>
      </c>
      <c r="Q2170" s="81">
        <f t="shared" si="9"/>
        <v>42.76</v>
      </c>
      <c r="R2170" s="81">
        <f t="shared" si="9"/>
        <v>46.15</v>
      </c>
      <c r="S2170" s="81">
        <f t="shared" si="9"/>
        <v>49.54</v>
      </c>
      <c r="T2170" s="81">
        <f t="shared" si="9"/>
        <v>52.93</v>
      </c>
      <c r="U2170" s="81">
        <f t="shared" si="9"/>
        <v>56.32</v>
      </c>
      <c r="V2170" s="81">
        <f t="shared" si="9"/>
        <v>59.71</v>
      </c>
      <c r="W2170" s="81">
        <f t="shared" si="9"/>
        <v>63.1</v>
      </c>
      <c r="X2170" s="81">
        <f t="shared" si="9"/>
        <v>66.489999999999995</v>
      </c>
      <c r="Y2170" s="81">
        <f t="shared" si="9"/>
        <v>69.88</v>
      </c>
      <c r="Z2170" s="81">
        <f t="shared" si="9"/>
        <v>73.27</v>
      </c>
      <c r="AA2170" s="81">
        <f t="shared" si="9"/>
        <v>76.66</v>
      </c>
      <c r="AB2170" s="81">
        <f t="shared" si="9"/>
        <v>80.05</v>
      </c>
      <c r="AC2170" s="81">
        <f t="shared" si="9"/>
        <v>83.44</v>
      </c>
      <c r="AD2170" s="82">
        <f t="shared" si="9"/>
        <v>86.83</v>
      </c>
    </row>
    <row r="2171" spans="2:30" ht="15.75" thickBot="1" x14ac:dyDescent="0.25">
      <c r="B2171" s="83">
        <v>14</v>
      </c>
      <c r="C2171" s="84">
        <v>1.6930000000000001</v>
      </c>
      <c r="D2171" s="85">
        <v>2.25</v>
      </c>
      <c r="F2171" s="91">
        <v>18</v>
      </c>
      <c r="G2171" s="92">
        <v>10.5</v>
      </c>
      <c r="H2171" s="92">
        <v>15</v>
      </c>
      <c r="I2171" s="93">
        <v>19.5</v>
      </c>
      <c r="J2171" s="93">
        <v>24</v>
      </c>
      <c r="K2171" s="93">
        <v>28.6</v>
      </c>
      <c r="L2171" s="93">
        <v>33.1</v>
      </c>
      <c r="M2171" s="93">
        <v>37.6</v>
      </c>
      <c r="N2171" s="93">
        <f t="shared" ref="N2171:AD2171" si="10">M2171+4.51</f>
        <v>42.11</v>
      </c>
      <c r="O2171" s="93">
        <f t="shared" si="10"/>
        <v>46.62</v>
      </c>
      <c r="P2171" s="93">
        <f t="shared" si="10"/>
        <v>51.129999999999995</v>
      </c>
      <c r="Q2171" s="93">
        <f t="shared" si="10"/>
        <v>55.639999999999993</v>
      </c>
      <c r="R2171" s="93">
        <f t="shared" si="10"/>
        <v>60.149999999999991</v>
      </c>
      <c r="S2171" s="93">
        <f t="shared" si="10"/>
        <v>64.66</v>
      </c>
      <c r="T2171" s="93">
        <f t="shared" si="10"/>
        <v>69.17</v>
      </c>
      <c r="U2171" s="93">
        <f t="shared" si="10"/>
        <v>73.680000000000007</v>
      </c>
      <c r="V2171" s="93">
        <f t="shared" si="10"/>
        <v>78.190000000000012</v>
      </c>
      <c r="W2171" s="93">
        <f t="shared" si="10"/>
        <v>82.700000000000017</v>
      </c>
      <c r="X2171" s="93">
        <f t="shared" si="10"/>
        <v>87.210000000000022</v>
      </c>
      <c r="Y2171" s="93">
        <f t="shared" si="10"/>
        <v>91.720000000000027</v>
      </c>
      <c r="Z2171" s="93">
        <f t="shared" si="10"/>
        <v>96.230000000000032</v>
      </c>
      <c r="AA2171" s="93">
        <f t="shared" si="10"/>
        <v>100.74000000000004</v>
      </c>
      <c r="AB2171" s="93">
        <f t="shared" si="10"/>
        <v>105.25000000000004</v>
      </c>
      <c r="AC2171" s="93">
        <f t="shared" si="10"/>
        <v>109.76000000000005</v>
      </c>
      <c r="AD2171" s="94">
        <f t="shared" si="10"/>
        <v>114.27000000000005</v>
      </c>
    </row>
    <row r="2172" spans="2:30" ht="15.75" thickBot="1" x14ac:dyDescent="0.25">
      <c r="B2172" s="95">
        <v>18</v>
      </c>
      <c r="C2172" s="96">
        <v>2.2570000000000001</v>
      </c>
      <c r="D2172" s="97">
        <v>4</v>
      </c>
    </row>
  </sheetData>
  <sheetProtection algorithmName="SHA-512" hashValue="6rlexUiElsgbOnWn7+KURZMsS9nWy6NXqi152JnMInkb0ULCy24LqSBqOhAD8WZSrWBxijCWvoBATydONUU2Wg==" saltValue="8s4V/NfUtWnnIBIPZWvj6g==" spinCount="100000" sheet="1" objects="1" scenarios="1" selectLockedCells="1"/>
  <mergeCells count="8">
    <mergeCell ref="F2159:AD2159"/>
    <mergeCell ref="G2160:AD2160"/>
    <mergeCell ref="A5:N5"/>
    <mergeCell ref="A1:N1"/>
    <mergeCell ref="A2:N2"/>
    <mergeCell ref="A3:N3"/>
    <mergeCell ref="J29:K29"/>
    <mergeCell ref="M29:N29"/>
  </mergeCells>
  <hyperlinks>
    <hyperlink ref="G121" r:id="rId1" display="www.Engineering-International.com" xr:uid="{1A434977-D130-41B4-A419-E82566992602}"/>
    <hyperlink ref="G119" r:id="rId2" display="www.Engineering-International.com" xr:uid="{40C3949A-2F78-441B-8076-37B5D479BE47}"/>
    <hyperlink ref="A3" r:id="rId3" xr:uid="{52E8446C-9477-46DD-B36D-ABB0AF5B48DE}"/>
  </hyperlinks>
  <pageMargins left="0.7" right="0.7" top="0.75" bottom="0.75" header="0.3" footer="0.3"/>
  <drawing r:id="rId4"/>
  <legacyDrawing r:id="rId5"/>
  <oleObjects>
    <mc:AlternateContent xmlns:mc="http://schemas.openxmlformats.org/markup-compatibility/2006">
      <mc:Choice Requires="x14">
        <oleObject progId="Equation.DSMT4" shapeId="1025" r:id="rId6">
          <objectPr defaultSize="0" autoPict="0" r:id="rId7">
            <anchor moveWithCells="1">
              <from>
                <xdr:col>1</xdr:col>
                <xdr:colOff>238125</xdr:colOff>
                <xdr:row>28</xdr:row>
                <xdr:rowOff>152400</xdr:rowOff>
              </from>
              <to>
                <xdr:col>1</xdr:col>
                <xdr:colOff>447675</xdr:colOff>
                <xdr:row>29</xdr:row>
                <xdr:rowOff>133350</xdr:rowOff>
              </to>
            </anchor>
          </objectPr>
        </oleObject>
      </mc:Choice>
      <mc:Fallback>
        <oleObject progId="Equation.DSMT4" shapeId="1025" r:id="rId6"/>
      </mc:Fallback>
    </mc:AlternateContent>
    <mc:AlternateContent xmlns:mc="http://schemas.openxmlformats.org/markup-compatibility/2006">
      <mc:Choice Requires="x14">
        <oleObject progId="Equation.DSMT4" shapeId="1026" r:id="rId8">
          <objectPr defaultSize="0" autoPict="0" r:id="rId9">
            <anchor moveWithCells="1">
              <from>
                <xdr:col>1</xdr:col>
                <xdr:colOff>190500</xdr:colOff>
                <xdr:row>34</xdr:row>
                <xdr:rowOff>180975</xdr:rowOff>
              </from>
              <to>
                <xdr:col>1</xdr:col>
                <xdr:colOff>419100</xdr:colOff>
                <xdr:row>36</xdr:row>
                <xdr:rowOff>57150</xdr:rowOff>
              </to>
            </anchor>
          </objectPr>
        </oleObject>
      </mc:Choice>
      <mc:Fallback>
        <oleObject progId="Equation.DSMT4" shapeId="1026" r:id="rId8"/>
      </mc:Fallback>
    </mc:AlternateContent>
    <mc:AlternateContent xmlns:mc="http://schemas.openxmlformats.org/markup-compatibility/2006">
      <mc:Choice Requires="x14">
        <oleObject progId="Equation.DSMT4" shapeId="1027" r:id="rId10">
          <objectPr defaultSize="0" autoPict="0" r:id="rId11">
            <anchor moveWithCells="1">
              <from>
                <xdr:col>1</xdr:col>
                <xdr:colOff>238125</xdr:colOff>
                <xdr:row>31</xdr:row>
                <xdr:rowOff>200025</xdr:rowOff>
              </from>
              <to>
                <xdr:col>1</xdr:col>
                <xdr:colOff>390525</xdr:colOff>
                <xdr:row>33</xdr:row>
                <xdr:rowOff>57150</xdr:rowOff>
              </to>
            </anchor>
          </objectPr>
        </oleObject>
      </mc:Choice>
      <mc:Fallback>
        <oleObject progId="Equation.DSMT4" shapeId="1027" r:id="rId10"/>
      </mc:Fallback>
    </mc:AlternateContent>
    <mc:AlternateContent xmlns:mc="http://schemas.openxmlformats.org/markup-compatibility/2006">
      <mc:Choice Requires="x14">
        <oleObject progId="Equation.DSMT4" shapeId="1028" r:id="rId12">
          <objectPr defaultSize="0" autoPict="0" r:id="rId13">
            <anchor moveWithCells="1">
              <from>
                <xdr:col>1</xdr:col>
                <xdr:colOff>104775</xdr:colOff>
                <xdr:row>39</xdr:row>
                <xdr:rowOff>123825</xdr:rowOff>
              </from>
              <to>
                <xdr:col>7</xdr:col>
                <xdr:colOff>609600</xdr:colOff>
                <xdr:row>43</xdr:row>
                <xdr:rowOff>142875</xdr:rowOff>
              </to>
            </anchor>
          </objectPr>
        </oleObject>
      </mc:Choice>
      <mc:Fallback>
        <oleObject progId="Equation.DSMT4" shapeId="1028" r:id="rId12"/>
      </mc:Fallback>
    </mc:AlternateContent>
    <mc:AlternateContent xmlns:mc="http://schemas.openxmlformats.org/markup-compatibility/2006">
      <mc:Choice Requires="x14">
        <oleObject progId="Equation.DSMT4" shapeId="1029" r:id="rId14">
          <objectPr defaultSize="0" autoPict="0" r:id="rId15">
            <anchor moveWithCells="1">
              <from>
                <xdr:col>1</xdr:col>
                <xdr:colOff>161925</xdr:colOff>
                <xdr:row>44</xdr:row>
                <xdr:rowOff>133350</xdr:rowOff>
              </from>
              <to>
                <xdr:col>3</xdr:col>
                <xdr:colOff>152400</xdr:colOff>
                <xdr:row>47</xdr:row>
                <xdr:rowOff>114300</xdr:rowOff>
              </to>
            </anchor>
          </objectPr>
        </oleObject>
      </mc:Choice>
      <mc:Fallback>
        <oleObject progId="Equation.DSMT4" shapeId="1029" r:id="rId14"/>
      </mc:Fallback>
    </mc:AlternateContent>
    <mc:AlternateContent xmlns:mc="http://schemas.openxmlformats.org/markup-compatibility/2006">
      <mc:Choice Requires="x14">
        <oleObject progId="Equation.DSMT4" shapeId="1030" r:id="rId16">
          <objectPr defaultSize="0" autoPict="0" r:id="rId17">
            <anchor moveWithCells="1">
              <from>
                <xdr:col>1</xdr:col>
                <xdr:colOff>180975</xdr:colOff>
                <xdr:row>49</xdr:row>
                <xdr:rowOff>28575</xdr:rowOff>
              </from>
              <to>
                <xdr:col>5</xdr:col>
                <xdr:colOff>609600</xdr:colOff>
                <xdr:row>52</xdr:row>
                <xdr:rowOff>9525</xdr:rowOff>
              </to>
            </anchor>
          </objectPr>
        </oleObject>
      </mc:Choice>
      <mc:Fallback>
        <oleObject progId="Equation.DSMT4" shapeId="1030" r:id="rId16"/>
      </mc:Fallback>
    </mc:AlternateContent>
    <mc:AlternateContent xmlns:mc="http://schemas.openxmlformats.org/markup-compatibility/2006">
      <mc:Choice Requires="x14">
        <oleObject progId="AutoCAD.Drawing.14" shapeId="1031" r:id="rId18">
          <objectPr defaultSize="0" autoPict="0" r:id="rId19">
            <anchor moveWithCells="1">
              <from>
                <xdr:col>8</xdr:col>
                <xdr:colOff>85725</xdr:colOff>
                <xdr:row>6</xdr:row>
                <xdr:rowOff>85725</xdr:rowOff>
              </from>
              <to>
                <xdr:col>13</xdr:col>
                <xdr:colOff>104775</xdr:colOff>
                <xdr:row>16</xdr:row>
                <xdr:rowOff>171450</xdr:rowOff>
              </to>
            </anchor>
          </objectPr>
        </oleObject>
      </mc:Choice>
      <mc:Fallback>
        <oleObject progId="AutoCAD.Drawing.14" shapeId="1031" r:id="rId18"/>
      </mc:Fallback>
    </mc:AlternateContent>
    <mc:AlternateContent xmlns:mc="http://schemas.openxmlformats.org/markup-compatibility/2006">
      <mc:Choice Requires="x14">
        <oleObject progId="Equation.DSMT4" shapeId="1032" r:id="rId20">
          <objectPr defaultSize="0" autoPict="0" r:id="rId21">
            <anchor moveWithCells="1">
              <from>
                <xdr:col>1</xdr:col>
                <xdr:colOff>161925</xdr:colOff>
                <xdr:row>55</xdr:row>
                <xdr:rowOff>66675</xdr:rowOff>
              </from>
              <to>
                <xdr:col>4</xdr:col>
                <xdr:colOff>323850</xdr:colOff>
                <xdr:row>57</xdr:row>
                <xdr:rowOff>9525</xdr:rowOff>
              </to>
            </anchor>
          </objectPr>
        </oleObject>
      </mc:Choice>
      <mc:Fallback>
        <oleObject progId="Equation.DSMT4" shapeId="1032" r:id="rId20"/>
      </mc:Fallback>
    </mc:AlternateContent>
    <mc:AlternateContent xmlns:mc="http://schemas.openxmlformats.org/markup-compatibility/2006">
      <mc:Choice Requires="x14">
        <oleObject progId="Equation.DSMT4" shapeId="1033" r:id="rId22">
          <objectPr defaultSize="0" autoPict="0" r:id="rId23">
            <anchor moveWithCells="1">
              <from>
                <xdr:col>1</xdr:col>
                <xdr:colOff>200025</xdr:colOff>
                <xdr:row>59</xdr:row>
                <xdr:rowOff>95250</xdr:rowOff>
              </from>
              <to>
                <xdr:col>2</xdr:col>
                <xdr:colOff>723900</xdr:colOff>
                <xdr:row>62</xdr:row>
                <xdr:rowOff>85725</xdr:rowOff>
              </to>
            </anchor>
          </objectPr>
        </oleObject>
      </mc:Choice>
      <mc:Fallback>
        <oleObject progId="Equation.DSMT4" shapeId="1033" r:id="rId22"/>
      </mc:Fallback>
    </mc:AlternateContent>
    <mc:AlternateContent xmlns:mc="http://schemas.openxmlformats.org/markup-compatibility/2006">
      <mc:Choice Requires="x14">
        <oleObject progId="Equation.DSMT4" shapeId="1034" r:id="rId24">
          <objectPr defaultSize="0" autoPict="0" r:id="rId25">
            <anchor moveWithCells="1">
              <from>
                <xdr:col>1</xdr:col>
                <xdr:colOff>190500</xdr:colOff>
                <xdr:row>62</xdr:row>
                <xdr:rowOff>133350</xdr:rowOff>
              </from>
              <to>
                <xdr:col>4</xdr:col>
                <xdr:colOff>457200</xdr:colOff>
                <xdr:row>65</xdr:row>
                <xdr:rowOff>171450</xdr:rowOff>
              </to>
            </anchor>
          </objectPr>
        </oleObject>
      </mc:Choice>
      <mc:Fallback>
        <oleObject progId="Equation.DSMT4" shapeId="1034" r:id="rId24"/>
      </mc:Fallback>
    </mc:AlternateContent>
    <mc:AlternateContent xmlns:mc="http://schemas.openxmlformats.org/markup-compatibility/2006">
      <mc:Choice Requires="x14">
        <oleObject progId="Equation.DSMT4" shapeId="1035" r:id="rId26">
          <objectPr locked="0" defaultSize="0" autoPict="0" r:id="rId27">
            <anchor moveWithCells="1">
              <from>
                <xdr:col>1</xdr:col>
                <xdr:colOff>200025</xdr:colOff>
                <xdr:row>66</xdr:row>
                <xdr:rowOff>104775</xdr:rowOff>
              </from>
              <to>
                <xdr:col>4</xdr:col>
                <xdr:colOff>447675</xdr:colOff>
                <xdr:row>68</xdr:row>
                <xdr:rowOff>47625</xdr:rowOff>
              </to>
            </anchor>
          </objectPr>
        </oleObject>
      </mc:Choice>
      <mc:Fallback>
        <oleObject progId="Equation.DSMT4" shapeId="1035" r:id="rId26"/>
      </mc:Fallback>
    </mc:AlternateContent>
    <mc:AlternateContent xmlns:mc="http://schemas.openxmlformats.org/markup-compatibility/2006">
      <mc:Choice Requires="x14">
        <oleObject progId="Equation.DSMT4" shapeId="1036" r:id="rId28">
          <objectPr defaultSize="0" autoPict="0" r:id="rId29">
            <anchor moveWithCells="1">
              <from>
                <xdr:col>1</xdr:col>
                <xdr:colOff>152400</xdr:colOff>
                <xdr:row>69</xdr:row>
                <xdr:rowOff>95250</xdr:rowOff>
              </from>
              <to>
                <xdr:col>7</xdr:col>
                <xdr:colOff>266700</xdr:colOff>
                <xdr:row>72</xdr:row>
                <xdr:rowOff>38100</xdr:rowOff>
              </to>
            </anchor>
          </objectPr>
        </oleObject>
      </mc:Choice>
      <mc:Fallback>
        <oleObject progId="Equation.DSMT4" shapeId="1036" r:id="rId28"/>
      </mc:Fallback>
    </mc:AlternateContent>
    <mc:AlternateContent xmlns:mc="http://schemas.openxmlformats.org/markup-compatibility/2006">
      <mc:Choice Requires="x14">
        <oleObject progId="Equation.DSMT4" shapeId="1037" r:id="rId30">
          <objectPr defaultSize="0" autoPict="0" r:id="rId31">
            <anchor moveWithCells="1">
              <from>
                <xdr:col>5</xdr:col>
                <xdr:colOff>209550</xdr:colOff>
                <xdr:row>21</xdr:row>
                <xdr:rowOff>0</xdr:rowOff>
              </from>
              <to>
                <xdr:col>7</xdr:col>
                <xdr:colOff>533400</xdr:colOff>
                <xdr:row>24</xdr:row>
                <xdr:rowOff>152400</xdr:rowOff>
              </to>
            </anchor>
          </objectPr>
        </oleObject>
      </mc:Choice>
      <mc:Fallback>
        <oleObject progId="Equation.DSMT4" shapeId="1037" r:id="rId30"/>
      </mc:Fallback>
    </mc:AlternateContent>
    <mc:AlternateContent xmlns:mc="http://schemas.openxmlformats.org/markup-compatibility/2006">
      <mc:Choice Requires="x14">
        <oleObject progId="Equation.DSMT4" shapeId="1038" r:id="rId32">
          <objectPr defaultSize="0" autoPict="0" r:id="rId33">
            <anchor moveWithCells="1">
              <from>
                <xdr:col>10</xdr:col>
                <xdr:colOff>190500</xdr:colOff>
                <xdr:row>21</xdr:row>
                <xdr:rowOff>104775</xdr:rowOff>
              </from>
              <to>
                <xdr:col>12</xdr:col>
                <xdr:colOff>323850</xdr:colOff>
                <xdr:row>24</xdr:row>
                <xdr:rowOff>38100</xdr:rowOff>
              </to>
            </anchor>
          </objectPr>
        </oleObject>
      </mc:Choice>
      <mc:Fallback>
        <oleObject progId="Equation.DSMT4" shapeId="1038" r:id="rId32"/>
      </mc:Fallback>
    </mc:AlternateContent>
    <mc:AlternateContent xmlns:mc="http://schemas.openxmlformats.org/markup-compatibility/2006">
      <mc:Choice Requires="x14">
        <oleObject progId="Equation.DSMT4" shapeId="1039" r:id="rId34">
          <objectPr defaultSize="0" autoPict="0" r:id="rId35">
            <anchor moveWithCells="1">
              <from>
                <xdr:col>1</xdr:col>
                <xdr:colOff>276225</xdr:colOff>
                <xdr:row>21</xdr:row>
                <xdr:rowOff>133350</xdr:rowOff>
              </from>
              <to>
                <xdr:col>3</xdr:col>
                <xdr:colOff>371475</xdr:colOff>
                <xdr:row>23</xdr:row>
                <xdr:rowOff>57150</xdr:rowOff>
              </to>
            </anchor>
          </objectPr>
        </oleObject>
      </mc:Choice>
      <mc:Fallback>
        <oleObject progId="Equation.DSMT4" shapeId="1039" r:id="rId3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Video &amp; Instruction </vt:lpstr>
      <vt:lpstr>RCD V1.1 (21-9-23)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SM Hedaetullah</cp:lastModifiedBy>
  <dcterms:created xsi:type="dcterms:W3CDTF">2015-06-05T18:17:20Z</dcterms:created>
  <dcterms:modified xsi:type="dcterms:W3CDTF">2024-11-01T07:43:26Z</dcterms:modified>
</cp:coreProperties>
</file>